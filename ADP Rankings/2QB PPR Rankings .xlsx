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 2QB ppr" sheetId="1" r:id="rId5"/>
    <sheet state="visible" name="PFF 2QB ppr" sheetId="2" r:id="rId6"/>
    <sheet state="visible" name="SleeperConsensus" sheetId="3" r:id="rId7"/>
  </sheets>
  <definedNames/>
  <calcPr/>
</workbook>
</file>

<file path=xl/sharedStrings.xml><?xml version="1.0" encoding="utf-8"?>
<sst xmlns="http://schemas.openxmlformats.org/spreadsheetml/2006/main" count="3248" uniqueCount="1616">
  <si>
    <t>RANK</t>
  </si>
  <si>
    <t>RK</t>
  </si>
  <si>
    <t>ADP</t>
  </si>
  <si>
    <t>PROJ</t>
  </si>
  <si>
    <t>player-headshot</t>
  </si>
  <si>
    <t>J. Allen</t>
  </si>
  <si>
    <t>BUF</t>
  </si>
  <si>
    <t>QB-1</t>
  </si>
  <si>
    <t>Bye: 7</t>
  </si>
  <si>
    <t>Consensus</t>
  </si>
  <si>
    <t>$ VALUE</t>
  </si>
  <si>
    <t>Unlock</t>
  </si>
  <si>
    <t>D. Maye</t>
  </si>
  <si>
    <t>NE</t>
  </si>
  <si>
    <t>QB-2</t>
  </si>
  <si>
    <t>Bye: 11</t>
  </si>
  <si>
    <t>J. Hurts</t>
  </si>
  <si>
    <t>PHI</t>
  </si>
  <si>
    <t>QB-3</t>
  </si>
  <si>
    <t>Bye: 10</t>
  </si>
  <si>
    <t>Player Name</t>
  </si>
  <si>
    <t>L. Jackson</t>
  </si>
  <si>
    <t>BAL</t>
  </si>
  <si>
    <t>QB-4</t>
  </si>
  <si>
    <t>Bye: 13</t>
  </si>
  <si>
    <t>J. Daniels</t>
  </si>
  <si>
    <t>WAS</t>
  </si>
  <si>
    <t>QB-5</t>
  </si>
  <si>
    <t>Sleeper</t>
  </si>
  <si>
    <t>J. Burrow</t>
  </si>
  <si>
    <t>DS
Rank</t>
  </si>
  <si>
    <t>CIN</t>
  </si>
  <si>
    <t>QB-6</t>
  </si>
  <si>
    <t>Bye: 6</t>
  </si>
  <si>
    <t>J. Gibbs</t>
  </si>
  <si>
    <t>DET</t>
  </si>
  <si>
    <t>RB-1</t>
  </si>
  <si>
    <t>B. Robinson</t>
  </si>
  <si>
    <t>ATL</t>
  </si>
  <si>
    <t>RB-2</t>
  </si>
  <si>
    <t>P. Nacua</t>
  </si>
  <si>
    <t>LAR</t>
  </si>
  <si>
    <t>WR-1</t>
  </si>
  <si>
    <t>POS</t>
  </si>
  <si>
    <t>BYE WEEK</t>
  </si>
  <si>
    <t>ECR VS. ADP</t>
  </si>
  <si>
    <t>J. Chase</t>
  </si>
  <si>
    <t>Player</t>
  </si>
  <si>
    <t>WR-2</t>
  </si>
  <si>
    <t>Tier 1</t>
  </si>
  <si>
    <t>J. Smith-Njigba</t>
  </si>
  <si>
    <t>SEA</t>
  </si>
  <si>
    <t>WR-3</t>
  </si>
  <si>
    <t>J. Herbert</t>
  </si>
  <si>
    <t>LAC</t>
  </si>
  <si>
    <t>QB-7</t>
  </si>
  <si>
    <t>T. Lawrence</t>
  </si>
  <si>
    <t>JAX</t>
  </si>
  <si>
    <t>QB-8</t>
  </si>
  <si>
    <t>Position
ADP</t>
  </si>
  <si>
    <t>Market
Index</t>
  </si>
  <si>
    <t>Trend</t>
  </si>
  <si>
    <t>C. McCaffrey</t>
  </si>
  <si>
    <t>SF</t>
  </si>
  <si>
    <t>RB-3</t>
  </si>
  <si>
    <t>Bye: 8</t>
  </si>
  <si>
    <t>J. Taylor</t>
  </si>
  <si>
    <t>IND</t>
  </si>
  <si>
    <t>RB-4</t>
  </si>
  <si>
    <r>
      <rPr>
        <rFont val="Poppins, Arial, Helvetica, sans-serif"/>
        <color rgb="FF1155CC"/>
        <u/>
      </rPr>
      <t>Customize Tiers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</si>
  <si>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</si>
  <si>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B. Purdy</t>
  </si>
  <si>
    <t>QB-9</t>
  </si>
  <si>
    <t>J. Jefferson</t>
  </si>
  <si>
    <t>MIN</t>
  </si>
  <si>
    <t>WR-4</t>
  </si>
  <si>
    <t>C. Williams</t>
  </si>
  <si>
    <t>CHI</t>
  </si>
  <si>
    <t>QB-10</t>
  </si>
  <si>
    <r>
      <rPr>
        <rFont val="Poppins, Arial, Helvetica, sans-serif"/>
        <color rgb="FF1155CC"/>
        <sz val="9.0"/>
        <u/>
      </rPr>
      <t>Josh Allen</t>
    </r>
    <r>
      <rPr>
        <rFont val="Poppins, Arial, Helvetica, sans-serif"/>
        <sz val="9.0"/>
      </rPr>
      <t xml:space="preserve"> (BUF)</t>
    </r>
  </si>
  <si>
    <t>A. St. Brown</t>
  </si>
  <si>
    <t>WR-5</t>
  </si>
  <si>
    <t>C. Lamb</t>
  </si>
  <si>
    <t>DAL</t>
  </si>
  <si>
    <t>WR-6</t>
  </si>
  <si>
    <t>Bye: 14</t>
  </si>
  <si>
    <t>D. Prescott</t>
  </si>
  <si>
    <t>QB-11</t>
  </si>
  <si>
    <t>D. Achane</t>
  </si>
  <si>
    <t>MIA</t>
  </si>
  <si>
    <t>RB-5</t>
  </si>
  <si>
    <t>QB1</t>
  </si>
  <si>
    <t>J. Cook</t>
  </si>
  <si>
    <t>RB-6</t>
  </si>
  <si>
    <t>K. Murray</t>
  </si>
  <si>
    <t>QB-12</t>
  </si>
  <si>
    <t>-</t>
  </si>
  <si>
    <t>A. Jeanty</t>
  </si>
  <si>
    <t>LV</t>
  </si>
  <si>
    <t>RB-7</t>
  </si>
  <si>
    <t>B. Nix</t>
  </si>
  <si>
    <t>DEN</t>
  </si>
  <si>
    <t>QB-13</t>
  </si>
  <si>
    <r>
      <rPr>
        <rFont val="Poppins, Arial, Helvetica, sans-serif"/>
        <color rgb="FF1155CC"/>
        <sz val="9.0"/>
        <u/>
      </rPr>
      <t>Lamar Jackson</t>
    </r>
    <r>
      <rPr>
        <rFont val="Poppins, Arial, Helvetica, sans-serif"/>
        <sz val="9.0"/>
      </rPr>
      <t xml:space="preserve"> (BAL)</t>
    </r>
  </si>
  <si>
    <t>J. Dart</t>
  </si>
  <si>
    <t>NYG</t>
  </si>
  <si>
    <t>QB-14</t>
  </si>
  <si>
    <t>P. Mahomes</t>
  </si>
  <si>
    <t>KC</t>
  </si>
  <si>
    <t>QB2</t>
  </si>
  <si>
    <t>QB-15</t>
  </si>
  <si>
    <t>Bye: 5</t>
  </si>
  <si>
    <t>C. Brown</t>
  </si>
  <si>
    <t>RB-8</t>
  </si>
  <si>
    <t>M. Stafford</t>
  </si>
  <si>
    <t>QB-16</t>
  </si>
  <si>
    <r>
      <rPr>
        <rFont val="Poppins, Arial, Helvetica, sans-serif"/>
        <color rgb="FF1155CC"/>
        <sz val="9.0"/>
        <u/>
      </rPr>
      <t>Drake Maye</t>
    </r>
    <r>
      <rPr>
        <rFont val="Poppins, Arial, Helvetica, sans-serif"/>
        <sz val="9.0"/>
      </rPr>
      <t xml:space="preserve"> (NE)</t>
    </r>
  </si>
  <si>
    <t>K. Walker III</t>
  </si>
  <si>
    <t>RB-9</t>
  </si>
  <si>
    <t>J. Goff</t>
  </si>
  <si>
    <t>QB-17</t>
  </si>
  <si>
    <t>S. Barkley</t>
  </si>
  <si>
    <t>QB3</t>
  </si>
  <si>
    <t>RB-10</t>
  </si>
  <si>
    <r>
      <rPr>
        <rFont val="Poppins, Arial, Helvetica, sans-serif"/>
        <color rgb="FF1155CC"/>
        <sz val="9.0"/>
        <u/>
      </rPr>
      <t>Joe Burrow</t>
    </r>
    <r>
      <rPr>
        <rFont val="Poppins, Arial, Helvetica, sans-serif"/>
        <sz val="9.0"/>
      </rPr>
      <t xml:space="preserve"> (CIN)</t>
    </r>
  </si>
  <si>
    <t>D. London</t>
  </si>
  <si>
    <t>WR-7</t>
  </si>
  <si>
    <t>A. Brown</t>
  </si>
  <si>
    <t>WR-8</t>
  </si>
  <si>
    <t>QB4</t>
  </si>
  <si>
    <t>O. Hampton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</si>
  <si>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LARWR1</t>
    </r>
  </si>
  <si>
    <t>RB-11</t>
  </si>
  <si>
    <t>Tier 2</t>
  </si>
  <si>
    <t>N. Collins</t>
  </si>
  <si>
    <t>HOU</t>
  </si>
  <si>
    <t>WR-9</t>
  </si>
  <si>
    <t>K. Williams</t>
  </si>
  <si>
    <t>RB-12</t>
  </si>
  <si>
    <t>WR2</t>
  </si>
  <si>
    <t>B. Mayfield</t>
  </si>
  <si>
    <t>TB</t>
  </si>
  <si>
    <t>QB-18</t>
  </si>
  <si>
    <t>D. Henry</t>
  </si>
  <si>
    <t>RB-13</t>
  </si>
  <si>
    <r>
      <rPr>
        <rFont val="Poppins, Arial, Helvetica, sans-serif"/>
        <color rgb="FF1155CC"/>
        <u/>
      </rPr>
      <t>Customize Tiers</t>
    </r>
  </si>
  <si>
    <t>J. Love</t>
  </si>
  <si>
    <t>GB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</si>
  <si>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CINWR2</t>
    </r>
  </si>
  <si>
    <t>QB-19</t>
  </si>
  <si>
    <r>
      <rPr>
        <rFont val="Poppins, Arial, Helvetica, sans-serif"/>
        <color rgb="FF1155CC"/>
        <sz val="9.0"/>
        <u/>
      </rPr>
      <t>Jayden Daniels</t>
    </r>
    <r>
      <rPr>
        <rFont val="Poppins, Arial, Helvetica, sans-serif"/>
        <sz val="9.0"/>
      </rPr>
      <t xml:space="preserve"> (WAS)</t>
    </r>
  </si>
  <si>
    <t>J. Jacobs</t>
  </si>
  <si>
    <t>RB-14</t>
  </si>
  <si>
    <t>WR1</t>
  </si>
  <si>
    <t>ARI</t>
  </si>
  <si>
    <t>RB-15</t>
  </si>
  <si>
    <t>QB5</t>
  </si>
  <si>
    <t>N/A</t>
  </si>
  <si>
    <t>M. Willis</t>
  </si>
  <si>
    <t>QB-20</t>
  </si>
  <si>
    <r>
      <rPr>
        <rFont val="Poppins, Arial, Helvetica, sans-serif"/>
        <color rgb="FF1155CC"/>
        <sz val="9.0"/>
        <u/>
      </rPr>
      <t>Jalen Hurts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</si>
  <si>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DETRB1</t>
    </r>
  </si>
  <si>
    <t>D. Smith</t>
  </si>
  <si>
    <t>WR-10</t>
  </si>
  <si>
    <t>QB6</t>
  </si>
  <si>
    <t>C. Olave</t>
  </si>
  <si>
    <t>NO</t>
  </si>
  <si>
    <r>
      <rPr>
        <rFont val="Poppins, Arial, Helvetica, sans-serif"/>
        <color rgb="FF1155CC"/>
        <sz val="9.0"/>
        <u/>
      </rPr>
      <t>Ja'Marr Chase</t>
    </r>
    <r>
      <rPr>
        <rFont val="Poppins, Arial, Helvetica, sans-serif"/>
        <sz val="9.0"/>
      </rPr>
      <t xml:space="preserve"> (CIN)</t>
    </r>
  </si>
  <si>
    <t>WR-11</t>
  </si>
  <si>
    <t>RB2</t>
  </si>
  <si>
    <t>T. McBride</t>
  </si>
  <si>
    <t>TE-1</t>
  </si>
  <si>
    <r>
      <rPr>
        <rFont val="Poppins, Arial, Helvetica, sans-serif"/>
        <color rgb="FF1155CC"/>
        <sz val="9.0"/>
        <u/>
      </rPr>
      <t>Puka Nacua</t>
    </r>
    <r>
      <rPr>
        <rFont val="Poppins, Arial, Helvetica, sans-serif"/>
        <sz val="9.0"/>
      </rPr>
      <t xml:space="preserve"> (LAR)</t>
    </r>
  </si>
  <si>
    <t>G. Pickens</t>
  </si>
  <si>
    <t>WR-12</t>
  </si>
  <si>
    <r>
      <rPr>
        <rFont val="Poppins, Arial, Helvetica, sans-serif"/>
        <color rgb="FF1155CC"/>
        <sz val="9.0"/>
        <u/>
      </rPr>
      <t>Caleb Williams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</si>
  <si>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ATLRB2</t>
    </r>
  </si>
  <si>
    <t>B. Bowers</t>
  </si>
  <si>
    <t>TE-2</t>
  </si>
  <si>
    <t>QB7</t>
  </si>
  <si>
    <t>T. Shough</t>
  </si>
  <si>
    <t>QB-21</t>
  </si>
  <si>
    <r>
      <rPr>
        <rFont val="Poppins, Arial, Helvetica, sans-serif"/>
        <color rgb="FF1155CC"/>
        <sz val="9.0"/>
        <u/>
      </rPr>
      <t>Justin Herbert</t>
    </r>
    <r>
      <rPr>
        <rFont val="Poppins, Arial, Helvetica, sans-serif"/>
        <sz val="9.0"/>
      </rPr>
      <t xml:space="preserve"> (LAC)</t>
    </r>
  </si>
  <si>
    <t>RB1</t>
  </si>
  <si>
    <t>QB8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</si>
  <si>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SFRB3</t>
    </r>
  </si>
  <si>
    <r>
      <rPr>
        <rFont val="Poppins, Arial, Helvetica, sans-serif"/>
        <color rgb="FF1155CC"/>
        <sz val="9.0"/>
        <u/>
      </rPr>
      <t>Jahmyr Gibbs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</si>
  <si>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sz val="9.0"/>
        <u/>
      </rPr>
      <t>Bijan Robinson</t>
    </r>
    <r>
      <rPr>
        <rFont val="Poppins, Arial, Helvetica, sans-serif"/>
        <sz val="9.0"/>
      </rPr>
      <t xml:space="preserve"> (ATL)</t>
    </r>
  </si>
  <si>
    <t>RB3</t>
  </si>
  <si>
    <t>Tier 3</t>
  </si>
  <si>
    <r>
      <rPr>
        <rFont val="Poppins, Arial, Helvetica, sans-serif"/>
        <color rgb="FF1155CC"/>
        <u/>
      </rPr>
      <t>Customize Tiers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</si>
  <si>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SEAWR3</t>
    </r>
  </si>
  <si>
    <r>
      <rPr>
        <rFont val="Poppins, Arial, Helvetica, sans-serif"/>
        <color rgb="FF1155CC"/>
        <sz val="9.0"/>
        <u/>
      </rPr>
      <t>Jaxon Smith-Njigba</t>
    </r>
    <r>
      <rPr>
        <rFont val="Poppins, Arial, Helvetica, sans-serif"/>
        <sz val="9.0"/>
      </rPr>
      <t xml:space="preserve"> (SEA)</t>
    </r>
  </si>
  <si>
    <t>WR3</t>
  </si>
  <si>
    <r>
      <rPr>
        <rFont val="Poppins, Arial, Helvetica, sans-serif"/>
        <color rgb="FF1155CC"/>
        <sz val="9.0"/>
        <u/>
      </rPr>
      <t>Amon-Ra St. Brown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</si>
  <si>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DETWR4</t>
    </r>
  </si>
  <si>
    <t>WR4</t>
  </si>
  <si>
    <r>
      <rPr>
        <rFont val="Poppins, Arial, Helvetica, sans-serif"/>
        <color rgb="FF1155CC"/>
        <sz val="9.0"/>
        <u/>
      </rPr>
      <t>Trevor Lawrence</t>
    </r>
    <r>
      <rPr>
        <rFont val="Poppins, Arial, Helvetica, sans-serif"/>
        <sz val="9.0"/>
      </rPr>
      <t xml:space="preserve"> (JAC)</t>
    </r>
  </si>
  <si>
    <t>WR5</t>
  </si>
  <si>
    <t>QB9</t>
  </si>
  <si>
    <r>
      <rPr>
        <rFont val="Poppins, Arial, Helvetica, sans-serif"/>
        <color rgb="FF1155CC"/>
        <sz val="9.0"/>
        <u/>
      </rPr>
      <t>Dak Prescott</t>
    </r>
    <r>
      <rPr>
        <rFont val="Poppins, Arial, Helvetica, sans-serif"/>
        <sz val="9.0"/>
      </rPr>
      <t xml:space="preserve"> (DAL)</t>
    </r>
  </si>
  <si>
    <t>QB10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</si>
  <si>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BALQB2</t>
    </r>
  </si>
  <si>
    <r>
      <rPr>
        <rFont val="Poppins, Arial, Helvetica, sans-serif"/>
        <color rgb="FF1155CC"/>
        <sz val="9.0"/>
        <u/>
      </rPr>
      <t>Christian McCaffrey</t>
    </r>
    <r>
      <rPr>
        <rFont val="Poppins, Arial, Helvetica, sans-serif"/>
        <sz val="9.0"/>
      </rPr>
      <t xml:space="preserve"> (SF)</t>
    </r>
  </si>
  <si>
    <r>
      <rPr>
        <rFont val="Poppins, Arial, Helvetica, sans-serif"/>
        <color rgb="FF1155CC"/>
        <sz val="9.0"/>
        <u/>
      </rPr>
      <t>CeeDee Lamb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</si>
  <si>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sz val="9.0"/>
        <u/>
      </rPr>
      <t>Justin Jefferson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</si>
  <si>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</si>
  <si>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t>WR6</t>
  </si>
  <si>
    <r>
      <rPr>
        <rFont val="Poppins, Arial, Helvetica, sans-serif"/>
        <color rgb="FF1155CC"/>
        <sz val="9.0"/>
        <u/>
      </rPr>
      <t>Brock Purdy</t>
    </r>
    <r>
      <rPr>
        <rFont val="Poppins, Arial, Helvetica, sans-serif"/>
        <sz val="9.0"/>
      </rPr>
      <t xml:space="preserve"> (SF)</t>
    </r>
  </si>
  <si>
    <t>QB11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</si>
  <si>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NEQB3</t>
    </r>
  </si>
  <si>
    <r>
      <rPr>
        <rFont val="Poppins, Arial, Helvetica, sans-serif"/>
        <color rgb="FF1155CC"/>
        <sz val="9.0"/>
        <u/>
      </rPr>
      <t>Jaxson Dart</t>
    </r>
    <r>
      <rPr>
        <rFont val="Poppins, Arial, Helvetica, sans-serif"/>
        <sz val="9.0"/>
      </rPr>
      <t xml:space="preserve"> (NYG)</t>
    </r>
  </si>
  <si>
    <t>QB12</t>
  </si>
  <si>
    <t>Tier 4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</si>
  <si>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</si>
  <si>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Jonathan Taylor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</si>
  <si>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MINWR6</t>
    </r>
  </si>
  <si>
    <t>RB4</t>
  </si>
  <si>
    <r>
      <rPr>
        <rFont val="Poppins, Arial, Helvetica, sans-serif"/>
        <color rgb="FF1155CC"/>
        <sz val="9.0"/>
        <u/>
      </rPr>
      <t>Bo Nix</t>
    </r>
    <r>
      <rPr>
        <rFont val="Poppins, Arial, Helvetica, sans-serif"/>
        <sz val="9.0"/>
      </rPr>
      <t xml:space="preserve"> (DEN)</t>
    </r>
  </si>
  <si>
    <t>QB13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</si>
  <si>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WASQB4</t>
    </r>
  </si>
  <si>
    <r>
      <rPr>
        <rFont val="Poppins, Arial, Helvetica, sans-serif"/>
        <color rgb="FF1155CC"/>
        <sz val="9.0"/>
        <u/>
      </rPr>
      <t>Drake London</t>
    </r>
    <r>
      <rPr>
        <rFont val="Poppins, Arial, Helvetica, sans-serif"/>
        <sz val="9.0"/>
      </rPr>
      <t xml:space="preserve"> (ATL)</t>
    </r>
  </si>
  <si>
    <t>WR7</t>
  </si>
  <si>
    <r>
      <rPr>
        <rFont val="Poppins, Arial, Helvetica, sans-serif"/>
        <color rgb="FF1155CC"/>
        <sz val="9.0"/>
        <u/>
      </rPr>
      <t>Patrick Mahomes II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</si>
  <si>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INDRB4</t>
    </r>
  </si>
  <si>
    <t>QB14</t>
  </si>
  <si>
    <r>
      <rPr>
        <rFont val="Poppins, Arial, Helvetica, sans-serif"/>
        <color rgb="FF1155CC"/>
        <sz val="9.0"/>
        <u/>
      </rPr>
      <t>A.J. Brown</t>
    </r>
    <r>
      <rPr>
        <rFont val="Poppins, Arial, Helvetica, sans-serif"/>
        <sz val="9.0"/>
      </rPr>
      <t xml:space="preserve"> (NE)</t>
    </r>
  </si>
  <si>
    <t>WR8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</si>
  <si>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</si>
  <si>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r>
      <rPr>
        <rFont val="Poppins, Arial, Helvetica, sans-serif"/>
        <color rgb="FF1155CC"/>
        <sz val="9.0"/>
        <u/>
      </rPr>
      <t>Matthew Stafford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</si>
  <si>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LVRRB5</t>
    </r>
  </si>
  <si>
    <t>QB15</t>
  </si>
  <si>
    <t>RB6</t>
  </si>
  <si>
    <r>
      <rPr>
        <rFont val="Poppins, Arial, Helvetica, sans-serif"/>
        <color rgb="FF1155CC"/>
        <sz val="9.0"/>
        <u/>
      </rPr>
      <t>Nico Collins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</si>
  <si>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PHIQB6</t>
    </r>
  </si>
  <si>
    <t>WR9</t>
  </si>
  <si>
    <r>
      <rPr>
        <rFont val="Poppins, Arial, Helvetica, sans-serif"/>
        <color rgb="FF1155CC"/>
        <sz val="9.0"/>
        <u/>
      </rPr>
      <t>Ashton Jeanty</t>
    </r>
    <r>
      <rPr>
        <rFont val="Poppins, Arial, Helvetica, sans-serif"/>
        <sz val="9.0"/>
      </rPr>
      <t xml:space="preserve"> (LV)</t>
    </r>
  </si>
  <si>
    <t>RB5</t>
  </si>
  <si>
    <r>
      <rPr>
        <rFont val="Poppins, Arial, Helvetica, sans-serif"/>
        <color rgb="FF1155CC"/>
        <sz val="9.0"/>
        <u/>
      </rPr>
      <t>Chase Brown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</si>
  <si>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BUFRB6</t>
    </r>
  </si>
  <si>
    <t>Tier 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</si>
  <si>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</si>
  <si>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Jared Goff</t>
    </r>
    <r>
      <rPr>
        <rFont val="Poppins, Arial, Helvetica, sans-serif"/>
        <sz val="9.0"/>
      </rPr>
      <t xml:space="preserve"> (DET)</t>
    </r>
  </si>
  <si>
    <t>QB16</t>
  </si>
  <si>
    <r>
      <rPr>
        <rFont val="Poppins, Arial, Helvetica, sans-serif"/>
        <color rgb="FF1155CC"/>
        <sz val="9.0"/>
        <u/>
      </rPr>
      <t>James Cook III</t>
    </r>
    <r>
      <rPr>
        <rFont val="Poppins, Arial, Helvetica, sans-serif"/>
        <sz val="9.0"/>
      </rPr>
      <t xml:space="preserve"> (BUF)</t>
    </r>
  </si>
  <si>
    <t>RB7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</si>
  <si>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NEWR7</t>
    </r>
  </si>
  <si>
    <r>
      <rPr>
        <rFont val="Poppins, Arial, Helvetica, sans-serif"/>
        <color rgb="FF1155CC"/>
        <sz val="9.0"/>
        <u/>
      </rPr>
      <t>Trey McBride</t>
    </r>
    <r>
      <rPr>
        <rFont val="Poppins, Arial, Helvetica, sans-serif"/>
        <sz val="9.0"/>
      </rPr>
      <t xml:space="preserve"> (ARI)</t>
    </r>
  </si>
  <si>
    <t>TE1</t>
  </si>
  <si>
    <r>
      <rPr>
        <rFont val="Poppins, Arial, Helvetica, sans-serif"/>
        <color rgb="FF1155CC"/>
        <sz val="9.0"/>
        <u/>
      </rPr>
      <t>George Pickens</t>
    </r>
    <r>
      <rPr>
        <rFont val="Poppins, Arial, Helvetica, sans-serif"/>
        <sz val="9.0"/>
      </rPr>
      <t xml:space="preserve"> (DAL)</t>
    </r>
  </si>
  <si>
    <t>WR10</t>
  </si>
  <si>
    <r>
      <rPr>
        <rFont val="Poppins, Arial, Helvetica, sans-serif"/>
        <color rgb="FF1155CC"/>
        <sz val="9.0"/>
        <u/>
      </rPr>
      <t>Rashee Rice</t>
    </r>
    <r>
      <rPr>
        <rFont val="Poppins, Arial, Helvetica, sans-serif"/>
        <sz val="9.0"/>
      </rPr>
      <t xml:space="preserve"> (KC)</t>
    </r>
  </si>
  <si>
    <t>WR11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</si>
  <si>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ATLWR8</t>
    </r>
  </si>
  <si>
    <r>
      <rPr>
        <rFont val="Poppins, Arial, Helvetica, sans-serif"/>
        <color rgb="FF1155CC"/>
        <sz val="9.0"/>
        <u/>
      </rPr>
      <t>De'Von Achane</t>
    </r>
    <r>
      <rPr>
        <rFont val="Poppins, Arial, Helvetica, sans-serif"/>
        <sz val="9.0"/>
      </rPr>
      <t xml:space="preserve"> (MIA)</t>
    </r>
  </si>
  <si>
    <t>RB8</t>
  </si>
  <si>
    <r>
      <rPr>
        <rFont val="Poppins, Arial, Helvetica, sans-serif"/>
        <color rgb="FF1155CC"/>
        <sz val="9.0"/>
        <u/>
      </rPr>
      <t>Brock Bowers</t>
    </r>
    <r>
      <rPr>
        <rFont val="Poppins, Arial, Helvetica, sans-serif"/>
        <sz val="9.0"/>
      </rPr>
      <t xml:space="preserve"> (LV)</t>
    </r>
  </si>
  <si>
    <t>TE2</t>
  </si>
  <si>
    <r>
      <rPr>
        <rFont val="Poppins, Arial, Helvetica, sans-serif"/>
        <color rgb="FF1155CC"/>
        <sz val="9.0"/>
        <u/>
      </rPr>
      <t>Chris Olave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</si>
  <si>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HOUWR9</t>
    </r>
  </si>
  <si>
    <t>WR12</t>
  </si>
  <si>
    <r>
      <rPr>
        <rFont val="Poppins, Arial, Helvetica, sans-serif"/>
        <color rgb="FF1155CC"/>
        <sz val="9.0"/>
        <u/>
      </rPr>
      <t>Kyler Murray</t>
    </r>
    <r>
      <rPr>
        <rFont val="Poppins, Arial, Helvetica, sans-serif"/>
        <sz val="9.0"/>
      </rPr>
      <t xml:space="preserve"> (MIN)</t>
    </r>
  </si>
  <si>
    <t>QB17</t>
  </si>
  <si>
    <r>
      <rPr>
        <rFont val="Poppins, Arial, Helvetica, sans-serif"/>
        <color rgb="FF1155CC"/>
        <sz val="9.0"/>
        <u/>
      </rPr>
      <t>DeVonta Smith</t>
    </r>
    <r>
      <rPr>
        <rFont val="Poppins, Arial, Helvetica, sans-serif"/>
        <sz val="9.0"/>
      </rPr>
      <t xml:space="preserve"> (PHI)</t>
    </r>
  </si>
  <si>
    <t>WR13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</si>
  <si>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KCWR10</t>
    </r>
  </si>
  <si>
    <r>
      <rPr>
        <rFont val="Poppins, Arial, Helvetica, sans-serif"/>
        <color rgb="FF1155CC"/>
        <sz val="9.0"/>
        <u/>
      </rPr>
      <t>Omarion Hampton</t>
    </r>
    <r>
      <rPr>
        <rFont val="Poppins, Arial, Helvetica, sans-serif"/>
        <sz val="9.0"/>
      </rPr>
      <t xml:space="preserve"> (LAC)</t>
    </r>
  </si>
  <si>
    <t>RB9</t>
  </si>
  <si>
    <r>
      <rPr>
        <rFont val="Poppins, Arial, Helvetica, sans-serif"/>
        <color rgb="FF1155CC"/>
        <sz val="9.0"/>
        <u/>
      </rPr>
      <t>Saquon Barkley</t>
    </r>
    <r>
      <rPr>
        <rFont val="Poppins, Arial, Helvetica, sans-serif"/>
        <sz val="9.0"/>
      </rPr>
      <t xml:space="preserve"> (PHI)</t>
    </r>
  </si>
  <si>
    <t>RB10</t>
  </si>
  <si>
    <r>
      <rPr>
        <rFont val="Poppins, Arial, Helvetica, sans-serif"/>
        <color rgb="FF1155CC"/>
        <sz val="9.0"/>
        <u/>
      </rPr>
      <t>Baker Mayfield</t>
    </r>
    <r>
      <rPr>
        <rFont val="Poppins, Arial, Helvetica, sans-serif"/>
        <sz val="9.0"/>
      </rPr>
      <t xml:space="preserve"> (TB)</t>
    </r>
  </si>
  <si>
    <t>QB18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</si>
  <si>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JACQB7</t>
    </r>
  </si>
  <si>
    <r>
      <rPr>
        <rFont val="Poppins, Arial, Helvetica, sans-serif"/>
        <color rgb="FF1155CC"/>
        <sz val="9.0"/>
        <u/>
      </rPr>
      <t>Kenneth Walker III</t>
    </r>
    <r>
      <rPr>
        <rFont val="Poppins, Arial, Helvetica, sans-serif"/>
        <sz val="9.0"/>
      </rPr>
      <t xml:space="preserve"> (KC)</t>
    </r>
  </si>
  <si>
    <t>RB11</t>
  </si>
  <si>
    <r>
      <rPr>
        <rFont val="Poppins, Arial, Helvetica, sans-serif"/>
        <color rgb="FF1155CC"/>
        <sz val="9.0"/>
        <u/>
      </rPr>
      <t>Zay Flowers</t>
    </r>
    <r>
      <rPr>
        <rFont val="Poppins, Arial, Helvetica, sans-serif"/>
        <sz val="9.0"/>
      </rPr>
      <t xml:space="preserve"> (BAL)</t>
    </r>
  </si>
  <si>
    <t>WR14</t>
  </si>
  <si>
    <r>
      <rPr>
        <rFont val="Poppins, Arial, Helvetica, sans-serif"/>
        <color rgb="FF1155CC"/>
        <sz val="9.0"/>
        <u/>
      </rPr>
      <t>Jordan Love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</si>
  <si>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</si>
  <si>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t>QB19</t>
  </si>
  <si>
    <r>
      <rPr>
        <rFont val="Poppins, Arial, Helvetica, sans-serif"/>
        <color rgb="FF1155CC"/>
        <sz val="9.0"/>
        <u/>
      </rPr>
      <t>Tyler Shough</t>
    </r>
    <r>
      <rPr>
        <rFont val="Poppins, Arial, Helvetica, sans-serif"/>
        <sz val="9.0"/>
      </rPr>
      <t xml:space="preserve"> (NO)</t>
    </r>
  </si>
  <si>
    <t>QB20</t>
  </si>
  <si>
    <r>
      <rPr>
        <rFont val="Poppins, Arial, Helvetica, sans-serif"/>
        <color rgb="FF1155CC"/>
        <sz val="9.0"/>
        <u/>
      </rPr>
      <t>Garrett Wilson</t>
    </r>
    <r>
      <rPr>
        <rFont val="Poppins, Arial, Helvetica, sans-serif"/>
        <sz val="9.0"/>
      </rPr>
      <t xml:space="preserve"> (NYJ)</t>
    </r>
  </si>
  <si>
    <t>WR15</t>
  </si>
  <si>
    <t>Tier 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</si>
  <si>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</si>
  <si>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Tetairoa McMillan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</si>
  <si>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PHIRB7</t>
    </r>
  </si>
  <si>
    <t>WR16</t>
  </si>
  <si>
    <r>
      <rPr>
        <rFont val="Poppins, Arial, Helvetica, sans-serif"/>
        <color rgb="FF1155CC"/>
        <sz val="9.0"/>
        <u/>
      </rPr>
      <t>Malik Nabers</t>
    </r>
    <r>
      <rPr>
        <rFont val="Poppins, Arial, Helvetica, sans-serif"/>
        <sz val="9.0"/>
      </rPr>
      <t xml:space="preserve"> (NYG)</t>
    </r>
  </si>
  <si>
    <t>WR17</t>
  </si>
  <si>
    <r>
      <rPr>
        <rFont val="Poppins, Arial, Helvetica, sans-serif"/>
        <color rgb="FF1155CC"/>
        <sz val="9.0"/>
        <u/>
      </rPr>
      <t>Tee Higgins</t>
    </r>
    <r>
      <rPr>
        <rFont val="Poppins, Arial, Helvetica, sans-serif"/>
        <sz val="9.0"/>
      </rPr>
      <t xml:space="preserve"> (CIN)</t>
    </r>
  </si>
  <si>
    <t>WR18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</si>
  <si>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SFQB9</t>
    </r>
  </si>
  <si>
    <r>
      <rPr>
        <rFont val="Poppins, Arial, Helvetica, sans-serif"/>
        <color rgb="FF1155CC"/>
        <sz val="9.0"/>
        <u/>
      </rPr>
      <t>Ladd McConkey</t>
    </r>
    <r>
      <rPr>
        <rFont val="Poppins, Arial, Helvetica, sans-serif"/>
        <sz val="9.0"/>
      </rPr>
      <t xml:space="preserve"> (LAC)</t>
    </r>
  </si>
  <si>
    <t>WR19</t>
  </si>
  <si>
    <r>
      <rPr>
        <rFont val="Poppins, Arial, Helvetica, sans-serif"/>
        <color rgb="FF1155CC"/>
        <sz val="9.0"/>
        <u/>
      </rPr>
      <t>Malik Willis</t>
    </r>
    <r>
      <rPr>
        <rFont val="Poppins, Arial, Helvetica, sans-serif"/>
        <sz val="9.0"/>
      </rPr>
      <t xml:space="preserve"> (MIA)</t>
    </r>
  </si>
  <si>
    <t>QB21</t>
  </si>
  <si>
    <r>
      <rPr>
        <rFont val="Poppins, Arial, Helvetica, sans-serif"/>
        <color rgb="FF1155CC"/>
        <sz val="9.0"/>
        <u/>
      </rPr>
      <t>Colston Loveland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</si>
  <si>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CHIQB10</t>
    </r>
  </si>
  <si>
    <t>TE3</t>
  </si>
  <si>
    <r>
      <rPr>
        <rFont val="Poppins, Arial, Helvetica, sans-serif"/>
        <color rgb="FF1155CC"/>
        <sz val="9.0"/>
        <u/>
      </rPr>
      <t>Emeka Egbuka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</si>
  <si>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MINQB11</t>
    </r>
  </si>
  <si>
    <t>WR20</t>
  </si>
  <si>
    <r>
      <rPr>
        <rFont val="Poppins, Arial, Helvetica, sans-serif"/>
        <color rgb="FF1155CC"/>
        <sz val="9.0"/>
        <u/>
      </rPr>
      <t>Jaylen Waddle</t>
    </r>
    <r>
      <rPr>
        <rFont val="Poppins, Arial, Helvetica, sans-serif"/>
        <sz val="9.0"/>
      </rPr>
      <t xml:space="preserve"> (DEN)</t>
    </r>
  </si>
  <si>
    <t>QB23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</si>
  <si>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DALQB12</t>
    </r>
  </si>
  <si>
    <t>WR21</t>
  </si>
  <si>
    <r>
      <rPr>
        <rFont val="Poppins, Arial, Helvetica, sans-serif"/>
        <color rgb="FF1155CC"/>
        <sz val="9.0"/>
        <u/>
      </rPr>
      <t>Jeremiyah Love</t>
    </r>
    <r>
      <rPr>
        <rFont val="Poppins, Arial, Helvetica, sans-serif"/>
        <sz val="9.0"/>
      </rPr>
      <t xml:space="preserve"> (ARI)</t>
    </r>
  </si>
  <si>
    <t>RB12</t>
  </si>
  <si>
    <r>
      <rPr>
        <rFont val="Poppins, Arial, Helvetica, sans-serif"/>
        <color rgb="FF1155CC"/>
        <sz val="9.0"/>
        <u/>
      </rPr>
      <t>Derrick Henry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</si>
  <si>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KCRB8</t>
    </r>
  </si>
  <si>
    <t>RB13</t>
  </si>
  <si>
    <r>
      <rPr>
        <rFont val="Poppins, Arial, Helvetica, sans-serif"/>
        <color rgb="FF1155CC"/>
        <sz val="9.0"/>
        <u/>
      </rPr>
      <t>Breece Hall</t>
    </r>
    <r>
      <rPr>
        <rFont val="Poppins, Arial, Helvetica, sans-serif"/>
        <sz val="9.0"/>
      </rPr>
      <t xml:space="preserve"> (NYJ)</t>
    </r>
  </si>
  <si>
    <t>RB14</t>
  </si>
  <si>
    <r>
      <rPr>
        <rFont val="Poppins, Arial, Helvetica, sans-serif"/>
        <color rgb="FF1155CC"/>
        <sz val="9.0"/>
        <u/>
      </rPr>
      <t>Kyren Williams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</si>
  <si>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MIARB9</t>
    </r>
  </si>
  <si>
    <t>RB15</t>
  </si>
  <si>
    <r>
      <rPr>
        <rFont val="Poppins, Arial, Helvetica, sans-serif"/>
        <color rgb="FF1155CC"/>
        <sz val="9.0"/>
        <u/>
      </rPr>
      <t>C.J. Stroud</t>
    </r>
    <r>
      <rPr>
        <rFont val="Poppins, Arial, Helvetica, sans-serif"/>
        <sz val="9.0"/>
      </rPr>
      <t xml:space="preserve"> (HOU)</t>
    </r>
  </si>
  <si>
    <t>QB22</t>
  </si>
  <si>
    <r>
      <rPr>
        <rFont val="Poppins, Arial, Helvetica, sans-serif"/>
        <color rgb="FF1155CC"/>
        <sz val="9.0"/>
        <u/>
      </rPr>
      <t>Terry McLaurin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</si>
  <si>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DALWR11</t>
    </r>
  </si>
  <si>
    <t>WR22</t>
  </si>
  <si>
    <r>
      <rPr>
        <rFont val="Poppins, Arial, Helvetica, sans-serif"/>
        <color rgb="FF1155CC"/>
        <sz val="9.0"/>
        <u/>
      </rPr>
      <t>Sam Darnold</t>
    </r>
    <r>
      <rPr>
        <rFont val="Poppins, Arial, Helvetica, sans-serif"/>
        <sz val="9.0"/>
      </rPr>
      <t xml:space="preserve"> (SEA)</t>
    </r>
  </si>
  <si>
    <r>
      <rPr>
        <rFont val="Poppins, Arial, Helvetica, sans-serif"/>
        <color rgb="FF1155CC"/>
        <sz val="9.0"/>
        <u/>
      </rPr>
      <t>Josh Jacobs</t>
    </r>
    <r>
      <rPr>
        <rFont val="Poppins, Arial, Helvetica, sans-serif"/>
        <sz val="9.0"/>
      </rPr>
      <t xml:space="preserve"> (GB)</t>
    </r>
  </si>
  <si>
    <t>RB16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</si>
  <si>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</si>
  <si>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r>
      <rPr>
        <rFont val="Poppins, Arial, Helvetica, sans-serif"/>
        <color rgb="FF1155CC"/>
        <sz val="9.0"/>
        <u/>
      </rPr>
      <t>Luther Burden III</t>
    </r>
    <r>
      <rPr>
        <rFont val="Poppins, Arial, Helvetica, sans-serif"/>
        <sz val="9.0"/>
      </rPr>
      <t xml:space="preserve"> (CHI)</t>
    </r>
  </si>
  <si>
    <t>WR23</t>
  </si>
  <si>
    <r>
      <rPr>
        <rFont val="Poppins, Arial, Helvetica, sans-serif"/>
        <color rgb="FF1155CC"/>
        <sz val="9.0"/>
        <u/>
      </rPr>
      <t>Javonte Williams</t>
    </r>
    <r>
      <rPr>
        <rFont val="Poppins, Arial, Helvetica, sans-serif"/>
        <sz val="9.0"/>
      </rPr>
      <t xml:space="preserve"> (DAL)</t>
    </r>
  </si>
  <si>
    <t>RB17</t>
  </si>
  <si>
    <t>Tier 7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</si>
  <si>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</si>
  <si>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Cam Ward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</si>
  <si>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CINRB10</t>
    </r>
  </si>
  <si>
    <t>QB24</t>
  </si>
  <si>
    <r>
      <rPr>
        <rFont val="Poppins, Arial, Helvetica, sans-serif"/>
        <color rgb="FF1155CC"/>
        <sz val="9.0"/>
        <u/>
      </rPr>
      <t>Davante Adams</t>
    </r>
    <r>
      <rPr>
        <rFont val="Poppins, Arial, Helvetica, sans-serif"/>
        <sz val="9.0"/>
      </rPr>
      <t xml:space="preserve"> (LAR)</t>
    </r>
  </si>
  <si>
    <t>WR24</t>
  </si>
  <si>
    <r>
      <rPr>
        <rFont val="Poppins, Arial, Helvetica, sans-serif"/>
        <color rgb="FF1155CC"/>
        <sz val="9.0"/>
        <u/>
      </rPr>
      <t>Travis Etienne Jr.</t>
    </r>
    <r>
      <rPr>
        <rFont val="Poppins, Arial, Helvetica, sans-serif"/>
        <sz val="9.0"/>
      </rPr>
      <t xml:space="preserve"> (NO)</t>
    </r>
  </si>
  <si>
    <t>RB18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</si>
  <si>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LACRB11</t>
    </r>
  </si>
  <si>
    <r>
      <rPr>
        <rFont val="Poppins, Arial, Helvetica, sans-serif"/>
        <color rgb="FF1155CC"/>
        <sz val="9.0"/>
        <u/>
      </rPr>
      <t>Daniel Jones</t>
    </r>
    <r>
      <rPr>
        <rFont val="Poppins, Arial, Helvetica, sans-serif"/>
        <sz val="9.0"/>
      </rPr>
      <t xml:space="preserve"> (IND)</t>
    </r>
  </si>
  <si>
    <t>QB25</t>
  </si>
  <si>
    <r>
      <rPr>
        <rFont val="Poppins, Arial, Helvetica, sans-serif"/>
        <color rgb="FF1155CC"/>
        <sz val="9.0"/>
        <u/>
      </rPr>
      <t>Mike Evans</t>
    </r>
    <r>
      <rPr>
        <rFont val="Poppins, Arial, Helvetica, sans-serif"/>
        <sz val="9.0"/>
      </rPr>
      <t xml:space="preserve"> (SF)</t>
    </r>
  </si>
  <si>
    <t>WR25</t>
  </si>
  <si>
    <r>
      <rPr>
        <rFont val="Poppins, Arial, Helvetica, sans-serif"/>
        <color rgb="FF1155CC"/>
        <sz val="9.0"/>
        <u/>
      </rPr>
      <t>DJ Moore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</si>
  <si>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NYGQB13</t>
    </r>
  </si>
  <si>
    <t>WR26</t>
  </si>
  <si>
    <r>
      <rPr>
        <rFont val="Poppins, Arial, Helvetica, sans-serif"/>
        <color rgb="FF1155CC"/>
        <sz val="9.0"/>
        <u/>
      </rPr>
      <t>Cam Skattebo</t>
    </r>
    <r>
      <rPr>
        <rFont val="Poppins, Arial, Helvetica, sans-serif"/>
        <sz val="9.0"/>
      </rPr>
      <t xml:space="preserve"> (NYG)</t>
    </r>
  </si>
  <si>
    <t>RB19</t>
  </si>
  <si>
    <r>
      <rPr>
        <rFont val="Poppins, Arial, Helvetica, sans-serif"/>
        <color rgb="FF1155CC"/>
        <sz val="9.0"/>
        <u/>
      </rPr>
      <t>Tyler Warren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</si>
  <si>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ARITE2</t>
    </r>
  </si>
  <si>
    <t>TE4</t>
  </si>
  <si>
    <r>
      <rPr>
        <rFont val="Poppins, Arial, Helvetica, sans-serif"/>
        <color rgb="FF1155CC"/>
        <sz val="9.0"/>
        <u/>
      </rPr>
      <t>Jameson Williams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</si>
  <si>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BALRB12</t>
    </r>
  </si>
  <si>
    <t>WR27</t>
  </si>
  <si>
    <r>
      <rPr>
        <rFont val="Poppins, Arial, Helvetica, sans-serif"/>
        <color rgb="FF1155CC"/>
        <sz val="9.0"/>
        <u/>
      </rPr>
      <t>Bryce Young</t>
    </r>
    <r>
      <rPr>
        <rFont val="Poppins, Arial, Helvetica, sans-serif"/>
        <sz val="9.0"/>
      </rPr>
      <t xml:space="preserve"> (CAR)</t>
    </r>
  </si>
  <si>
    <t>QB26</t>
  </si>
  <si>
    <r>
      <rPr>
        <rFont val="Poppins, Arial, Helvetica, sans-serif"/>
        <color rgb="FF1155CC"/>
        <sz val="9.0"/>
        <u/>
      </rPr>
      <t>Christian Watson</t>
    </r>
    <r>
      <rPr>
        <rFont val="Poppins, Arial, Helvetica, sans-serif"/>
        <sz val="9.0"/>
      </rPr>
      <t xml:space="preserve"> (GB)</t>
    </r>
  </si>
  <si>
    <t>WR28</t>
  </si>
  <si>
    <r>
      <rPr>
        <rFont val="Poppins, Arial, Helvetica, sans-serif"/>
        <color rgb="FF1155CC"/>
        <sz val="9.0"/>
        <u/>
      </rPr>
      <t>Rome Odunze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</si>
  <si>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DENQB14</t>
    </r>
  </si>
  <si>
    <t>WR29</t>
  </si>
  <si>
    <r>
      <rPr>
        <rFont val="Poppins, Arial, Helvetica, sans-serif"/>
        <color rgb="FF1155CC"/>
        <sz val="9.0"/>
        <u/>
      </rPr>
      <t>Bucky Irving</t>
    </r>
    <r>
      <rPr>
        <rFont val="Poppins, Arial, Helvetica, sans-serif"/>
        <sz val="9.0"/>
      </rPr>
      <t xml:space="preserve"> (TB)</t>
    </r>
  </si>
  <si>
    <t>RB20</t>
  </si>
  <si>
    <r>
      <rPr>
        <rFont val="Poppins, Arial, Helvetica, sans-serif"/>
        <color rgb="FF1155CC"/>
        <sz val="9.0"/>
        <u/>
      </rPr>
      <t>D'Andre Swift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</si>
  <si>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NYGWR12</t>
    </r>
  </si>
  <si>
    <t>RB21</t>
  </si>
  <si>
    <r>
      <rPr>
        <rFont val="Poppins, Arial, Helvetica, sans-serif"/>
        <color rgb="FF1155CC"/>
        <sz val="9.0"/>
        <u/>
      </rPr>
      <t>Quinshon Judkins</t>
    </r>
    <r>
      <rPr>
        <rFont val="Poppins, Arial, Helvetica, sans-serif"/>
        <sz val="9.0"/>
      </rPr>
      <t xml:space="preserve"> (CLE)</t>
    </r>
  </si>
  <si>
    <t>RB22</t>
  </si>
  <si>
    <r>
      <rPr>
        <rFont val="Poppins, Arial, Helvetica, sans-serif"/>
        <color rgb="FF1155CC"/>
        <sz val="9.0"/>
        <u/>
      </rPr>
      <t>Jacoby Brissett</t>
    </r>
    <r>
      <rPr>
        <rFont val="Poppins, Arial, Helvetica, sans-serif"/>
        <sz val="9.0"/>
      </rPr>
      <t xml:space="preserve"> (ARI)</t>
    </r>
  </si>
  <si>
    <t>QB27</t>
  </si>
  <si>
    <r>
      <rPr>
        <rFont val="Poppins, Arial, Helvetica, sans-serif"/>
        <color rgb="FF1155CC"/>
        <sz val="9.0"/>
        <u/>
      </rPr>
      <t>David Montgomery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</si>
  <si>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BALWR13</t>
    </r>
  </si>
  <si>
    <t>RB23</t>
  </si>
  <si>
    <r>
      <rPr>
        <rFont val="Poppins, Arial, Helvetica, sans-serif"/>
        <color rgb="FF1155CC"/>
        <sz val="9.0"/>
        <u/>
      </rPr>
      <t>TreVeyon Henderson</t>
    </r>
    <r>
      <rPr>
        <rFont val="Poppins, Arial, Helvetica, sans-serif"/>
        <sz val="9.0"/>
      </rPr>
      <t xml:space="preserve"> (NE)</t>
    </r>
  </si>
  <si>
    <t>RB24</t>
  </si>
  <si>
    <r>
      <rPr>
        <rFont val="Poppins, Arial, Helvetica, sans-serif"/>
        <color rgb="FF1155CC"/>
        <sz val="9.0"/>
        <u/>
      </rPr>
      <t>Carnell Tate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</si>
  <si>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ARIRB13</t>
    </r>
  </si>
  <si>
    <t>WR30</t>
  </si>
  <si>
    <t>Tier 8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</si>
  <si>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</si>
  <si>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Bhayshul Tuten</t>
    </r>
    <r>
      <rPr>
        <rFont val="Poppins, Arial, Helvetica, sans-serif"/>
        <sz val="9.0"/>
      </rPr>
      <t xml:space="preserve"> (JAC)</t>
    </r>
  </si>
  <si>
    <t>RB25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</si>
  <si>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KCQB15</t>
    </r>
  </si>
  <si>
    <r>
      <rPr>
        <rFont val="Poppins, Arial, Helvetica, sans-serif"/>
        <color rgb="FF1155CC"/>
        <sz val="9.0"/>
        <u/>
      </rPr>
      <t>Marvin Harrison Jr.</t>
    </r>
    <r>
      <rPr>
        <rFont val="Poppins, Arial, Helvetica, sans-serif"/>
        <sz val="9.0"/>
      </rPr>
      <t xml:space="preserve"> (ARI)</t>
    </r>
  </si>
  <si>
    <t>WR31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</si>
  <si>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NOWR14</t>
    </r>
  </si>
  <si>
    <r>
      <rPr>
        <rFont val="Poppins, Arial, Helvetica, sans-serif"/>
        <color rgb="FF1155CC"/>
        <sz val="9.0"/>
        <u/>
      </rPr>
      <t>Harold Fannin Jr.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</si>
  <si>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</si>
  <si>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t>TE5</t>
  </si>
  <si>
    <r>
      <rPr>
        <rFont val="Poppins, Arial, Helvetica, sans-serif"/>
        <color rgb="FF1155CC"/>
        <sz val="9.0"/>
        <u/>
      </rPr>
      <t>Tucker Kraft</t>
    </r>
    <r>
      <rPr>
        <rFont val="Poppins, Arial, Helvetica, sans-serif"/>
        <sz val="9.0"/>
      </rPr>
      <t xml:space="preserve"> (GB)</t>
    </r>
  </si>
  <si>
    <t>TE6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</si>
  <si>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PHIWR15</t>
    </r>
  </si>
  <si>
    <r>
      <rPr>
        <rFont val="Poppins, Arial, Helvetica, sans-serif"/>
        <color rgb="FF1155CC"/>
        <sz val="9.0"/>
        <u/>
      </rPr>
      <t>Jaylen Warren</t>
    </r>
    <r>
      <rPr>
        <rFont val="Poppins, Arial, Helvetica, sans-serif"/>
        <sz val="9.0"/>
      </rPr>
      <t xml:space="preserve"> (PIT)</t>
    </r>
  </si>
  <si>
    <t>RB26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</si>
  <si>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CINWR16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</si>
  <si>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GBRB14</t>
    </r>
  </si>
  <si>
    <r>
      <rPr>
        <rFont val="Poppins, Arial, Helvetica, sans-serif"/>
        <color rgb="FF1155CC"/>
        <sz val="9.0"/>
        <u/>
      </rPr>
      <t>Brian Thomas Jr.</t>
    </r>
    <r>
      <rPr>
        <rFont val="Poppins, Arial, Helvetica, sans-serif"/>
        <sz val="9.0"/>
      </rPr>
      <t xml:space="preserve"> (JAC)</t>
    </r>
  </si>
  <si>
    <t>WR32</t>
  </si>
  <si>
    <r>
      <rPr>
        <rFont val="Poppins, Arial, Helvetica, sans-serif"/>
        <color rgb="FF1155CC"/>
        <sz val="9.0"/>
        <u/>
      </rPr>
      <t>Jadarian Price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</si>
  <si>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NYJWR17</t>
    </r>
  </si>
  <si>
    <t>RB27</t>
  </si>
  <si>
    <r>
      <rPr>
        <rFont val="Poppins, Arial, Helvetica, sans-serif"/>
        <color rgb="FF1155CC"/>
        <sz val="9.0"/>
        <u/>
      </rPr>
      <t>DK Metcalf</t>
    </r>
    <r>
      <rPr>
        <rFont val="Poppins, Arial, Helvetica, sans-serif"/>
        <sz val="9.0"/>
      </rPr>
      <t xml:space="preserve"> (PIT)</t>
    </r>
  </si>
  <si>
    <t>WR33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</si>
  <si>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NYJRB15</t>
    </r>
  </si>
  <si>
    <r>
      <rPr>
        <rFont val="Poppins, Arial, Helvetica, sans-serif"/>
        <color rgb="FF1155CC"/>
        <sz val="9.0"/>
        <u/>
      </rPr>
      <t>Parker Washington</t>
    </r>
    <r>
      <rPr>
        <rFont val="Poppins, Arial, Helvetica, sans-serif"/>
        <sz val="9.0"/>
      </rPr>
      <t xml:space="preserve"> (JAC)</t>
    </r>
  </si>
  <si>
    <t>WR34</t>
  </si>
  <si>
    <r>
      <rPr>
        <rFont val="Poppins, Arial, Helvetica, sans-serif"/>
        <color rgb="FF1155CC"/>
        <sz val="9.0"/>
        <u/>
      </rPr>
      <t>Chris Godwin Jr.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</si>
  <si>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</si>
  <si>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t>WR35</t>
  </si>
  <si>
    <r>
      <rPr>
        <rFont val="Poppins, Arial, Helvetica, sans-serif"/>
        <color rgb="FF1155CC"/>
        <sz val="9.0"/>
        <u/>
      </rPr>
      <t>Kyle Pitts Sr.</t>
    </r>
    <r>
      <rPr>
        <rFont val="Poppins, Arial, Helvetica, sans-serif"/>
        <sz val="9.0"/>
      </rPr>
      <t xml:space="preserve"> (ATL)</t>
    </r>
  </si>
  <si>
    <t>TE7</t>
  </si>
  <si>
    <r>
      <rPr>
        <rFont val="Poppins, Arial, Helvetica, sans-serif"/>
        <color rgb="FF1155CC"/>
        <sz val="9.0"/>
        <u/>
      </rPr>
      <t>Michael Pittman Jr.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</si>
  <si>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DENWR18</t>
    </r>
  </si>
  <si>
    <t>WR36</t>
  </si>
  <si>
    <r>
      <rPr>
        <rFont val="Poppins, Arial, Helvetica, sans-serif"/>
        <color rgb="FF1155CC"/>
        <sz val="9.0"/>
        <u/>
      </rPr>
      <t>Courtland Sutton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</si>
  <si>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DETQB16</t>
    </r>
  </si>
  <si>
    <t>WR37</t>
  </si>
  <si>
    <r>
      <rPr>
        <rFont val="Poppins, Arial, Helvetica, sans-serif"/>
        <color rgb="FF1155CC"/>
        <sz val="9.0"/>
        <u/>
      </rPr>
      <t>Alec Pierce</t>
    </r>
    <r>
      <rPr>
        <rFont val="Poppins, Arial, Helvetica, sans-serif"/>
        <sz val="9.0"/>
      </rPr>
      <t xml:space="preserve"> (IND)</t>
    </r>
  </si>
  <si>
    <t>WR38</t>
  </si>
  <si>
    <r>
      <rPr>
        <rFont val="Poppins, Arial, Helvetica, sans-serif"/>
        <color rgb="FF1155CC"/>
        <sz val="9.0"/>
        <u/>
      </rPr>
      <t>Rhamondre Stevenson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</si>
  <si>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DALRB16</t>
    </r>
  </si>
  <si>
    <t>RB28</t>
  </si>
  <si>
    <r>
      <rPr>
        <rFont val="Poppins, Arial, Helvetica, sans-serif"/>
        <color rgb="FF1155CC"/>
        <sz val="9.0"/>
        <u/>
      </rPr>
      <t>Tony Pollard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</si>
  <si>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LARQB17</t>
    </r>
  </si>
  <si>
    <t>RB29</t>
  </si>
  <si>
    <r>
      <rPr>
        <rFont val="Poppins, Arial, Helvetica, sans-serif"/>
        <color rgb="FF1155CC"/>
        <sz val="9.0"/>
        <u/>
      </rPr>
      <t>Geno Smith</t>
    </r>
    <r>
      <rPr>
        <rFont val="Poppins, Arial, Helvetica, sans-serif"/>
        <sz val="9.0"/>
      </rPr>
      <t xml:space="preserve"> (NYJ)</t>
    </r>
  </si>
  <si>
    <t>QB28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</si>
  <si>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NORB17</t>
    </r>
  </si>
  <si>
    <r>
      <rPr>
        <rFont val="Poppins, Arial, Helvetica, sans-serif"/>
        <color rgb="FF1155CC"/>
        <sz val="9.0"/>
        <u/>
      </rPr>
      <t>Sam LaPorta</t>
    </r>
    <r>
      <rPr>
        <rFont val="Poppins, Arial, Helvetica, sans-serif"/>
        <sz val="9.0"/>
      </rPr>
      <t xml:space="preserve"> (DET)</t>
    </r>
  </si>
  <si>
    <t>TE8</t>
  </si>
  <si>
    <r>
      <rPr>
        <rFont val="Poppins, Arial, Helvetica, sans-serif"/>
        <color rgb="FF1155CC"/>
        <sz val="9.0"/>
        <u/>
      </rPr>
      <t>Chuba Hubbard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</si>
  <si>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NOQB18</t>
    </r>
  </si>
  <si>
    <t>RB30</t>
  </si>
  <si>
    <r>
      <rPr>
        <rFont val="Poppins, Arial, Helvetica, sans-serif"/>
        <color rgb="FF1155CC"/>
        <sz val="9.0"/>
        <u/>
      </rPr>
      <t>Wan'Dale Robinson</t>
    </r>
    <r>
      <rPr>
        <rFont val="Poppins, Arial, Helvetica, sans-serif"/>
        <sz val="9.0"/>
      </rPr>
      <t xml:space="preserve"> (TEN)</t>
    </r>
  </si>
  <si>
    <t>WR39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</si>
  <si>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LARWR19</t>
    </r>
  </si>
  <si>
    <r>
      <rPr>
        <rFont val="Poppins, Arial, Helvetica, sans-serif"/>
        <color rgb="FF1155CC"/>
        <sz val="9.0"/>
        <u/>
      </rPr>
      <t>Josh Downs</t>
    </r>
    <r>
      <rPr>
        <rFont val="Poppins, Arial, Helvetica, sans-serif"/>
        <sz val="9.0"/>
      </rPr>
      <t xml:space="preserve"> (IND)</t>
    </r>
  </si>
  <si>
    <t>WR40</t>
  </si>
  <si>
    <r>
      <rPr>
        <rFont val="Poppins, Arial, Helvetica, sans-serif"/>
        <color rgb="FF1155CC"/>
        <sz val="9.0"/>
        <u/>
      </rPr>
      <t>Jordyn Tyson</t>
    </r>
    <r>
      <rPr>
        <rFont val="Poppins, Arial, Helvetica, sans-serif"/>
        <sz val="9.0"/>
      </rPr>
      <t xml:space="preserve"> (NO)</t>
    </r>
  </si>
  <si>
    <t>WR41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</si>
  <si>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GBQB19</t>
    </r>
  </si>
  <si>
    <r>
      <rPr>
        <rFont val="Poppins, Arial, Helvetica, sans-serif"/>
        <color rgb="FF1155CC"/>
        <sz val="9.0"/>
        <u/>
      </rPr>
      <t>Rico Dowdle</t>
    </r>
    <r>
      <rPr>
        <rFont val="Poppins, Arial, Helvetica, sans-serif"/>
        <sz val="9.0"/>
      </rPr>
      <t xml:space="preserve"> (PIT)</t>
    </r>
  </si>
  <si>
    <t>RB31</t>
  </si>
  <si>
    <r>
      <rPr>
        <rFont val="Poppins, Arial, Helvetica, sans-serif"/>
        <color rgb="FF1155CC"/>
        <sz val="9.0"/>
        <u/>
      </rPr>
      <t>Michael Wilson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</si>
  <si>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LARRB18</t>
    </r>
  </si>
  <si>
    <t>WR42</t>
  </si>
  <si>
    <r>
      <rPr>
        <rFont val="Poppins, Arial, Helvetica, sans-serif"/>
        <color rgb="FF1155CC"/>
        <sz val="9.0"/>
        <u/>
      </rPr>
      <t>RJ Harvey</t>
    </r>
    <r>
      <rPr>
        <rFont val="Poppins, Arial, Helvetica, sans-serif"/>
        <sz val="9.0"/>
      </rPr>
      <t xml:space="preserve"> (DEN)</t>
    </r>
  </si>
  <si>
    <t>RB32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</si>
  <si>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TBWR20</t>
    </r>
  </si>
  <si>
    <r>
      <rPr>
        <rFont val="Poppins, Arial, Helvetica, sans-serif"/>
        <color rgb="FF1155CC"/>
        <sz val="9.0"/>
        <u/>
      </rPr>
      <t>Aaron Rodgers</t>
    </r>
    <r>
      <rPr>
        <rFont val="Poppins, Arial, Helvetica, sans-serif"/>
        <sz val="9.0"/>
      </rPr>
      <t xml:space="preserve"> (PIT)</t>
    </r>
  </si>
  <si>
    <t>QB29</t>
  </si>
  <si>
    <r>
      <rPr>
        <rFont val="Poppins, Arial, Helvetica, sans-serif"/>
        <color rgb="FF1155CC"/>
        <sz val="9.0"/>
        <u/>
      </rPr>
      <t>Travis Kelce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</si>
  <si>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CHIWR21</t>
    </r>
  </si>
  <si>
    <t>TE9</t>
  </si>
  <si>
    <r>
      <rPr>
        <rFont val="Poppins, Arial, Helvetica, sans-serif"/>
        <color rgb="FF1155CC"/>
        <sz val="9.0"/>
        <u/>
      </rPr>
      <t>Jakobi Meyers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</si>
  <si>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CARWR22</t>
    </r>
  </si>
  <si>
    <t>WR43</t>
  </si>
  <si>
    <t>Tier 9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</si>
  <si>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</si>
  <si>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Quentin Johnston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</si>
  <si>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GBWR23</t>
    </r>
  </si>
  <si>
    <t>WR44</t>
  </si>
  <si>
    <r>
      <rPr>
        <rFont val="Poppins, Arial, Helvetica, sans-serif"/>
        <color rgb="FF1155CC"/>
        <sz val="9.0"/>
        <u/>
      </rPr>
      <t>Kenny Gainwell</t>
    </r>
    <r>
      <rPr>
        <rFont val="Poppins, Arial, Helvetica, sans-serif"/>
        <sz val="9.0"/>
      </rPr>
      <t xml:space="preserve"> (TB)</t>
    </r>
  </si>
  <si>
    <t>RB33</t>
  </si>
  <si>
    <r>
      <rPr>
        <rFont val="Poppins, Arial, Helvetica, sans-serif"/>
        <color rgb="FF1155CC"/>
        <sz val="9.0"/>
        <u/>
      </rPr>
      <t>J.K. Dobbins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</si>
  <si>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TBQB20</t>
    </r>
  </si>
  <si>
    <t>RB34</t>
  </si>
  <si>
    <r>
      <rPr>
        <rFont val="Poppins, Arial, Helvetica, sans-serif"/>
        <color rgb="FF1155CC"/>
        <sz val="9.0"/>
        <u/>
      </rPr>
      <t>Makai Lemon</t>
    </r>
    <r>
      <rPr>
        <rFont val="Poppins, Arial, Helvetica, sans-serif"/>
        <sz val="9.0"/>
      </rPr>
      <t xml:space="preserve"> (PHI)</t>
    </r>
  </si>
  <si>
    <t>WR45</t>
  </si>
  <si>
    <r>
      <rPr>
        <rFont val="Poppins, Arial, Helvetica, sans-serif"/>
        <color rgb="FF1155CC"/>
        <sz val="9.0"/>
        <u/>
      </rPr>
      <t>Kyle Monangai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</si>
  <si>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LACWR24</t>
    </r>
  </si>
  <si>
    <t>RB35</t>
  </si>
  <si>
    <r>
      <rPr>
        <rFont val="Poppins, Arial, Helvetica, sans-serif"/>
        <color rgb="FF1155CC"/>
        <sz val="9.0"/>
        <u/>
      </rPr>
      <t>Jordan Addison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</si>
  <si>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WASWR25</t>
    </r>
  </si>
  <si>
    <t>WR46</t>
  </si>
  <si>
    <r>
      <rPr>
        <rFont val="Poppins, Arial, Helvetica, sans-serif"/>
        <color rgb="FF1155CC"/>
        <sz val="9.0"/>
        <u/>
      </rPr>
      <t>Rachaad White</t>
    </r>
    <r>
      <rPr>
        <rFont val="Poppins, Arial, Helvetica, sans-serif"/>
        <sz val="9.0"/>
      </rPr>
      <t xml:space="preserve"> (WAS)</t>
    </r>
  </si>
  <si>
    <t>RB36</t>
  </si>
  <si>
    <r>
      <rPr>
        <rFont val="Poppins, Arial, Helvetica, sans-serif"/>
        <color rgb="FF1155CC"/>
        <sz val="9.0"/>
        <u/>
      </rPr>
      <t>George Kittle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</si>
  <si>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NYGRB19</t>
    </r>
  </si>
  <si>
    <t>TE10</t>
  </si>
  <si>
    <r>
      <rPr>
        <rFont val="Poppins, Arial, Helvetica, sans-serif"/>
        <color rgb="FF1155CC"/>
        <sz val="9.0"/>
        <u/>
      </rPr>
      <t>Jayden Reed</t>
    </r>
    <r>
      <rPr>
        <rFont val="Poppins, Arial, Helvetica, sans-serif"/>
        <sz val="9.0"/>
      </rPr>
      <t xml:space="preserve"> (GB)</t>
    </r>
  </si>
  <si>
    <t>WR47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</si>
  <si>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SFWR26</t>
    </r>
  </si>
  <si>
    <r>
      <rPr>
        <rFont val="Poppins, Arial, Helvetica, sans-serif"/>
        <color rgb="FF1155CC"/>
        <sz val="9.0"/>
        <u/>
      </rPr>
      <t>Blake Corum</t>
    </r>
    <r>
      <rPr>
        <rFont val="Poppins, Arial, Helvetica, sans-serif"/>
        <sz val="9.0"/>
      </rPr>
      <t xml:space="preserve"> (LAR)</t>
    </r>
  </si>
  <si>
    <t>RB37</t>
  </si>
  <si>
    <r>
      <rPr>
        <rFont val="Poppins, Arial, Helvetica, sans-serif"/>
        <color rgb="FF1155CC"/>
        <sz val="9.0"/>
        <u/>
      </rPr>
      <t>Jake Ferguson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</si>
  <si>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Willis</t>
    </r>
    <r>
      <rPr>
        <rFont val="Roboto, sans-serif"/>
      </rPr>
      <t xml:space="preserve">
MIAQB21</t>
    </r>
  </si>
  <si>
    <t>TE11</t>
  </si>
  <si>
    <r>
      <rPr>
        <rFont val="Poppins, Arial, Helvetica, sans-serif"/>
        <color rgb="FF1155CC"/>
        <sz val="9.0"/>
        <u/>
      </rPr>
      <t>Aaron Jones Sr.</t>
    </r>
    <r>
      <rPr>
        <rFont val="Poppins, Arial, Helvetica, sans-serif"/>
        <sz val="9.0"/>
      </rPr>
      <t xml:space="preserve"> (MIN)</t>
    </r>
  </si>
  <si>
    <t>RB38</t>
  </si>
  <si>
    <r>
      <rPr>
        <rFont val="Poppins, Arial, Helvetica, sans-serif"/>
        <color rgb="FF1155CC"/>
        <sz val="9.0"/>
        <u/>
      </rPr>
      <t>Jonathon Brooks</t>
    </r>
    <r>
      <rPr>
        <rFont val="Poppins, Arial, Helvetica, sans-serif"/>
        <sz val="9.0"/>
      </rPr>
      <t xml:space="preserve"> (CAR)</t>
    </r>
  </si>
  <si>
    <t>RB39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</si>
  <si>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INDQB22</t>
    </r>
  </si>
  <si>
    <r>
      <rPr>
        <rFont val="Poppins, Arial, Helvetica, sans-serif"/>
        <color rgb="FF1155CC"/>
        <sz val="9.0"/>
        <u/>
      </rPr>
      <t>Dalton Kincaid</t>
    </r>
    <r>
      <rPr>
        <rFont val="Poppins, Arial, Helvetica, sans-serif"/>
        <sz val="9.0"/>
      </rPr>
      <t xml:space="preserve"> (BUF)</t>
    </r>
  </si>
  <si>
    <t>TE12</t>
  </si>
  <si>
    <r>
      <rPr>
        <rFont val="Poppins, Arial, Helvetica, sans-serif"/>
        <color rgb="FF1155CC"/>
        <sz val="9.0"/>
        <u/>
      </rPr>
      <t>Jayden Higgins</t>
    </r>
    <r>
      <rPr>
        <rFont val="Poppins, Arial, Helvetica, sans-serif"/>
        <sz val="9.0"/>
      </rPr>
      <t xml:space="preserve"> (HOU)</t>
    </r>
  </si>
  <si>
    <t>WR48</t>
  </si>
  <si>
    <r>
      <rPr>
        <rFont val="Poppins, Arial, Helvetica, sans-serif"/>
        <color rgb="FF1155CC"/>
        <sz val="9.0"/>
        <u/>
      </rPr>
      <t>Khalil Shakir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</si>
  <si>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HOUQB23</t>
    </r>
  </si>
  <si>
    <t>WR49</t>
  </si>
  <si>
    <r>
      <rPr>
        <rFont val="Poppins, Arial, Helvetica, sans-serif"/>
        <color rgb="FF1155CC"/>
        <sz val="9.0"/>
        <u/>
      </rPr>
      <t>Isaiah Likely</t>
    </r>
    <r>
      <rPr>
        <rFont val="Poppins, Arial, Helvetica, sans-serif"/>
        <sz val="9.0"/>
      </rPr>
      <t xml:space="preserve"> (NYG)</t>
    </r>
  </si>
  <si>
    <t>TE13</t>
  </si>
  <si>
    <r>
      <rPr>
        <rFont val="Poppins, Arial, Helvetica, sans-serif"/>
        <color rgb="FF1155CC"/>
        <sz val="9.0"/>
        <u/>
      </rPr>
      <t>Dallas Goedert</t>
    </r>
    <r>
      <rPr>
        <rFont val="Poppins, Arial, Helvetica, sans-serif"/>
        <sz val="9.0"/>
      </rPr>
      <t xml:space="preserve"> (PHI)</t>
    </r>
  </si>
  <si>
    <t>TE14</t>
  </si>
  <si>
    <r>
      <rPr>
        <rFont val="Poppins, Arial, Helvetica, sans-serif"/>
        <color rgb="FF1155CC"/>
        <sz val="9.0"/>
        <u/>
      </rPr>
      <t>Xavier Worthy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</si>
  <si>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CHIRB20</t>
    </r>
  </si>
  <si>
    <t>WR50</t>
  </si>
  <si>
    <r>
      <rPr>
        <rFont val="Poppins, Arial, Helvetica, sans-serif"/>
        <color rgb="FF1155CC"/>
        <sz val="9.0"/>
        <u/>
      </rPr>
      <t>Jacory Croskey-Merritt</t>
    </r>
    <r>
      <rPr>
        <rFont val="Poppins, Arial, Helvetica, sans-serif"/>
        <sz val="9.0"/>
      </rPr>
      <t xml:space="preserve"> (WAS)</t>
    </r>
  </si>
  <si>
    <t>RB40</t>
  </si>
  <si>
    <r>
      <rPr>
        <rFont val="Poppins, Arial, Helvetica, sans-serif"/>
        <color rgb="FF1155CC"/>
        <sz val="9.0"/>
        <u/>
      </rPr>
      <t>Jordan Mason</t>
    </r>
    <r>
      <rPr>
        <rFont val="Poppins, Arial, Helvetica, sans-serif"/>
        <sz val="9.0"/>
      </rPr>
      <t xml:space="preserve"> (MIN)</t>
    </r>
  </si>
  <si>
    <t>RB41</t>
  </si>
  <si>
    <r>
      <rPr>
        <rFont val="Poppins, Arial, Helvetica, sans-serif"/>
        <color rgb="FF1155CC"/>
        <sz val="9.0"/>
        <u/>
      </rPr>
      <t>Mark Andrews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</si>
  <si>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DETWR27</t>
    </r>
  </si>
  <si>
    <t>TE15</t>
  </si>
  <si>
    <r>
      <rPr>
        <rFont val="Poppins, Arial, Helvetica, sans-serif"/>
        <color rgb="FF1155CC"/>
        <sz val="9.0"/>
        <u/>
      </rPr>
      <t>Romeo Doubs</t>
    </r>
    <r>
      <rPr>
        <rFont val="Poppins, Arial, Helvetica, sans-serif"/>
        <sz val="9.0"/>
      </rPr>
      <t xml:space="preserve"> (NE)</t>
    </r>
  </si>
  <si>
    <t>WR51</t>
  </si>
  <si>
    <r>
      <rPr>
        <rFont val="Poppins, Arial, Helvetica, sans-serif"/>
        <color rgb="FF1155CC"/>
        <sz val="9.0"/>
        <u/>
      </rPr>
      <t>Jalen Coker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</si>
  <si>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CHIWR28</t>
    </r>
  </si>
  <si>
    <t>WR52</t>
  </si>
  <si>
    <r>
      <rPr>
        <rFont val="Poppins, Arial, Helvetica, sans-serif"/>
        <color rgb="FF1155CC"/>
        <sz val="9.0"/>
        <u/>
      </rPr>
      <t>Fernando Mendoza</t>
    </r>
    <r>
      <rPr>
        <rFont val="Poppins, Arial, Helvetica, sans-serif"/>
        <sz val="9.0"/>
      </rPr>
      <t xml:space="preserve"> (LV)</t>
    </r>
  </si>
  <si>
    <t>QB30</t>
  </si>
  <si>
    <r>
      <rPr>
        <rFont val="Poppins, Arial, Helvetica, sans-serif"/>
        <color rgb="FF1155CC"/>
        <sz val="9.0"/>
        <u/>
      </rPr>
      <t>KC Concepcion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</si>
  <si>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BUFWR29</t>
    </r>
  </si>
  <si>
    <t>WR53</t>
  </si>
  <si>
    <r>
      <rPr>
        <rFont val="Poppins, Arial, Helvetica, sans-serif"/>
        <color rgb="FF1155CC"/>
        <sz val="9.0"/>
        <u/>
      </rPr>
      <t>Tyrone Tracy Jr.</t>
    </r>
    <r>
      <rPr>
        <rFont val="Poppins, Arial, Helvetica, sans-serif"/>
        <sz val="9.0"/>
      </rPr>
      <t xml:space="preserve"> (NYG)</t>
    </r>
  </si>
  <si>
    <t>RB42</t>
  </si>
  <si>
    <r>
      <rPr>
        <rFont val="Poppins, Arial, Helvetica, sans-serif"/>
        <color rgb="FF1155CC"/>
        <sz val="9.0"/>
        <u/>
      </rPr>
      <t>Matthew Golden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</si>
  <si>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GBTE5</t>
    </r>
  </si>
  <si>
    <t>WR54</t>
  </si>
  <si>
    <r>
      <rPr>
        <rFont val="Poppins, Arial, Helvetica, sans-serif"/>
        <color rgb="FF1155CC"/>
        <sz val="9.0"/>
        <u/>
      </rPr>
      <t>Woody Marks</t>
    </r>
    <r>
      <rPr>
        <rFont val="Poppins, Arial, Helvetica, sans-serif"/>
        <sz val="9.0"/>
      </rPr>
      <t xml:space="preserve"> (HOU)</t>
    </r>
  </si>
  <si>
    <t>RB43</t>
  </si>
  <si>
    <r>
      <rPr>
        <rFont val="Poppins, Arial, Helvetica, sans-serif"/>
        <color rgb="FF1155CC"/>
        <sz val="9.0"/>
        <u/>
      </rPr>
      <t>Tyler Allgeier</t>
    </r>
    <r>
      <rPr>
        <rFont val="Poppins, Arial, Helvetica, sans-serif"/>
        <sz val="9.0"/>
      </rPr>
      <t xml:space="preserve"> (ARI)</t>
    </r>
  </si>
  <si>
    <t>RB44</t>
  </si>
  <si>
    <t>Tier 10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</si>
  <si>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HOURB21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</si>
  <si>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</si>
  <si>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Tyjae Spears</t>
    </r>
    <r>
      <rPr>
        <rFont val="Poppins, Arial, Helvetica, sans-serif"/>
        <sz val="9.0"/>
      </rPr>
      <t xml:space="preserve"> (TEN)</t>
    </r>
  </si>
  <si>
    <t>RB45</t>
  </si>
  <si>
    <r>
      <rPr>
        <rFont val="Poppins, Arial, Helvetica, sans-serif"/>
        <color rgb="FF1155CC"/>
        <sz val="9.0"/>
        <u/>
      </rPr>
      <t>Chris Rodriguez Jr.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</si>
  <si>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TENQB24</t>
    </r>
  </si>
  <si>
    <t>RB46</t>
  </si>
  <si>
    <r>
      <rPr>
        <rFont val="Poppins, Arial, Helvetica, sans-serif"/>
        <color rgb="FF1155CC"/>
        <sz val="9.0"/>
        <u/>
      </rPr>
      <t>Tua Tagovailoa</t>
    </r>
    <r>
      <rPr>
        <rFont val="Poppins, Arial, Helvetica, sans-serif"/>
        <sz val="9.0"/>
      </rPr>
      <t xml:space="preserve"> (ATL)</t>
    </r>
  </si>
  <si>
    <t>QB31</t>
  </si>
  <si>
    <r>
      <rPr>
        <rFont val="Poppins, Arial, Helvetica, sans-serif"/>
        <color rgb="FF1155CC"/>
        <sz val="9.0"/>
        <u/>
      </rPr>
      <t>Zach Charbonnet</t>
    </r>
    <r>
      <rPr>
        <rFont val="Poppins, Arial, Helvetica, sans-serif"/>
        <sz val="9.0"/>
      </rPr>
      <t xml:space="preserve"> (SEA)</t>
    </r>
  </si>
  <si>
    <t>RB47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</si>
  <si>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JACWR30</t>
    </r>
  </si>
  <si>
    <r>
      <rPr>
        <rFont val="Poppins, Arial, Helvetica, sans-serif"/>
        <color rgb="FF1155CC"/>
        <sz val="9.0"/>
        <u/>
      </rPr>
      <t>Alvin Kamara</t>
    </r>
    <r>
      <rPr>
        <rFont val="Poppins, Arial, Helvetica, sans-serif"/>
        <sz val="9.0"/>
      </rPr>
      <t xml:space="preserve"> (NO)</t>
    </r>
  </si>
  <si>
    <t>RB48</t>
  </si>
  <si>
    <r>
      <rPr>
        <rFont val="Poppins, Arial, Helvetica, sans-serif"/>
        <color rgb="FF1155CC"/>
        <sz val="9.0"/>
        <u/>
      </rPr>
      <t>Juwan Johnson</t>
    </r>
    <r>
      <rPr>
        <rFont val="Poppins, Arial, Helvetica, sans-serif"/>
        <sz val="9.0"/>
      </rPr>
      <t xml:space="preserve"> (NO)</t>
    </r>
  </si>
  <si>
    <t>TE16</t>
  </si>
  <si>
    <r>
      <rPr>
        <rFont val="Poppins, Arial, Helvetica, sans-serif"/>
        <color rgb="FF1155CC"/>
        <sz val="9.0"/>
        <u/>
      </rPr>
      <t>Rashid Shaheed</t>
    </r>
    <r>
      <rPr>
        <rFont val="Poppins, Arial, Helvetica, sans-serif"/>
        <sz val="9.0"/>
      </rPr>
      <t xml:space="preserve"> (SEA)</t>
    </r>
  </si>
  <si>
    <t>WR55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</si>
  <si>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TBRB22</t>
    </r>
  </si>
  <si>
    <r>
      <rPr>
        <rFont val="Poppins, Arial, Helvetica, sans-serif"/>
        <color rgb="FF1155CC"/>
        <sz val="9.0"/>
        <u/>
      </rPr>
      <t>Dylan Sampson</t>
    </r>
    <r>
      <rPr>
        <rFont val="Poppins, Arial, Helvetica, sans-serif"/>
        <sz val="9.0"/>
      </rPr>
      <t xml:space="preserve"> (CLE)</t>
    </r>
  </si>
  <si>
    <t>RB49</t>
  </si>
  <si>
    <r>
      <rPr>
        <rFont val="Poppins, Arial, Helvetica, sans-serif"/>
        <color rgb="FF1155CC"/>
        <sz val="9.0"/>
        <u/>
      </rPr>
      <t>Chig Okonkwo</t>
    </r>
    <r>
      <rPr>
        <rFont val="Poppins, Arial, Helvetica, sans-serif"/>
        <sz val="9.0"/>
      </rPr>
      <t xml:space="preserve"> (WAS)</t>
    </r>
  </si>
  <si>
    <t>TE17</t>
  </si>
  <si>
    <r>
      <rPr>
        <rFont val="Poppins, Arial, Helvetica, sans-serif"/>
        <color rgb="FF1155CC"/>
        <sz val="9.0"/>
        <u/>
      </rPr>
      <t>Isiah Pacheco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</si>
  <si>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SEAQB25</t>
    </r>
  </si>
  <si>
    <t>RB50</t>
  </si>
  <si>
    <r>
      <rPr>
        <rFont val="Poppins, Arial, Helvetica, sans-serif"/>
        <color rgb="FF1155CC"/>
        <sz val="9.0"/>
        <u/>
      </rPr>
      <t>Brenton Strange</t>
    </r>
    <r>
      <rPr>
        <rFont val="Poppins, Arial, Helvetica, sans-serif"/>
        <sz val="9.0"/>
      </rPr>
      <t xml:space="preserve"> (JAC)</t>
    </r>
  </si>
  <si>
    <t>TE18</t>
  </si>
  <si>
    <r>
      <rPr>
        <rFont val="Poppins, Arial, Helvetica, sans-serif"/>
        <color rgb="FF1155CC"/>
        <sz val="9.0"/>
        <u/>
      </rPr>
      <t>Jauan Jennings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</si>
  <si>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DETTE6</t>
    </r>
  </si>
  <si>
    <t>WR56</t>
  </si>
  <si>
    <r>
      <rPr>
        <rFont val="Poppins, Arial, Helvetica, sans-serif"/>
        <color rgb="FF1155CC"/>
        <sz val="9.0"/>
        <u/>
      </rPr>
      <t>Jerry Jeudy</t>
    </r>
    <r>
      <rPr>
        <rFont val="Poppins, Arial, Helvetica, sans-serif"/>
        <sz val="9.0"/>
      </rPr>
      <t xml:space="preserve"> (CLE)</t>
    </r>
  </si>
  <si>
    <t>WR57</t>
  </si>
  <si>
    <r>
      <rPr>
        <rFont val="Poppins, Arial, Helvetica, sans-serif"/>
        <color rgb="FF1155CC"/>
        <sz val="9.0"/>
        <u/>
      </rPr>
      <t>Keaton Mitchell</t>
    </r>
    <r>
      <rPr>
        <rFont val="Poppins, Arial, Helvetica, sans-serif"/>
        <sz val="9.0"/>
      </rPr>
      <t xml:space="preserve"> (LAC)</t>
    </r>
  </si>
  <si>
    <t>RB51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</si>
  <si>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NERB23</t>
    </r>
  </si>
  <si>
    <r>
      <rPr>
        <rFont val="Poppins, Arial, Helvetica, sans-serif"/>
        <color rgb="FF1155CC"/>
        <sz val="9.0"/>
        <u/>
      </rPr>
      <t>Hunter Henry</t>
    </r>
    <r>
      <rPr>
        <rFont val="Poppins, Arial, Helvetica, sans-serif"/>
        <sz val="9.0"/>
      </rPr>
      <t xml:space="preserve"> (NE)</t>
    </r>
  </si>
  <si>
    <t>TE19</t>
  </si>
  <si>
    <r>
      <rPr>
        <rFont val="Poppins, Arial, Helvetica, sans-serif"/>
        <color rgb="FF1155CC"/>
        <sz val="9.0"/>
        <u/>
      </rPr>
      <t>Deebo Samuel Sr.</t>
    </r>
    <r>
      <rPr>
        <rFont val="Poppins, Arial, Helvetica, sans-serif"/>
        <sz val="9.0"/>
      </rPr>
      <t xml:space="preserve"> (SF)</t>
    </r>
  </si>
  <si>
    <t>WR58</t>
  </si>
  <si>
    <r>
      <rPr>
        <rFont val="Poppins, Arial, Helvetica, sans-serif"/>
        <color rgb="FF1155CC"/>
        <sz val="9.0"/>
        <u/>
      </rPr>
      <t>Denzel Boston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</si>
  <si>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CLETE7</t>
    </r>
  </si>
  <si>
    <t>WR59</t>
  </si>
  <si>
    <r>
      <rPr>
        <rFont val="Poppins, Arial, Helvetica, sans-serif"/>
        <color rgb="FF1155CC"/>
        <sz val="9.0"/>
        <u/>
      </rPr>
      <t>Omar Cooper Jr.</t>
    </r>
    <r>
      <rPr>
        <rFont val="Poppins, Arial, Helvetica, sans-serif"/>
        <sz val="9.0"/>
      </rPr>
      <t xml:space="preserve"> (NYJ)</t>
    </r>
  </si>
  <si>
    <t>WR60</t>
  </si>
  <si>
    <r>
      <rPr>
        <rFont val="Poppins, Arial, Helvetica, sans-serif"/>
        <color rgb="FF1155CC"/>
        <sz val="9.0"/>
        <u/>
      </rPr>
      <t>Adonai Mitchell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</si>
  <si>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PITQB26</t>
    </r>
  </si>
  <si>
    <t>WR61</t>
  </si>
  <si>
    <r>
      <rPr>
        <rFont val="Poppins, Arial, Helvetica, sans-serif"/>
        <color rgb="FF1155CC"/>
        <sz val="9.0"/>
        <u/>
      </rPr>
      <t>Oronde Gadsden II</t>
    </r>
    <r>
      <rPr>
        <rFont val="Poppins, Arial, Helvetica, sans-serif"/>
        <sz val="9.0"/>
      </rPr>
      <t xml:space="preserve"> (LAC)</t>
    </r>
  </si>
  <si>
    <t>TE20</t>
  </si>
  <si>
    <t>QB34</t>
  </si>
  <si>
    <r>
      <rPr>
        <rFont val="Poppins, Arial, Helvetica, sans-serif"/>
        <color rgb="FF1155CC"/>
        <sz val="9.0"/>
        <u/>
      </rPr>
      <t>Tre Tucker</t>
    </r>
    <r>
      <rPr>
        <rFont val="Poppins, Arial, Helvetica, sans-serif"/>
        <sz val="9.0"/>
      </rPr>
      <t xml:space="preserve"> (LV)</t>
    </r>
  </si>
  <si>
    <t>QB39</t>
  </si>
  <si>
    <t>WR62</t>
  </si>
  <si>
    <r>
      <rPr>
        <rFont val="Poppins, Arial, Helvetica, sans-serif"/>
        <color rgb="FF1155CC"/>
        <sz val="9.0"/>
        <u/>
      </rPr>
      <t>Jalen McMillan</t>
    </r>
    <r>
      <rPr>
        <rFont val="Poppins, Arial, Helvetica, sans-serif"/>
        <sz val="9.0"/>
      </rPr>
      <t xml:space="preserve"> (TB)</t>
    </r>
  </si>
  <si>
    <t>WR63</t>
  </si>
  <si>
    <r>
      <rPr>
        <rFont val="Poppins, Arial, Helvetica, sans-serif"/>
        <color rgb="FF1155CC"/>
        <sz val="9.0"/>
        <u/>
      </rPr>
      <t>Brian Robinson Jr.</t>
    </r>
    <r>
      <rPr>
        <rFont val="Poppins, Arial, Helvetica, sans-serif"/>
        <sz val="9.0"/>
      </rPr>
      <t xml:space="preserve"> (ATL)</t>
    </r>
  </si>
  <si>
    <t>RB52</t>
  </si>
  <si>
    <r>
      <rPr>
        <rFont val="Poppins, Arial, Helvetica, sans-serif"/>
        <color rgb="FF1155CC"/>
        <sz val="9.0"/>
        <u/>
      </rPr>
      <t>Jonah Coleman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</si>
  <si>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PITWR31</t>
    </r>
  </si>
  <si>
    <t>RB53</t>
  </si>
  <si>
    <r>
      <rPr>
        <rFont val="Poppins, Arial, Helvetica, sans-serif"/>
        <color rgb="FF1155CC"/>
        <sz val="9.0"/>
        <u/>
      </rPr>
      <t>Tank Bigsby</t>
    </r>
    <r>
      <rPr>
        <rFont val="Poppins, Arial, Helvetica, sans-serif"/>
        <sz val="9.0"/>
      </rPr>
      <t xml:space="preserve"> (PHI)</t>
    </r>
  </si>
  <si>
    <t>RB54</t>
  </si>
  <si>
    <r>
      <rPr>
        <rFont val="Poppins, Arial, Helvetica, sans-serif"/>
        <color rgb="FF1155CC"/>
        <sz val="9.0"/>
        <u/>
      </rPr>
      <t>Stefon Diggs</t>
    </r>
    <r>
      <rPr>
        <rFont val="Poppins, Arial, Helvetica, sans-serif"/>
        <sz val="9.0"/>
      </rPr>
      <t xml:space="preserve"> (WAS)</t>
    </r>
  </si>
  <si>
    <t>WR64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</si>
  <si>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TENWR32</t>
    </r>
  </si>
  <si>
    <r>
      <rPr>
        <rFont val="Poppins, Arial, Helvetica, sans-serif"/>
        <color rgb="FF1155CC"/>
        <sz val="9.0"/>
        <u/>
      </rPr>
      <t>Travis Hunter</t>
    </r>
    <r>
      <rPr>
        <rFont val="Poppins, Arial, Helvetica, sans-serif"/>
        <sz val="9.0"/>
      </rPr>
      <t xml:space="preserve"> (JAC)</t>
    </r>
  </si>
  <si>
    <t>WR65</t>
  </si>
  <si>
    <r>
      <rPr>
        <rFont val="Poppins, Arial, Helvetica, sans-serif"/>
        <color rgb="FF1155CC"/>
        <sz val="9.0"/>
        <u/>
      </rPr>
      <t>Dalton Schultz</t>
    </r>
    <r>
      <rPr>
        <rFont val="Poppins, Arial, Helvetica, sans-serif"/>
        <sz val="9.0"/>
      </rPr>
      <t xml:space="preserve"> (HOU)</t>
    </r>
  </si>
  <si>
    <t>TE21</t>
  </si>
  <si>
    <r>
      <rPr>
        <rFont val="Poppins, Arial, Helvetica, sans-serif"/>
        <color rgb="FF1155CC"/>
        <sz val="9.0"/>
        <u/>
      </rPr>
      <t>Tre' Harris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</si>
  <si>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CLERB24</t>
    </r>
  </si>
  <si>
    <t>WR66</t>
  </si>
  <si>
    <r>
      <rPr>
        <rFont val="Poppins, Arial, Helvetica, sans-serif"/>
        <color rgb="FF1155CC"/>
        <sz val="9.0"/>
        <u/>
      </rPr>
      <t>T.J. Hockenson</t>
    </r>
    <r>
      <rPr>
        <rFont val="Poppins, Arial, Helvetica, sans-serif"/>
        <sz val="9.0"/>
      </rPr>
      <t xml:space="preserve"> (MIN)</t>
    </r>
  </si>
  <si>
    <t>TE22</t>
  </si>
  <si>
    <r>
      <rPr>
        <rFont val="Poppins, Arial, Helvetica, sans-serif"/>
        <color rgb="FF1155CC"/>
        <sz val="9.0"/>
        <u/>
      </rPr>
      <t>Braelon Allen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</si>
  <si>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CARQB27</t>
    </r>
  </si>
  <si>
    <t>RB55</t>
  </si>
  <si>
    <r>
      <rPr>
        <rFont val="Poppins, Arial, Helvetica, sans-serif"/>
        <color rgb="FF1155CC"/>
        <sz val="9.0"/>
        <u/>
      </rPr>
      <t>Ryan Flournoy</t>
    </r>
    <r>
      <rPr>
        <rFont val="Poppins, Arial, Helvetica, sans-serif"/>
        <sz val="9.0"/>
      </rPr>
      <t xml:space="preserve"> (DAL)</t>
    </r>
  </si>
  <si>
    <t>WR67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</si>
  <si>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ARIWR33</t>
    </r>
  </si>
  <si>
    <r>
      <rPr>
        <rFont val="Poppins, Arial, Helvetica, sans-serif"/>
        <color rgb="FF1155CC"/>
        <sz val="9.0"/>
        <u/>
      </rPr>
      <t>De'Zhaun Stribling</t>
    </r>
    <r>
      <rPr>
        <rFont val="Poppins, Arial, Helvetica, sans-serif"/>
        <sz val="9.0"/>
      </rPr>
      <t xml:space="preserve"> (SF)</t>
    </r>
  </si>
  <si>
    <t>WR68</t>
  </si>
  <si>
    <r>
      <rPr>
        <rFont val="Poppins, Arial, Helvetica, sans-serif"/>
        <color rgb="FF1155CC"/>
        <sz val="9.0"/>
        <u/>
      </rPr>
      <t>Kayshon Boutte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</si>
  <si>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NOWR34</t>
    </r>
  </si>
  <si>
    <t>WR69</t>
  </si>
  <si>
    <t>Tier 11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</si>
  <si>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</si>
  <si>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Jalen Nailor</t>
    </r>
    <r>
      <rPr>
        <rFont val="Poppins, Arial, Helvetica, sans-serif"/>
        <sz val="9.0"/>
      </rPr>
      <t xml:space="preserve"> (LV)</t>
    </r>
  </si>
  <si>
    <t>WR70</t>
  </si>
  <si>
    <r>
      <rPr>
        <rFont val="Poppins, Arial, Helvetica, sans-serif"/>
        <color rgb="FF1155CC"/>
        <sz val="9.0"/>
        <u/>
      </rPr>
      <t>Kimani Vidal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</si>
  <si>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PITWR35</t>
    </r>
  </si>
  <si>
    <t>RB56</t>
  </si>
  <si>
    <r>
      <rPr>
        <rFont val="Poppins, Arial, Helvetica, sans-serif"/>
        <color rgb="FF1155CC"/>
        <sz val="9.0"/>
        <u/>
      </rPr>
      <t>Michael Penix Jr.</t>
    </r>
    <r>
      <rPr>
        <rFont val="Poppins, Arial, Helvetica, sans-serif"/>
        <sz val="9.0"/>
      </rPr>
      <t xml:space="preserve"> (ATL)</t>
    </r>
  </si>
  <si>
    <t>QB32</t>
  </si>
  <si>
    <r>
      <rPr>
        <rFont val="Poppins, Arial, Helvetica, sans-serif"/>
        <color rgb="FF1155CC"/>
        <sz val="9.0"/>
        <u/>
      </rPr>
      <t>James Conner</t>
    </r>
    <r>
      <rPr>
        <rFont val="Poppins, Arial, Helvetica, sans-serif"/>
        <sz val="9.0"/>
      </rPr>
      <t xml:space="preserve"> (ARI)</t>
    </r>
  </si>
  <si>
    <t>RB57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</si>
  <si>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DENWR36</t>
    </r>
  </si>
  <si>
    <r>
      <rPr>
        <rFont val="Poppins, Arial, Helvetica, sans-serif"/>
        <color rgb="FF1155CC"/>
        <sz val="9.0"/>
        <u/>
      </rPr>
      <t>Sean Tucker</t>
    </r>
    <r>
      <rPr>
        <rFont val="Poppins, Arial, Helvetica, sans-serif"/>
        <sz val="9.0"/>
      </rPr>
      <t xml:space="preserve"> (TB)</t>
    </r>
  </si>
  <si>
    <t>RB58</t>
  </si>
  <si>
    <r>
      <rPr>
        <rFont val="Poppins, Arial, Helvetica, sans-serif"/>
        <color rgb="FF1155CC"/>
        <sz val="9.0"/>
        <u/>
      </rPr>
      <t>Calvin Ridley</t>
    </r>
    <r>
      <rPr>
        <rFont val="Poppins, Arial, Helvetica, sans-serif"/>
        <sz val="9.0"/>
      </rPr>
      <t xml:space="preserve"> (TEN)</t>
    </r>
  </si>
  <si>
    <t>WR71</t>
  </si>
  <si>
    <r>
      <rPr>
        <rFont val="Poppins, Arial, Helvetica, sans-serif"/>
        <color rgb="FF1155CC"/>
        <sz val="9.0"/>
        <u/>
      </rPr>
      <t>Troy Franklin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</si>
  <si>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GBWR37</t>
    </r>
  </si>
  <si>
    <t>WR72</t>
  </si>
  <si>
    <r>
      <rPr>
        <rFont val="Poppins, Arial, Helvetica, sans-serif"/>
        <color rgb="FF1155CC"/>
        <sz val="9.0"/>
        <u/>
      </rPr>
      <t>Jaylin Noel</t>
    </r>
    <r>
      <rPr>
        <rFont val="Poppins, Arial, Helvetica, sans-serif"/>
        <sz val="9.0"/>
      </rPr>
      <t xml:space="preserve"> (HOU)</t>
    </r>
  </si>
  <si>
    <t>WR73</t>
  </si>
  <si>
    <r>
      <rPr>
        <rFont val="Poppins, Arial, Helvetica, sans-serif"/>
        <color rgb="FF1155CC"/>
        <sz val="9.0"/>
        <u/>
      </rPr>
      <t>AJ Barner</t>
    </r>
    <r>
      <rPr>
        <rFont val="Poppins, Arial, Helvetica, sans-serif"/>
        <sz val="9.0"/>
      </rPr>
      <t xml:space="preserve"> (SEA)</t>
    </r>
  </si>
  <si>
    <t>TE23</t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</si>
  <si>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LVRQB28</t>
    </r>
  </si>
  <si>
    <r>
      <rPr>
        <rFont val="Poppins, Arial, Helvetica, sans-serif"/>
        <color rgb="FF1155CC"/>
        <sz val="9.0"/>
        <u/>
      </rPr>
      <t>Deshaun Watson</t>
    </r>
    <r>
      <rPr>
        <rFont val="Poppins, Arial, Helvetica, sans-serif"/>
        <sz val="9.0"/>
      </rPr>
      <t xml:space="preserve"> (CLE)</t>
    </r>
  </si>
  <si>
    <t>QB33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</si>
  <si>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Brissett</t>
    </r>
    <r>
      <rPr>
        <rFont val="Roboto, sans-serif"/>
      </rPr>
      <t xml:space="preserve">
ARIQB29</t>
    </r>
  </si>
  <si>
    <r>
      <rPr>
        <rFont val="Poppins, Arial, Helvetica, sans-serif"/>
        <color rgb="FF1155CC"/>
        <sz val="9.0"/>
        <u/>
      </rPr>
      <t>Ray Davis</t>
    </r>
    <r>
      <rPr>
        <rFont val="Poppins, Arial, Helvetica, sans-serif"/>
        <sz val="9.0"/>
      </rPr>
      <t xml:space="preserve"> (BUF)</t>
    </r>
  </si>
  <si>
    <t>RB59</t>
  </si>
  <si>
    <r>
      <rPr>
        <rFont val="Poppins, Arial, Helvetica, sans-serif"/>
        <color rgb="FF1155CC"/>
        <sz val="9.0"/>
        <u/>
      </rPr>
      <t>Dontayvion Wicks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</si>
  <si>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INDWR38</t>
    </r>
  </si>
  <si>
    <t>WR74</t>
  </si>
  <si>
    <r>
      <rPr>
        <rFont val="Poppins, Arial, Helvetica, sans-serif"/>
        <color rgb="FF1155CC"/>
        <sz val="9.0"/>
        <u/>
      </rPr>
      <t>Emmett Johnson</t>
    </r>
    <r>
      <rPr>
        <rFont val="Poppins, Arial, Helvetica, sans-serif"/>
        <sz val="9.0"/>
      </rPr>
      <t xml:space="preserve"> (KC)</t>
    </r>
  </si>
  <si>
    <t>RB60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</si>
  <si>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JACWR39</t>
    </r>
  </si>
  <si>
    <r>
      <rPr>
        <rFont val="Poppins, Arial, Helvetica, sans-serif"/>
        <color rgb="FF1155CC"/>
        <sz val="9.0"/>
        <u/>
      </rPr>
      <t>Malik Washington</t>
    </r>
    <r>
      <rPr>
        <rFont val="Poppins, Arial, Helvetica, sans-serif"/>
        <sz val="9.0"/>
      </rPr>
      <t xml:space="preserve"> (MIA)</t>
    </r>
  </si>
  <si>
    <t>WR75</t>
  </si>
  <si>
    <r>
      <rPr>
        <rFont val="Poppins, Arial, Helvetica, sans-serif"/>
        <color rgb="FF1155CC"/>
        <sz val="9.0"/>
        <u/>
      </rPr>
      <t>Kenyon Sadiq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</si>
  <si>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MINWR40</t>
    </r>
  </si>
  <si>
    <t>TE24</t>
  </si>
  <si>
    <r>
      <rPr>
        <rFont val="Poppins, Arial, Helvetica, sans-serif"/>
        <color rgb="FF1155CC"/>
        <sz val="9.0"/>
        <u/>
      </rPr>
      <t>Darnell Mooney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</si>
  <si>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PITRB25</t>
    </r>
  </si>
  <si>
    <t>WR76</t>
  </si>
  <si>
    <r>
      <rPr>
        <rFont val="Poppins, Arial, Helvetica, sans-serif"/>
        <color rgb="FF1155CC"/>
        <sz val="9.0"/>
        <u/>
      </rPr>
      <t>Pat Bryant</t>
    </r>
    <r>
      <rPr>
        <rFont val="Poppins, Arial, Helvetica, sans-serif"/>
        <sz val="9.0"/>
      </rPr>
      <t xml:space="preserve"> (DEN)</t>
    </r>
  </si>
  <si>
    <t>WR77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</si>
  <si>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eno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NYJQB30</t>
    </r>
  </si>
  <si>
    <r>
      <rPr>
        <rFont val="Poppins, Arial, Helvetica, sans-serif"/>
        <color rgb="FF1155CC"/>
        <sz val="9.0"/>
        <u/>
      </rPr>
      <t>Isaac TeSlaa</t>
    </r>
    <r>
      <rPr>
        <rFont val="Poppins, Arial, Helvetica, sans-serif"/>
        <sz val="9.0"/>
      </rPr>
      <t xml:space="preserve"> (DET)</t>
    </r>
  </si>
  <si>
    <t>WR78</t>
  </si>
  <si>
    <t>QB36</t>
  </si>
  <si>
    <r>
      <rPr>
        <rFont val="Poppins, Arial, Helvetica, sans-serif"/>
        <color rgb="FF1155CC"/>
        <sz val="9.0"/>
        <u/>
      </rPr>
      <t>Kirk Cousins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</si>
  <si>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JACWR41</t>
    </r>
  </si>
  <si>
    <r>
      <rPr>
        <rFont val="Poppins, Arial, Helvetica, sans-serif"/>
        <color rgb="FF1155CC"/>
        <sz val="9.0"/>
        <u/>
      </rPr>
      <t>Gunnar Helm</t>
    </r>
    <r>
      <rPr>
        <rFont val="Poppins, Arial, Helvetica, sans-serif"/>
        <sz val="9.0"/>
      </rPr>
      <t xml:space="preserve"> (TEN)</t>
    </r>
  </si>
  <si>
    <t>TE25</t>
  </si>
  <si>
    <r>
      <rPr>
        <rFont val="Poppins, Arial, Helvetica, sans-serif"/>
        <color rgb="FF1155CC"/>
        <sz val="9.0"/>
        <u/>
      </rPr>
      <t>Antonio Williams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</si>
  <si>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LACWR42</t>
    </r>
  </si>
  <si>
    <t>WR79</t>
  </si>
  <si>
    <r>
      <rPr>
        <rFont val="Poppins, Arial, Helvetica, sans-serif"/>
        <color rgb="FF1155CC"/>
        <sz val="9.0"/>
        <u/>
      </rPr>
      <t>Mike Washington Jr.</t>
    </r>
    <r>
      <rPr>
        <rFont val="Poppins, Arial, Helvetica, sans-serif"/>
        <sz val="9.0"/>
      </rPr>
      <t xml:space="preserve"> (LV)</t>
    </r>
  </si>
  <si>
    <t>RB61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</si>
  <si>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JACRB26</t>
    </r>
  </si>
  <si>
    <r>
      <rPr>
        <rFont val="Poppins, Arial, Helvetica, sans-serif"/>
        <color rgb="FF1155CC"/>
        <sz val="9.0"/>
        <u/>
      </rPr>
      <t>Emanuel Wilson</t>
    </r>
    <r>
      <rPr>
        <rFont val="Poppins, Arial, Helvetica, sans-serif"/>
        <sz val="9.0"/>
      </rPr>
      <t xml:space="preserve"> (SEA)</t>
    </r>
  </si>
  <si>
    <t>RB62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</si>
  <si>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INDWR43</t>
    </r>
  </si>
  <si>
    <r>
      <rPr>
        <rFont val="Poppins, Arial, Helvetica, sans-serif"/>
        <color rgb="FF1155CC"/>
        <sz val="9.0"/>
        <u/>
      </rPr>
      <t>Cooper Kupp</t>
    </r>
    <r>
      <rPr>
        <rFont val="Poppins, Arial, Helvetica, sans-serif"/>
        <sz val="9.0"/>
      </rPr>
      <t xml:space="preserve"> (SEA)</t>
    </r>
  </si>
  <si>
    <t>WR80</t>
  </si>
  <si>
    <r>
      <rPr>
        <rFont val="Poppins, Arial, Helvetica, sans-serif"/>
        <color rgb="FF1155CC"/>
        <sz val="9.0"/>
        <u/>
      </rPr>
      <t>Nicholas Singleton</t>
    </r>
    <r>
      <rPr>
        <rFont val="Poppins, Arial, Helvetica, sans-serif"/>
        <sz val="9.0"/>
      </rPr>
      <t xml:space="preserve"> (TEN)</t>
    </r>
  </si>
  <si>
    <t>RB63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</si>
  <si>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TBWR44</t>
    </r>
  </si>
  <si>
    <r>
      <rPr>
        <rFont val="Poppins, Arial, Helvetica, sans-serif"/>
        <color rgb="FF1155CC"/>
        <sz val="9.0"/>
        <u/>
      </rPr>
      <t>Rashod Bateman</t>
    </r>
    <r>
      <rPr>
        <rFont val="Poppins, Arial, Helvetica, sans-serif"/>
        <sz val="9.0"/>
      </rPr>
      <t xml:space="preserve"> (BAL)</t>
    </r>
  </si>
  <si>
    <t>WR81</t>
  </si>
  <si>
    <r>
      <rPr>
        <rFont val="Poppins, Arial, Helvetica, sans-serif"/>
        <color rgb="FF1155CC"/>
        <sz val="9.0"/>
        <u/>
      </rPr>
      <t>Tank Dell</t>
    </r>
    <r>
      <rPr>
        <rFont val="Poppins, Arial, Helvetica, sans-serif"/>
        <sz val="9.0"/>
      </rPr>
      <t xml:space="preserve"> (HOU)</t>
    </r>
  </si>
  <si>
    <t>WR82</t>
  </si>
  <si>
    <r>
      <rPr>
        <rFont val="Poppins, Arial, Helvetica, sans-serif"/>
        <color rgb="FF1155CC"/>
        <sz val="9.0"/>
        <u/>
      </rPr>
      <t>Shedeur Sanders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</si>
  <si>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NERB27</t>
    </r>
  </si>
  <si>
    <t>QB35</t>
  </si>
  <si>
    <r>
      <rPr>
        <rFont val="Poppins, Arial, Helvetica, sans-serif"/>
        <color rgb="FF1155CC"/>
        <sz val="9.0"/>
        <u/>
      </rPr>
      <t>Kaytron Allen</t>
    </r>
    <r>
      <rPr>
        <rFont val="Poppins, Arial, Helvetica, sans-serif"/>
        <sz val="9.0"/>
      </rPr>
      <t xml:space="preserve"> (WAS)</t>
    </r>
  </si>
  <si>
    <t>RB64</t>
  </si>
  <si>
    <r>
      <rPr>
        <rFont val="Poppins, Arial, Helvetica, sans-serif"/>
        <color rgb="FF1155CC"/>
        <sz val="9.0"/>
        <u/>
      </rPr>
      <t>Pat Freiermuth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</si>
  <si>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ATLTE8</t>
    </r>
  </si>
  <si>
    <t>TE26</t>
  </si>
  <si>
    <r>
      <rPr>
        <rFont val="Poppins, Arial, Helvetica, sans-serif"/>
        <color rgb="FF1155CC"/>
        <sz val="9.0"/>
        <u/>
      </rPr>
      <t>Zachariah Branch</t>
    </r>
    <r>
      <rPr>
        <rFont val="Poppins, Arial, Helvetica, sans-serif"/>
        <sz val="9.0"/>
      </rPr>
      <t xml:space="preserve"> (ATL)</t>
    </r>
  </si>
  <si>
    <t>WR83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</si>
  <si>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KCWR45</t>
    </r>
  </si>
  <si>
    <r>
      <rPr>
        <rFont val="Poppins, Arial, Helvetica, sans-serif"/>
        <color rgb="FF1155CC"/>
        <sz val="9.0"/>
        <u/>
      </rPr>
      <t>Cade Otton</t>
    </r>
    <r>
      <rPr>
        <rFont val="Poppins, Arial, Helvetica, sans-serif"/>
        <sz val="9.0"/>
      </rPr>
      <t xml:space="preserve"> (TB)</t>
    </r>
  </si>
  <si>
    <t>TE27</t>
  </si>
  <si>
    <r>
      <rPr>
        <rFont val="Poppins, Arial, Helvetica, sans-serif"/>
        <color rgb="FF1155CC"/>
        <sz val="9.0"/>
        <u/>
      </rPr>
      <t>MarShawn Lloyd</t>
    </r>
    <r>
      <rPr>
        <rFont val="Poppins, Arial, Helvetica, sans-serif"/>
        <sz val="9.0"/>
      </rPr>
      <t xml:space="preserve"> (GB)</t>
    </r>
  </si>
  <si>
    <t>RB65</t>
  </si>
  <si>
    <r>
      <rPr>
        <rFont val="Poppins, Arial, Helvetica, sans-serif"/>
        <color rgb="FF1155CC"/>
        <sz val="9.0"/>
        <u/>
      </rPr>
      <t>Chimere Dike</t>
    </r>
    <r>
      <rPr>
        <rFont val="Poppins, Arial, Helvetica, sans-serif"/>
        <sz val="9.0"/>
      </rPr>
      <t xml:space="preserve"> (TEN)</t>
    </r>
  </si>
  <si>
    <t>WR84</t>
  </si>
  <si>
    <r>
      <rPr>
        <rFont val="Poppins, Arial, Helvetica, sans-serif"/>
        <color rgb="FF1155CC"/>
        <sz val="9.0"/>
        <u/>
      </rPr>
      <t>Jaylen Wright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</si>
  <si>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WASWR46</t>
    </r>
  </si>
  <si>
    <t>RB66</t>
  </si>
  <si>
    <r>
      <rPr>
        <rFont val="Poppins, Arial, Helvetica, sans-serif"/>
        <color rgb="FF1155CC"/>
        <sz val="9.0"/>
        <u/>
      </rPr>
      <t>Germie Bernard</t>
    </r>
    <r>
      <rPr>
        <rFont val="Poppins, Arial, Helvetica, sans-serif"/>
        <sz val="9.0"/>
      </rPr>
      <t xml:space="preserve"> (PIT)</t>
    </r>
  </si>
  <si>
    <t>WR85</t>
  </si>
  <si>
    <r>
      <rPr>
        <rFont val="Poppins, Arial, Helvetica, sans-serif"/>
        <color rgb="FF1155CC"/>
        <sz val="9.0"/>
        <u/>
      </rPr>
      <t>Terrance Ferguson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</si>
  <si>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PITRB28</t>
    </r>
  </si>
  <si>
    <t>TE28</t>
  </si>
  <si>
    <r>
      <rPr>
        <rFont val="Poppins, Arial, Helvetica, sans-serif"/>
        <color rgb="FF1155CC"/>
        <sz val="9.0"/>
        <u/>
      </rPr>
      <t>Jaydon Blue</t>
    </r>
    <r>
      <rPr>
        <rFont val="Poppins, Arial, Helvetica, sans-serif"/>
        <sz val="9.0"/>
      </rPr>
      <t xml:space="preserve"> (DAL)</t>
    </r>
  </si>
  <si>
    <t>RB67</t>
  </si>
  <si>
    <r>
      <rPr>
        <rFont val="Poppins, Arial, Helvetica, sans-serif"/>
        <color rgb="FF1155CC"/>
        <sz val="9.0"/>
        <u/>
      </rPr>
      <t>David Njoku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</si>
  <si>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SFTE9</t>
    </r>
  </si>
  <si>
    <t>TE29</t>
  </si>
  <si>
    <r>
      <rPr>
        <rFont val="Poppins, Arial, Helvetica, sans-serif"/>
        <color rgb="FF1155CC"/>
        <sz val="9.0"/>
        <u/>
      </rPr>
      <t>Evan Engram</t>
    </r>
    <r>
      <rPr>
        <rFont val="Poppins, Arial, Helvetica, sans-serif"/>
        <sz val="9.0"/>
      </rPr>
      <t xml:space="preserve"> (DEN)</t>
    </r>
  </si>
  <si>
    <t>TE30</t>
  </si>
  <si>
    <r>
      <rPr>
        <rFont val="Poppins, Arial, Helvetica, sans-serif"/>
        <color rgb="FF1155CC"/>
        <sz val="9.0"/>
        <u/>
      </rPr>
      <t>Ollie Gordon II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</si>
  <si>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TENRB29</t>
    </r>
  </si>
  <si>
    <t>RB68</t>
  </si>
  <si>
    <r>
      <rPr>
        <rFont val="Poppins, Arial, Helvetica, sans-serif"/>
        <color rgb="FF1155CC"/>
        <sz val="9.0"/>
        <u/>
      </rPr>
      <t>Greg Dulcich</t>
    </r>
    <r>
      <rPr>
        <rFont val="Poppins, Arial, Helvetica, sans-serif"/>
        <sz val="9.0"/>
      </rPr>
      <t xml:space="preserve"> (MIA)</t>
    </r>
  </si>
  <si>
    <t>TE31</t>
  </si>
  <si>
    <r>
      <rPr>
        <rFont val="Poppins, Arial, Helvetica, sans-serif"/>
        <color rgb="FF1155CC"/>
        <sz val="9.0"/>
        <u/>
      </rPr>
      <t>Jack Bech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</si>
  <si>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NEWR47</t>
    </r>
  </si>
  <si>
    <t>WR86</t>
  </si>
  <si>
    <r>
      <rPr>
        <rFont val="Poppins, Arial, Helvetica, sans-serif"/>
        <color rgb="FF1155CC"/>
        <sz val="9.0"/>
        <u/>
      </rPr>
      <t>Justice Hill</t>
    </r>
    <r>
      <rPr>
        <rFont val="Poppins, Arial, Helvetica, sans-serif"/>
        <sz val="9.0"/>
      </rPr>
      <t xml:space="preserve"> (BAL)</t>
    </r>
  </si>
  <si>
    <t>RB69</t>
  </si>
  <si>
    <r>
      <rPr>
        <rFont val="Poppins, Arial, Helvetica, sans-serif"/>
        <color rgb="FF1155CC"/>
        <sz val="9.0"/>
        <u/>
      </rPr>
      <t>Keon Coleman</t>
    </r>
    <r>
      <rPr>
        <rFont val="Poppins, Arial, Helvetica, sans-serif"/>
        <sz val="9.0"/>
      </rPr>
      <t xml:space="preserve"> (BUF)</t>
    </r>
  </si>
  <si>
    <t>WR87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</si>
  <si>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CARRB30</t>
    </r>
  </si>
  <si>
    <r>
      <rPr>
        <rFont val="Poppins, Arial, Helvetica, sans-serif"/>
        <color rgb="FF1155CC"/>
        <sz val="9.0"/>
        <u/>
      </rPr>
      <t>Elic Ayomanor</t>
    </r>
    <r>
      <rPr>
        <rFont val="Poppins, Arial, Helvetica, sans-serif"/>
        <sz val="9.0"/>
      </rPr>
      <t xml:space="preserve"> (TEN)</t>
    </r>
  </si>
  <si>
    <t>WR88</t>
  </si>
  <si>
    <t>Tier 12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</si>
  <si>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</si>
  <si>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Colby Parkinson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</si>
  <si>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PHIWR48</t>
    </r>
  </si>
  <si>
    <t>TE32</t>
  </si>
  <si>
    <r>
      <rPr>
        <rFont val="Poppins, Arial, Helvetica, sans-serif"/>
        <color rgb="FF1155CC"/>
        <sz val="9.0"/>
        <u/>
      </rPr>
      <t>Isaiah Davis</t>
    </r>
    <r>
      <rPr>
        <rFont val="Poppins, Arial, Helvetica, sans-serif"/>
        <sz val="9.0"/>
      </rPr>
      <t xml:space="preserve"> (NYJ)</t>
    </r>
  </si>
  <si>
    <t>RB70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</si>
  <si>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SEARB31</t>
    </r>
  </si>
  <si>
    <r>
      <rPr>
        <rFont val="Poppins, Arial, Helvetica, sans-serif"/>
        <color rgb="FF1155CC"/>
        <sz val="9.0"/>
        <u/>
      </rPr>
      <t>Tory Horton</t>
    </r>
    <r>
      <rPr>
        <rFont val="Poppins, Arial, Helvetica, sans-serif"/>
        <sz val="9.0"/>
      </rPr>
      <t xml:space="preserve"> (SEA)</t>
    </r>
  </si>
  <si>
    <t>WR89</t>
  </si>
  <si>
    <r>
      <rPr>
        <rFont val="Poppins, Arial, Helvetica, sans-serif"/>
        <color rgb="FF1155CC"/>
        <sz val="9.0"/>
        <u/>
      </rPr>
      <t>Chris Bell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</si>
  <si>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HOUWR49</t>
    </r>
  </si>
  <si>
    <t>WR90</t>
  </si>
  <si>
    <r>
      <rPr>
        <rFont val="Poppins, Arial, Helvetica, sans-serif"/>
        <color rgb="FF1155CC"/>
        <sz val="9.0"/>
        <u/>
      </rPr>
      <t>George Holani</t>
    </r>
    <r>
      <rPr>
        <rFont val="Poppins, Arial, Helvetica, sans-serif"/>
        <sz val="9.0"/>
      </rPr>
      <t xml:space="preserve"> (SEA)</t>
    </r>
  </si>
  <si>
    <t>RB71</t>
  </si>
  <si>
    <r>
      <rPr>
        <rFont val="Poppins, Arial, Helvetica, sans-serif"/>
        <color rgb="FF1155CC"/>
        <sz val="9.0"/>
        <u/>
      </rPr>
      <t>Christian Kirk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</si>
  <si>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ATLQB31</t>
    </r>
  </si>
  <si>
    <t>WR91</t>
  </si>
  <si>
    <r>
      <rPr>
        <rFont val="Poppins, Arial, Helvetica, sans-serif"/>
        <color rgb="FF1155CC"/>
        <sz val="9.0"/>
        <u/>
      </rPr>
      <t>Ty Johnson</t>
    </r>
    <r>
      <rPr>
        <rFont val="Poppins, Arial, Helvetica, sans-serif"/>
        <sz val="9.0"/>
      </rPr>
      <t xml:space="preserve"> (BUF)</t>
    </r>
  </si>
  <si>
    <t>RB72</t>
  </si>
  <si>
    <r>
      <rPr>
        <rFont val="Poppins, Arial, Helvetica, sans-serif"/>
        <color rgb="FF1155CC"/>
        <sz val="9.0"/>
        <u/>
      </rPr>
      <t>Elijah Sarratt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</si>
  <si>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ATLQB32</t>
    </r>
  </si>
  <si>
    <t>WR92</t>
  </si>
  <si>
    <r>
      <rPr>
        <rFont val="Poppins, Arial, Helvetica, sans-serif"/>
        <color rgb="FF1155CC"/>
        <sz val="9.0"/>
        <u/>
      </rPr>
      <t>Eli Stowers</t>
    </r>
    <r>
      <rPr>
        <rFont val="Poppins, Arial, Helvetica, sans-serif"/>
        <sz val="9.0"/>
      </rPr>
      <t xml:space="preserve"> (PHI)</t>
    </r>
  </si>
  <si>
    <t>TE33</t>
  </si>
  <si>
    <r>
      <rPr>
        <rFont val="Poppins, Arial, Helvetica, sans-serif"/>
        <color rgb="FF1155CC"/>
        <sz val="9.0"/>
        <u/>
      </rPr>
      <t>Demond Claiborne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</si>
  <si>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SFWR50</t>
    </r>
  </si>
  <si>
    <t>RB73</t>
  </si>
  <si>
    <r>
      <rPr>
        <rFont val="Poppins, Arial, Helvetica, sans-serif"/>
        <color rgb="FF1155CC"/>
        <sz val="9.0"/>
        <u/>
      </rPr>
      <t>Malachi Fields</t>
    </r>
    <r>
      <rPr>
        <rFont val="Poppins, Arial, Helvetica, sans-serif"/>
        <sz val="9.0"/>
      </rPr>
      <t xml:space="preserve"> (NYG)</t>
    </r>
  </si>
  <si>
    <t>WR93</t>
  </si>
  <si>
    <r>
      <rPr>
        <rFont val="Poppins, Arial, Helvetica, sans-serif"/>
        <color rgb="FF1155CC"/>
        <sz val="9.0"/>
        <u/>
      </rPr>
      <t>Darius Slayton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</si>
  <si>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CLEWR51</t>
    </r>
  </si>
  <si>
    <t>WR94</t>
  </si>
  <si>
    <r>
      <rPr>
        <rFont val="Poppins, Arial, Helvetica, sans-serif"/>
        <color rgb="FF1155CC"/>
        <sz val="9.0"/>
        <u/>
      </rPr>
      <t>Ted Hurst III</t>
    </r>
    <r>
      <rPr>
        <rFont val="Poppins, Arial, Helvetica, sans-serif"/>
        <sz val="9.0"/>
      </rPr>
      <t xml:space="preserve"> (TB)</t>
    </r>
  </si>
  <si>
    <t>WR95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</si>
  <si>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TENWR52</t>
    </r>
  </si>
  <si>
    <r>
      <rPr>
        <rFont val="Poppins, Arial, Helvetica, sans-serif"/>
        <color rgb="FF1155CC"/>
        <sz val="9.0"/>
        <u/>
      </rPr>
      <t>Chris Brooks</t>
    </r>
    <r>
      <rPr>
        <rFont val="Poppins, Arial, Helvetica, sans-serif"/>
        <sz val="9.0"/>
      </rPr>
      <t xml:space="preserve"> (GB)</t>
    </r>
  </si>
  <si>
    <t>RB74</t>
  </si>
  <si>
    <r>
      <rPr>
        <rFont val="Poppins, Arial, Helvetica, sans-serif"/>
        <color rgb="FF1155CC"/>
        <sz val="9.0"/>
        <u/>
      </rPr>
      <t>Jordan James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</si>
  <si>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ARIWR53</t>
    </r>
  </si>
  <si>
    <t>RB75</t>
  </si>
  <si>
    <r>
      <rPr>
        <rFont val="Poppins, Arial, Helvetica, sans-serif"/>
        <color rgb="FF1155CC"/>
        <sz val="9.0"/>
        <u/>
      </rPr>
      <t>Marvin Mims Jr.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</si>
  <si>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GBWR54</t>
    </r>
  </si>
  <si>
    <t>WR96</t>
  </si>
  <si>
    <r>
      <rPr>
        <rFont val="Poppins, Arial, Helvetica, sans-serif"/>
        <color rgb="FF1155CC"/>
        <sz val="9.0"/>
        <u/>
      </rPr>
      <t>Tyquan Thornton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</si>
  <si>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KCTE10</t>
    </r>
  </si>
  <si>
    <t>WR97</t>
  </si>
  <si>
    <r>
      <rPr>
        <rFont val="Poppins, Arial, Helvetica, sans-serif"/>
        <color rgb="FF1155CC"/>
        <sz val="9.0"/>
        <u/>
      </rPr>
      <t>Mason Taylor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</si>
  <si>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DENRB32</t>
    </r>
  </si>
  <si>
    <t>TE34</t>
  </si>
  <si>
    <r>
      <rPr>
        <rFont val="Poppins, Arial, Helvetica, sans-serif"/>
        <color rgb="FF1155CC"/>
        <sz val="9.0"/>
        <u/>
      </rPr>
      <t>Xavier Legette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</si>
  <si>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eshaun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CLEQB33</t>
    </r>
  </si>
  <si>
    <t>WR98</t>
  </si>
  <si>
    <t>QB40</t>
  </si>
  <si>
    <r>
      <rPr>
        <rFont val="Poppins, Arial, Helvetica, sans-serif"/>
        <color rgb="FF1155CC"/>
        <sz val="9.0"/>
        <u/>
      </rPr>
      <t>DJ Giddens</t>
    </r>
    <r>
      <rPr>
        <rFont val="Poppins, Arial, Helvetica, sans-serif"/>
        <sz val="9.0"/>
      </rPr>
      <t xml:space="preserve"> (IND)</t>
    </r>
  </si>
  <si>
    <t>QB44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</si>
  <si>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BUFWR55</t>
    </r>
  </si>
  <si>
    <t>RB76</t>
  </si>
  <si>
    <r>
      <rPr>
        <rFont val="Poppins, Arial, Helvetica, sans-serif"/>
        <color rgb="FF1155CC"/>
        <sz val="9.0"/>
        <u/>
      </rPr>
      <t>Brandon Aiyuk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</si>
  <si>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CARRB33</t>
    </r>
  </si>
  <si>
    <t>WR99</t>
  </si>
  <si>
    <r>
      <rPr>
        <rFont val="Poppins, Arial, Helvetica, sans-serif"/>
        <color rgb="FF1155CC"/>
        <sz val="9.0"/>
        <u/>
      </rPr>
      <t>Theo Johnson</t>
    </r>
    <r>
      <rPr>
        <rFont val="Poppins, Arial, Helvetica, sans-serif"/>
        <sz val="9.0"/>
      </rPr>
      <t xml:space="preserve"> (NYG)</t>
    </r>
  </si>
  <si>
    <t>TE35</t>
  </si>
  <si>
    <r>
      <rPr>
        <rFont val="Poppins, Arial, Helvetica, sans-serif"/>
        <color rgb="FF1155CC"/>
        <sz val="9.0"/>
        <u/>
      </rPr>
      <t>Samaje Perine</t>
    </r>
    <r>
      <rPr>
        <rFont val="Poppins, Arial, Helvetica, sans-serif"/>
        <sz val="9.0"/>
      </rPr>
      <t xml:space="preserve"> (CIN)</t>
    </r>
  </si>
  <si>
    <t>RB77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</si>
  <si>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DENRB34</t>
    </r>
  </si>
  <si>
    <r>
      <rPr>
        <rFont val="Poppins, Arial, Helvetica, sans-serif"/>
        <color rgb="FF1155CC"/>
        <sz val="9.0"/>
        <u/>
      </rPr>
      <t>LeQuint Allen Jr.</t>
    </r>
    <r>
      <rPr>
        <rFont val="Poppins, Arial, Helvetica, sans-serif"/>
        <sz val="9.0"/>
      </rPr>
      <t xml:space="preserve"> (JAC)</t>
    </r>
  </si>
  <si>
    <t>RB78</t>
  </si>
  <si>
    <r>
      <rPr>
        <rFont val="Poppins, Arial, Helvetica, sans-serif"/>
        <color rgb="FF1155CC"/>
        <sz val="9.0"/>
        <u/>
      </rPr>
      <t>Trey Benson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</si>
  <si>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CLEQB34</t>
    </r>
  </si>
  <si>
    <t>RB79</t>
  </si>
  <si>
    <r>
      <rPr>
        <rFont val="Poppins, Arial, Helvetica, sans-serif"/>
        <color rgb="FF1155CC"/>
        <sz val="9.0"/>
        <u/>
      </rPr>
      <t>Devaughn Vele</t>
    </r>
    <r>
      <rPr>
        <rFont val="Poppins, Arial, Helvetica, sans-serif"/>
        <sz val="9.0"/>
      </rPr>
      <t xml:space="preserve"> (NO)</t>
    </r>
  </si>
  <si>
    <t>WR100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</si>
  <si>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Beck</t>
    </r>
    <r>
      <rPr>
        <rFont val="Roboto, sans-serif"/>
      </rPr>
      <t xml:space="preserve">
ARIQB35</t>
    </r>
  </si>
  <si>
    <r>
      <rPr>
        <rFont val="Poppins, Arial, Helvetica, sans-serif"/>
        <color rgb="FF1155CC"/>
        <sz val="9.0"/>
        <u/>
      </rPr>
      <t>Kaelon Black</t>
    </r>
    <r>
      <rPr>
        <rFont val="Poppins, Arial, Helvetica, sans-serif"/>
        <sz val="9.0"/>
      </rPr>
      <t xml:space="preserve"> (SF)</t>
    </r>
  </si>
  <si>
    <t>QB43</t>
  </si>
  <si>
    <t>RB80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</si>
  <si>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Aubrey</t>
    </r>
    <r>
      <rPr>
        <rFont val="Roboto, sans-serif"/>
      </rPr>
      <t xml:space="preserve">
DALK1</t>
    </r>
  </si>
  <si>
    <r>
      <rPr>
        <rFont val="Poppins, Arial, Helvetica, sans-serif"/>
        <color rgb="FF1155CC"/>
        <sz val="9.0"/>
        <u/>
      </rPr>
      <t>Kaleb Johnson</t>
    </r>
    <r>
      <rPr>
        <rFont val="Poppins, Arial, Helvetica, sans-serif"/>
        <sz val="9.0"/>
      </rPr>
      <t xml:space="preserve"> (PIT)</t>
    </r>
  </si>
  <si>
    <t>K1</t>
  </si>
  <si>
    <t>RB81</t>
  </si>
  <si>
    <r>
      <rPr>
        <rFont val="Poppins, Arial, Helvetica, sans-serif"/>
        <color rgb="FF1155CC"/>
        <sz val="9.0"/>
        <u/>
      </rPr>
      <t>Devin Neal</t>
    </r>
    <r>
      <rPr>
        <rFont val="Poppins, Arial, Helvetica, sans-serif"/>
        <sz val="9.0"/>
      </rPr>
      <t xml:space="preserve"> (NO)</t>
    </r>
  </si>
  <si>
    <t>RB82</t>
  </si>
  <si>
    <r>
      <rPr>
        <rFont val="Poppins, Arial, Helvetica, sans-serif"/>
        <color rgb="FF1155CC"/>
        <sz val="9.0"/>
        <u/>
      </rPr>
      <t>Malik Davis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</si>
  <si>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Cousins</t>
    </r>
    <r>
      <rPr>
        <rFont val="Roboto, sans-serif"/>
      </rPr>
      <t xml:space="preserve">
LVRQB36</t>
    </r>
  </si>
  <si>
    <t>RB83</t>
  </si>
  <si>
    <r>
      <rPr>
        <rFont val="Poppins, Arial, Helvetica, sans-serif"/>
        <color rgb="FF1155CC"/>
        <sz val="9.0"/>
        <u/>
      </rPr>
      <t>Oscar Delp</t>
    </r>
    <r>
      <rPr>
        <rFont val="Poppins, Arial, Helvetica, sans-serif"/>
        <sz val="9.0"/>
      </rPr>
      <t xml:space="preserve"> (NO)</t>
    </r>
  </si>
  <si>
    <t>QB41</t>
  </si>
  <si>
    <t>TE36</t>
  </si>
  <si>
    <r>
      <rPr>
        <rFont val="Poppins, Arial, Helvetica, sans-serif"/>
        <color rgb="FF1155CC"/>
        <sz val="9.0"/>
        <u/>
      </rPr>
      <t>Hollywood Brown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</si>
  <si>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MINRB35</t>
    </r>
  </si>
  <si>
    <t>WR101</t>
  </si>
  <si>
    <r>
      <rPr>
        <rFont val="Poppins, Arial, Helvetica, sans-serif"/>
        <color rgb="FF1155CC"/>
        <sz val="9.0"/>
        <u/>
      </rPr>
      <t>Keenan Allen</t>
    </r>
    <r>
      <rPr>
        <rFont val="Poppins, Arial, Helvetica, sans-serif"/>
        <sz val="9.0"/>
      </rPr>
      <t xml:space="preserve"> (LAC)</t>
    </r>
  </si>
  <si>
    <t>WR102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</si>
  <si>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SEAWR56</t>
    </r>
  </si>
  <si>
    <r>
      <rPr>
        <rFont val="Poppins, Arial, Helvetica, sans-serif"/>
        <color rgb="FF1155CC"/>
        <sz val="9.0"/>
        <u/>
      </rPr>
      <t>Emari Demercado</t>
    </r>
    <r>
      <rPr>
        <rFont val="Poppins, Arial, Helvetica, sans-serif"/>
        <sz val="9.0"/>
      </rPr>
      <t xml:space="preserve"> (KC)</t>
    </r>
  </si>
  <si>
    <t>RB84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</si>
  <si>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TBWR57</t>
    </r>
  </si>
  <si>
    <r>
      <rPr>
        <rFont val="Poppins, Arial, Helvetica, sans-serif"/>
        <color rgb="FF1155CC"/>
        <sz val="9.0"/>
        <u/>
      </rPr>
      <t>Mack Hollins</t>
    </r>
    <r>
      <rPr>
        <rFont val="Poppins, Arial, Helvetica, sans-serif"/>
        <sz val="9.0"/>
      </rPr>
      <t xml:space="preserve"> (NE)</t>
    </r>
  </si>
  <si>
    <t>WR103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</si>
  <si>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CARWR58</t>
    </r>
  </si>
  <si>
    <r>
      <rPr>
        <rFont val="Poppins, Arial, Helvetica, sans-serif"/>
        <color rgb="FF1155CC"/>
        <sz val="9.0"/>
        <u/>
      </rPr>
      <t>Kyle Williams</t>
    </r>
    <r>
      <rPr>
        <rFont val="Poppins, Arial, Helvetica, sans-serif"/>
        <sz val="9.0"/>
      </rPr>
      <t xml:space="preserve"> (NE)</t>
    </r>
  </si>
  <si>
    <t>WR104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</si>
  <si>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CHIRB36</t>
    </r>
  </si>
  <si>
    <r>
      <rPr>
        <rFont val="Poppins, Arial, Helvetica, sans-serif"/>
        <color rgb="FF1155CC"/>
        <sz val="9.0"/>
        <u/>
      </rPr>
      <t>Mike Gesicki</t>
    </r>
    <r>
      <rPr>
        <rFont val="Poppins, Arial, Helvetica, sans-serif"/>
        <sz val="9.0"/>
      </rPr>
      <t xml:space="preserve"> (CIN)</t>
    </r>
  </si>
  <si>
    <t>TE37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</si>
  <si>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TBRB37</t>
    </r>
  </si>
  <si>
    <r>
      <rPr>
        <rFont val="Poppins, Arial, Helvetica, sans-serif"/>
        <color rgb="FF1155CC"/>
        <sz val="9.0"/>
        <u/>
      </rPr>
      <t>Kendre Miller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</si>
  <si>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WASRB38</t>
    </r>
  </si>
  <si>
    <t>RB85</t>
  </si>
  <si>
    <r>
      <rPr>
        <rFont val="Poppins, Arial, Helvetica, sans-serif"/>
        <color rgb="FF1155CC"/>
        <sz val="9.0"/>
        <u/>
      </rPr>
      <t>Devin Singletary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</si>
  <si>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NYJWR59</t>
    </r>
  </si>
  <si>
    <t>RB86</t>
  </si>
  <si>
    <r>
      <rPr>
        <rFont val="Poppins, Arial, Helvetica, sans-serif"/>
        <color rgb="FF1155CC"/>
        <sz val="9.0"/>
        <u/>
      </rPr>
      <t>Brashard Smith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</si>
  <si>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CLEWR60</t>
    </r>
  </si>
  <si>
    <t>RB87</t>
  </si>
  <si>
    <r>
      <rPr>
        <rFont val="Poppins, Arial, Helvetica, sans-serif"/>
        <color rgb="FF1155CC"/>
        <sz val="9.0"/>
        <u/>
      </rPr>
      <t>Tyreek Hill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</si>
  <si>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Dicker</t>
    </r>
    <r>
      <rPr>
        <rFont val="Roboto, sans-serif"/>
      </rPr>
      <t xml:space="preserve">
LACK2</t>
    </r>
  </si>
  <si>
    <t>K2</t>
  </si>
  <si>
    <t>WR105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</si>
  <si>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LARRB39</t>
    </r>
  </si>
  <si>
    <r>
      <rPr>
        <rFont val="Poppins, Arial, Helvetica, sans-serif"/>
        <color rgb="FF1155CC"/>
        <sz val="9.0"/>
        <u/>
      </rPr>
      <t>Jerome Ford</t>
    </r>
    <r>
      <rPr>
        <rFont val="Poppins, Arial, Helvetica, sans-serif"/>
        <sz val="9.0"/>
      </rPr>
      <t xml:space="preserve"> (WAS)</t>
    </r>
  </si>
  <si>
    <t>RB88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</si>
  <si>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WASRB40</t>
    </r>
  </si>
  <si>
    <r>
      <rPr>
        <rFont val="Poppins, Arial, Helvetica, sans-serif"/>
        <color rgb="FF1155CC"/>
        <sz val="9.0"/>
        <u/>
      </rPr>
      <t>Ja'Kobi Lane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</si>
  <si>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NYJWR61</t>
    </r>
  </si>
  <si>
    <t>WR106</t>
  </si>
  <si>
    <r>
      <rPr>
        <rFont val="Poppins, Arial, Helvetica, sans-serif"/>
        <color rgb="FF1155CC"/>
        <sz val="9.0"/>
        <u/>
      </rPr>
      <t>Adam Randall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</si>
  <si>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LVRWR62</t>
    </r>
  </si>
  <si>
    <t>RB89</t>
  </si>
  <si>
    <r>
      <rPr>
        <rFont val="Poppins, Arial, Helvetica, sans-serif"/>
        <color rgb="FF1155CC"/>
        <sz val="9.0"/>
        <u/>
      </rPr>
      <t>Skyler Bell</t>
    </r>
    <r>
      <rPr>
        <rFont val="Poppins, Arial, Helvetica, sans-serif"/>
        <sz val="9.0"/>
      </rPr>
      <t xml:space="preserve"> (BUF)</t>
    </r>
  </si>
  <si>
    <t>WR107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</si>
  <si>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UNSWR63</t>
    </r>
  </si>
  <si>
    <r>
      <rPr>
        <rFont val="Poppins, Arial, Helvetica, sans-serif"/>
        <color rgb="FF1155CC"/>
        <sz val="9.0"/>
        <u/>
      </rPr>
      <t>Isaiah Bond</t>
    </r>
    <r>
      <rPr>
        <rFont val="Poppins, Arial, Helvetica, sans-serif"/>
        <sz val="9.0"/>
      </rPr>
      <t xml:space="preserve"> (CLE)</t>
    </r>
  </si>
  <si>
    <t>WR108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</si>
  <si>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ouston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Texans</t>
    </r>
    <r>
      <rPr>
        <rFont val="Roboto, sans-serif"/>
      </rPr>
      <t xml:space="preserve">
HOUDEF1</t>
    </r>
  </si>
  <si>
    <r>
      <rPr>
        <rFont val="Poppins, Arial, Helvetica, sans-serif"/>
        <color rgb="FF1155CC"/>
        <sz val="9.0"/>
        <u/>
      </rPr>
      <t>Najee Harris</t>
    </r>
    <r>
      <rPr>
        <rFont val="Poppins, Arial, Helvetica, sans-serif"/>
        <sz val="9.0"/>
      </rPr>
      <t xml:space="preserve"> (LAC)</t>
    </r>
  </si>
  <si>
    <t>DEF2</t>
  </si>
  <si>
    <t>RB90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</si>
  <si>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TENRB41</t>
    </r>
  </si>
  <si>
    <r>
      <rPr>
        <rFont val="Poppins, Arial, Helvetica, sans-serif"/>
        <color rgb="FF1155CC"/>
        <sz val="9.0"/>
        <u/>
      </rPr>
      <t>Tahj Brooks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</si>
  <si>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BALTE11</t>
    </r>
  </si>
  <si>
    <t>RB91</t>
  </si>
  <si>
    <t>Tier 13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</si>
  <si>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</si>
  <si>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Jake Tonges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</si>
  <si>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SFWR64</t>
    </r>
  </si>
  <si>
    <t>TE38</t>
  </si>
  <si>
    <r>
      <rPr>
        <rFont val="Poppins, Arial, Helvetica, sans-serif"/>
        <color rgb="FF1155CC"/>
        <sz val="9.0"/>
        <u/>
      </rPr>
      <t>Seth McGowan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</si>
  <si>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BUFTE12</t>
    </r>
  </si>
  <si>
    <t>RB92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</si>
  <si>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MINRB42</t>
    </r>
  </si>
  <si>
    <r>
      <rPr>
        <rFont val="Poppins, Arial, Helvetica, sans-serif"/>
        <color rgb="FF1155CC"/>
        <sz val="9.0"/>
        <u/>
      </rPr>
      <t>Trevor Etienne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</si>
  <si>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DALTE13</t>
    </r>
  </si>
  <si>
    <t>RB93</t>
  </si>
  <si>
    <r>
      <rPr>
        <rFont val="Poppins, Arial, Helvetica, sans-serif"/>
        <color rgb="FF1155CC"/>
        <sz val="9.0"/>
        <u/>
      </rPr>
      <t>Jaleel McLaughlin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</si>
  <si>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PHITE14</t>
    </r>
  </si>
  <si>
    <t>RB94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</si>
  <si>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MINWR65</t>
    </r>
  </si>
  <si>
    <r>
      <rPr>
        <rFont val="Poppins, Arial, Helvetica, sans-serif"/>
        <color rgb="FF1155CC"/>
        <sz val="9.0"/>
        <u/>
      </rPr>
      <t>Andrei Iosivas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</si>
  <si>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CLEWR66</t>
    </r>
  </si>
  <si>
    <t>WR109</t>
  </si>
  <si>
    <r>
      <rPr>
        <rFont val="Poppins, Arial, Helvetica, sans-serif"/>
        <color rgb="FF1155CC"/>
        <sz val="9.0"/>
        <u/>
      </rPr>
      <t>Jarquez Hunter</t>
    </r>
    <r>
      <rPr>
        <rFont val="Poppins, Arial, Helvetica, sans-serif"/>
        <sz val="9.0"/>
      </rPr>
      <t xml:space="preserve"> (LAR)</t>
    </r>
  </si>
  <si>
    <t>RB95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</si>
  <si>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a'imi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Fairbairn</t>
    </r>
    <r>
      <rPr>
        <rFont val="Roboto, sans-serif"/>
      </rPr>
      <t xml:space="preserve">
HOUK3</t>
    </r>
  </si>
  <si>
    <r>
      <rPr>
        <rFont val="Poppins, Arial, Helvetica, sans-serif"/>
        <color rgb="FF1155CC"/>
        <sz val="9.0"/>
        <u/>
      </rPr>
      <t>Isaac Guerendo</t>
    </r>
    <r>
      <rPr>
        <rFont val="Poppins, Arial, Helvetica, sans-serif"/>
        <sz val="9.0"/>
      </rPr>
      <t xml:space="preserve"> (SF)</t>
    </r>
  </si>
  <si>
    <t>K5</t>
  </si>
  <si>
    <t>RB96</t>
  </si>
  <si>
    <r>
      <rPr>
        <rFont val="Poppins, Arial, Helvetica, sans-serif"/>
        <color rgb="FF1155CC"/>
        <sz val="9.0"/>
        <u/>
      </rPr>
      <t>Chris Brazzell II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</si>
  <si>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TENWR67</t>
    </r>
  </si>
  <si>
    <t>WR110</t>
  </si>
  <si>
    <r>
      <rPr>
        <rFont val="Poppins, Arial, Helvetica, sans-serif"/>
        <color rgb="FF1155CC"/>
        <sz val="9.0"/>
        <u/>
      </rPr>
      <t>Darnell Washington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</si>
  <si>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PITWR68</t>
    </r>
  </si>
  <si>
    <t>TE39</t>
  </si>
  <si>
    <r>
      <rPr>
        <rFont val="Poppins, Arial, Helvetica, sans-serif"/>
        <color rgb="FF1155CC"/>
        <sz val="9.0"/>
        <u/>
      </rPr>
      <t>Audric Estime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</si>
  <si>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enver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Broncos</t>
    </r>
    <r>
      <rPr>
        <rFont val="Roboto, sans-serif"/>
      </rPr>
      <t xml:space="preserve">
DENDEF2</t>
    </r>
  </si>
  <si>
    <t>RB97</t>
  </si>
  <si>
    <t>DEF5</t>
  </si>
  <si>
    <r>
      <rPr>
        <rFont val="Poppins, Arial, Helvetica, sans-serif"/>
        <color rgb="FF1155CC"/>
        <sz val="9.0"/>
        <u/>
      </rPr>
      <t>Caleb Douglas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</si>
  <si>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LVRWR69</t>
    </r>
  </si>
  <si>
    <t>WR111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</si>
  <si>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SEARB43</t>
    </r>
  </si>
  <si>
    <r>
      <rPr>
        <rFont val="Poppins, Arial, Helvetica, sans-serif"/>
        <color rgb="FF1155CC"/>
        <sz val="9.0"/>
        <u/>
      </rPr>
      <t>Cedric Tillman</t>
    </r>
    <r>
      <rPr>
        <rFont val="Poppins, Arial, Helvetica, sans-serif"/>
        <sz val="9.0"/>
      </rPr>
      <t xml:space="preserve"> (CLE)</t>
    </r>
  </si>
  <si>
    <t>WR112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</si>
  <si>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JACTE15</t>
    </r>
  </si>
  <si>
    <r>
      <rPr>
        <rFont val="Poppins, Arial, Helvetica, sans-serif"/>
        <color rgb="FF1155CC"/>
        <sz val="9.0"/>
        <u/>
      </rPr>
      <t>Jalen Tolbert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</si>
  <si>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eattle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Seahawks</t>
    </r>
    <r>
      <rPr>
        <rFont val="Roboto, sans-serif"/>
      </rPr>
      <t xml:space="preserve">
SEADEF3</t>
    </r>
  </si>
  <si>
    <t>WR113</t>
  </si>
  <si>
    <t>DEF3</t>
  </si>
  <si>
    <r>
      <rPr>
        <rFont val="Poppins, Arial, Helvetica, sans-serif"/>
        <color rgb="FF1155CC"/>
        <sz val="9.0"/>
        <u/>
      </rPr>
      <t>Cyrus Allen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</si>
  <si>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Loop</t>
    </r>
    <r>
      <rPr>
        <rFont val="Roboto, sans-serif"/>
      </rPr>
      <t xml:space="preserve">
BALK4</t>
    </r>
  </si>
  <si>
    <t>WR114</t>
  </si>
  <si>
    <t>K10</t>
  </si>
  <si>
    <r>
      <rPr>
        <rFont val="Poppins, Arial, Helvetica, sans-serif"/>
        <color rgb="FF1155CC"/>
        <sz val="9.0"/>
        <u/>
      </rPr>
      <t>Will Shipley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</si>
  <si>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reen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Packers</t>
    </r>
    <r>
      <rPr>
        <rFont val="Roboto, sans-serif"/>
      </rPr>
      <t xml:space="preserve">
GBDEF4</t>
    </r>
  </si>
  <si>
    <t>RB98</t>
  </si>
  <si>
    <t>DEF14</t>
  </si>
  <si>
    <r>
      <rPr>
        <rFont val="Poppins, Arial, Helvetica, sans-serif"/>
        <color rgb="FF1155CC"/>
        <sz val="9.0"/>
        <u/>
      </rPr>
      <t>Luke McCaffrey</t>
    </r>
    <r>
      <rPr>
        <rFont val="Poppins, Arial, Helvetica, sans-serif"/>
        <sz val="9.0"/>
      </rPr>
      <t xml:space="preserve"> (WAS)</t>
    </r>
  </si>
  <si>
    <t>DEF15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</si>
  <si>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altimore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Ravens</t>
    </r>
    <r>
      <rPr>
        <rFont val="Roboto, sans-serif"/>
      </rPr>
      <t xml:space="preserve">
BALDEF5</t>
    </r>
  </si>
  <si>
    <t>WR115</t>
  </si>
  <si>
    <t>DEF6</t>
  </si>
  <si>
    <r>
      <rPr>
        <rFont val="Poppins, Arial, Helvetica, sans-serif"/>
        <color rgb="FF1155CC"/>
        <sz val="9.0"/>
        <u/>
      </rPr>
      <t>Joe Mixon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</si>
  <si>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airo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Santos</t>
    </r>
    <r>
      <rPr>
        <rFont val="Roboto, sans-serif"/>
      </rPr>
      <t xml:space="preserve">
CHIK5</t>
    </r>
  </si>
  <si>
    <t>K14</t>
  </si>
  <si>
    <t>RB99</t>
  </si>
  <si>
    <r>
      <rPr>
        <rFont val="Poppins, Arial, Helvetica, sans-serif"/>
        <color rgb="FF1155CC"/>
        <sz val="9.0"/>
        <u/>
      </rPr>
      <t>Tez Johnson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</si>
  <si>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ddy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Pineiro</t>
    </r>
    <r>
      <rPr>
        <rFont val="Roboto, sans-serif"/>
      </rPr>
      <t xml:space="preserve">
SFK6</t>
    </r>
  </si>
  <si>
    <t>WR116</t>
  </si>
  <si>
    <t>K7</t>
  </si>
  <si>
    <r>
      <rPr>
        <rFont val="Poppins, Arial, Helvetica, sans-serif"/>
        <color rgb="FF1155CC"/>
        <sz val="9.0"/>
        <u/>
      </rPr>
      <t>Kareem Hunt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</si>
  <si>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Little</t>
    </r>
    <r>
      <rPr>
        <rFont val="Roboto, sans-serif"/>
      </rPr>
      <t xml:space="preserve">
JACK7</t>
    </r>
  </si>
  <si>
    <t>K6</t>
  </si>
  <si>
    <t>RB100</t>
  </si>
  <si>
    <r>
      <rPr>
        <rFont val="Poppins, Arial, Helvetica, sans-serif"/>
        <color rgb="FF1155CC"/>
        <sz val="9.0"/>
        <u/>
      </rPr>
      <t>Konata Mumpfield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</si>
  <si>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HOURB44</t>
    </r>
  </si>
  <si>
    <t>WR117</t>
  </si>
  <si>
    <r>
      <rPr>
        <rFont val="Poppins, Arial, Helvetica, sans-serif"/>
        <color rgb="FF1155CC"/>
        <sz val="9.0"/>
        <u/>
      </rPr>
      <t>Jahan Dotson</t>
    </r>
    <r>
      <rPr>
        <rFont val="Poppins, Arial, Helvetica, sans-serif"/>
        <sz val="9.0"/>
      </rPr>
      <t xml:space="preserve"> (ATL)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</si>
  <si>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ittsburgh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Steelers</t>
    </r>
    <r>
      <rPr>
        <rFont val="Roboto, sans-serif"/>
      </rPr>
      <t xml:space="preserve">
PITDEF6</t>
    </r>
  </si>
  <si>
    <t>WR118</t>
  </si>
  <si>
    <r>
      <rPr>
        <rFont val="Poppins, Arial, Helvetica, sans-serif"/>
        <color rgb="FF1155CC"/>
        <sz val="9.0"/>
        <u/>
      </rPr>
      <t>Jalen Royals</t>
    </r>
    <r>
      <rPr>
        <rFont val="Poppins, Arial, Helvetica, sans-serif"/>
        <sz val="9.0"/>
      </rPr>
      <t xml:space="preserve"> (KC)</t>
    </r>
  </si>
  <si>
    <t>DEF10</t>
  </si>
  <si>
    <t>DEF11</t>
  </si>
  <si>
    <t>WR119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</si>
  <si>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BALWR70</t>
    </r>
  </si>
  <si>
    <r>
      <rPr>
        <rFont val="Poppins, Arial, Helvetica, sans-serif"/>
        <color rgb="FF1155CC"/>
        <sz val="9.0"/>
        <u/>
      </rPr>
      <t>Max Klare</t>
    </r>
    <r>
      <rPr>
        <rFont val="Poppins, Arial, Helvetica, sans-serif"/>
        <sz val="9.0"/>
      </rPr>
      <t xml:space="preserve"> (LAR)</t>
    </r>
  </si>
  <si>
    <t>TE40</t>
  </si>
  <si>
    <r>
      <rPr>
        <rFont val="Poppins, Arial, Helvetica, sans-serif"/>
        <color rgb="FF1155CC"/>
        <sz val="9.0"/>
        <u/>
      </rPr>
      <t>Elijah Arroyo</t>
    </r>
    <r>
      <rPr>
        <rFont val="Poppins, Arial, Helvetica, sans-serif"/>
        <sz val="9.0"/>
      </rPr>
      <t xml:space="preserve"> (SEA)</t>
    </r>
  </si>
  <si>
    <t>TE41</t>
  </si>
  <si>
    <r>
      <rPr>
        <rFont val="Poppins, Arial, Helvetica, sans-serif"/>
        <color rgb="FF1155CC"/>
        <sz val="9.0"/>
        <u/>
      </rPr>
      <t>Tyler Higbee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</si>
  <si>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innesota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Vikings</t>
    </r>
    <r>
      <rPr>
        <rFont val="Roboto, sans-serif"/>
      </rPr>
      <t xml:space="preserve">
MINDEF7</t>
    </r>
  </si>
  <si>
    <t>TE42</t>
  </si>
  <si>
    <t>DEF7</t>
  </si>
  <si>
    <t>DEF8</t>
  </si>
  <si>
    <r>
      <rPr>
        <rFont val="Poppins, Arial, Helvetica, sans-serif"/>
        <color rgb="FF1155CC"/>
        <sz val="9.0"/>
        <u/>
      </rPr>
      <t>Calvin Austin III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</si>
  <si>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NYGTE16</t>
    </r>
  </si>
  <si>
    <t>WR120</t>
  </si>
  <si>
    <r>
      <rPr>
        <rFont val="Poppins, Arial, Helvetica, sans-serif"/>
        <color rgb="FF1155CC"/>
        <sz val="9.0"/>
        <u/>
      </rPr>
      <t>Olamide Zaccheaus</t>
    </r>
    <r>
      <rPr>
        <rFont val="Poppins, Arial, Helvetica, sans-serif"/>
        <sz val="9.0"/>
      </rPr>
      <t xml:space="preserve"> (ATL)</t>
    </r>
  </si>
  <si>
    <t>WR121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</si>
  <si>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LACWR71</t>
    </r>
  </si>
  <si>
    <r>
      <rPr>
        <rFont val="Poppins, Arial, Helvetica, sans-serif"/>
        <color rgb="FF1155CC"/>
        <sz val="9.0"/>
        <u/>
      </rPr>
      <t>Michael Mayer</t>
    </r>
    <r>
      <rPr>
        <rFont val="Poppins, Arial, Helvetica, sans-serif"/>
        <sz val="9.0"/>
      </rPr>
      <t xml:space="preserve"> (LV)</t>
    </r>
  </si>
  <si>
    <t>TE43</t>
  </si>
  <si>
    <r>
      <rPr>
        <rFont val="Poppins, Arial, Helvetica, sans-serif"/>
        <color rgb="FF1155CC"/>
        <sz val="9.0"/>
        <u/>
      </rPr>
      <t>DeMario Douglas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</si>
  <si>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England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Patriots</t>
    </r>
    <r>
      <rPr>
        <rFont val="Roboto, sans-serif"/>
      </rPr>
      <t xml:space="preserve">
NEDEF8</t>
    </r>
  </si>
  <si>
    <t>WR122</t>
  </si>
  <si>
    <r>
      <rPr>
        <rFont val="Poppins, Arial, Helvetica, sans-serif"/>
        <color rgb="FF1155CC"/>
        <sz val="9.0"/>
        <u/>
      </rPr>
      <t>Ja'Tavion Sanders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</si>
  <si>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NETE17</t>
    </r>
  </si>
  <si>
    <t>TE44</t>
  </si>
  <si>
    <r>
      <rPr>
        <rFont val="Poppins, Arial, Helvetica, sans-serif"/>
        <color rgb="FF1155CC"/>
        <sz val="9.0"/>
        <u/>
      </rPr>
      <t>Cole Kmet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</si>
  <si>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Bates</t>
    </r>
    <r>
      <rPr>
        <rFont val="Roboto, sans-serif"/>
      </rPr>
      <t xml:space="preserve">
DETK8</t>
    </r>
  </si>
  <si>
    <t>TE45</t>
  </si>
  <si>
    <r>
      <rPr>
        <rFont val="Poppins, Arial, Helvetica, sans-serif"/>
        <color rgb="FF1155CC"/>
        <sz val="9.0"/>
        <u/>
      </rPr>
      <t>J.J. McCarthy</t>
    </r>
    <r>
      <rPr>
        <rFont val="Poppins, Arial, Helvetica, sans-serif"/>
        <sz val="9.0"/>
      </rPr>
      <t xml:space="preserve"> (MIN)</t>
    </r>
  </si>
  <si>
    <t>K9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</si>
  <si>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CLERB45</t>
    </r>
  </si>
  <si>
    <r>
      <rPr>
        <rFont val="Poppins, Arial, Helvetica, sans-serif"/>
        <color rgb="FF1155CC"/>
        <sz val="9.0"/>
        <u/>
      </rPr>
      <t>Noah Gray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</si>
  <si>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DETRB46</t>
    </r>
  </si>
  <si>
    <t>TE46</t>
  </si>
  <si>
    <r>
      <rPr>
        <rFont val="Poppins, Arial, Helvetica, sans-serif"/>
        <color rgb="FF1155CC"/>
        <sz val="9.0"/>
        <u/>
      </rPr>
      <t>Joshua Palmer</t>
    </r>
    <r>
      <rPr>
        <rFont val="Poppins, Arial, Helvetica, sans-serif"/>
        <sz val="9.0"/>
      </rPr>
      <t xml:space="preserve"> (BUF)</t>
    </r>
  </si>
  <si>
    <t>WR123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</si>
  <si>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Mevis</t>
    </r>
    <r>
      <rPr>
        <rFont val="Roboto, sans-serif"/>
      </rPr>
      <t xml:space="preserve">
LARK9</t>
    </r>
  </si>
  <si>
    <r>
      <rPr>
        <rFont val="Poppins, Arial, Helvetica, sans-serif"/>
        <color rgb="FF1155CC"/>
        <sz val="9.0"/>
        <u/>
      </rPr>
      <t>Treylon Burks</t>
    </r>
    <r>
      <rPr>
        <rFont val="Poppins, Arial, Helvetica, sans-serif"/>
        <sz val="9.0"/>
      </rPr>
      <t xml:space="preserve"> (WAS)</t>
    </r>
  </si>
  <si>
    <t>WR124</t>
  </si>
  <si>
    <t>K3</t>
  </si>
  <si>
    <r>
      <rPr>
        <rFont val="Poppins, Arial, Helvetica, sans-serif"/>
        <color rgb="FF1155CC"/>
        <sz val="9.0"/>
        <u/>
      </rPr>
      <t>Eli Heidenreich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</si>
  <si>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SEAWR72</t>
    </r>
  </si>
  <si>
    <t>RB101</t>
  </si>
  <si>
    <r>
      <rPr>
        <rFont val="Poppins, Arial, Helvetica, sans-serif"/>
        <color rgb="FF1155CC"/>
        <sz val="9.0"/>
        <u/>
      </rPr>
      <t>Dawson Knox</t>
    </r>
    <r>
      <rPr>
        <rFont val="Poppins, Arial, Helvetica, sans-serif"/>
        <sz val="9.0"/>
      </rPr>
      <t xml:space="preserve"> (BUF)</t>
    </r>
  </si>
  <si>
    <t>TE47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</si>
  <si>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HOUWR73</t>
    </r>
  </si>
  <si>
    <r>
      <rPr>
        <rFont val="Poppins, Arial, Helvetica, sans-serif"/>
        <color rgb="FF1155CC"/>
        <sz val="9.0"/>
        <u/>
      </rPr>
      <t>Bam Knight</t>
    </r>
    <r>
      <rPr>
        <rFont val="Poppins, Arial, Helvetica, sans-serif"/>
        <sz val="9.0"/>
      </rPr>
      <t xml:space="preserve"> (ARI)</t>
    </r>
  </si>
  <si>
    <t>RB102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</si>
  <si>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NYJTE18</t>
    </r>
  </si>
  <si>
    <r>
      <rPr>
        <rFont val="Poppins, Arial, Helvetica, sans-serif"/>
        <color rgb="FF1155CC"/>
        <sz val="9.0"/>
        <u/>
      </rPr>
      <t>Kendrick Bourne</t>
    </r>
    <r>
      <rPr>
        <rFont val="Poppins, Arial, Helvetica, sans-serif"/>
        <sz val="9.0"/>
      </rPr>
      <t xml:space="preserve"> (ARI)</t>
    </r>
  </si>
  <si>
    <t>WR125</t>
  </si>
  <si>
    <r>
      <rPr>
        <rFont val="Poppins, Arial, Helvetica, sans-serif"/>
        <color rgb="FF1155CC"/>
        <sz val="9.0"/>
        <u/>
      </rPr>
      <t>Bryce Lance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</si>
  <si>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hiladelphia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Eagles</t>
    </r>
    <r>
      <rPr>
        <rFont val="Roboto, sans-serif"/>
      </rPr>
      <t xml:space="preserve">
PHIDEF9</t>
    </r>
  </si>
  <si>
    <t>WR126</t>
  </si>
  <si>
    <r>
      <rPr>
        <rFont val="Poppins, Arial, Helvetica, sans-serif"/>
        <color rgb="FF1155CC"/>
        <sz val="9.0"/>
        <u/>
      </rPr>
      <t>Brenen Thompson</t>
    </r>
    <r>
      <rPr>
        <rFont val="Poppins, Arial, Helvetica, sans-serif"/>
        <sz val="9.0"/>
      </rPr>
      <t xml:space="preserve"> (LAC)</t>
    </r>
  </si>
  <si>
    <t>DEF4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</si>
  <si>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NOTE19</t>
    </r>
  </si>
  <si>
    <t>WR127</t>
  </si>
  <si>
    <r>
      <rPr>
        <rFont val="Poppins, Arial, Helvetica, sans-serif"/>
        <color rgb="FF1155CC"/>
        <sz val="9.0"/>
        <u/>
      </rPr>
      <t>Erick All Jr.</t>
    </r>
    <r>
      <rPr>
        <rFont val="Poppins, Arial, Helvetica, sans-serif"/>
        <sz val="9.0"/>
      </rPr>
      <t xml:space="preserve"> (CIN)</t>
    </r>
  </si>
  <si>
    <t>TE48</t>
  </si>
  <si>
    <t>Tier 14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</si>
  <si>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NEWR74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</si>
  <si>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</si>
  <si>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Michael Carter</t>
    </r>
    <r>
      <rPr>
        <rFont val="Poppins, Arial, Helvetica, sans-serif"/>
        <sz val="9.0"/>
      </rPr>
      <t xml:space="preserve"> (TEN)</t>
    </r>
  </si>
  <si>
    <t>RB103</t>
  </si>
  <si>
    <r>
      <rPr>
        <rFont val="Poppins, Arial, Helvetica, sans-serif"/>
        <color rgb="FF1155CC"/>
        <sz val="9.0"/>
        <u/>
      </rPr>
      <t>Eli Raridon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</si>
  <si>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DALWR75</t>
    </r>
  </si>
  <si>
    <t>TE49</t>
  </si>
  <si>
    <r>
      <rPr>
        <rFont val="Poppins, Arial, Helvetica, sans-serif"/>
        <color rgb="FF1155CC"/>
        <sz val="9.0"/>
        <u/>
      </rPr>
      <t>Justin Joly</t>
    </r>
    <r>
      <rPr>
        <rFont val="Poppins, Arial, Helvetica, sans-serif"/>
        <sz val="9.0"/>
      </rPr>
      <t xml:space="preserve"> (DEN)</t>
    </r>
  </si>
  <si>
    <t>TE50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</si>
  <si>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JACRB47</t>
    </r>
  </si>
  <si>
    <r>
      <rPr>
        <rFont val="Poppins, Arial, Helvetica, sans-serif"/>
        <color rgb="FF1155CC"/>
        <sz val="9.0"/>
        <u/>
      </rPr>
      <t>John Metchie III</t>
    </r>
    <r>
      <rPr>
        <rFont val="Poppins, Arial, Helvetica, sans-serif"/>
        <sz val="9.0"/>
      </rPr>
      <t xml:space="preserve"> (CAR)</t>
    </r>
  </si>
  <si>
    <t>WR128</t>
  </si>
  <si>
    <r>
      <rPr>
        <rFont val="Poppins, Arial, Helvetica, sans-serif"/>
        <color rgb="FF1155CC"/>
        <sz val="9.0"/>
        <u/>
      </rPr>
      <t>J'Mari Taylor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</si>
  <si>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ATLWR76</t>
    </r>
  </si>
  <si>
    <t>RB104</t>
  </si>
  <si>
    <r>
      <rPr>
        <rFont val="Poppins, Arial, Helvetica, sans-serif"/>
        <color rgb="FF1155CC"/>
        <sz val="9.0"/>
        <u/>
      </rPr>
      <t>Dont'e Thornton Jr.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</si>
  <si>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Rams</t>
    </r>
    <r>
      <rPr>
        <rFont val="Roboto, sans-serif"/>
      </rPr>
      <t xml:space="preserve">
LARDEF10</t>
    </r>
  </si>
  <si>
    <t>WR129</t>
  </si>
  <si>
    <r>
      <rPr>
        <rFont val="Poppins, Arial, Helvetica, sans-serif"/>
        <color rgb="FF1155CC"/>
        <sz val="9.0"/>
        <u/>
      </rPr>
      <t>Jawhar Jordan</t>
    </r>
    <r>
      <rPr>
        <rFont val="Poppins, Arial, Helvetica, sans-serif"/>
        <sz val="9.0"/>
      </rPr>
      <t xml:space="preserve"> (HOU)</t>
    </r>
  </si>
  <si>
    <t>DEF1</t>
  </si>
  <si>
    <t>RB105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</si>
  <si>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NYGRB48</t>
    </r>
  </si>
  <si>
    <r>
      <rPr>
        <rFont val="Poppins, Arial, Helvetica, sans-serif"/>
        <color rgb="FF1155CC"/>
        <sz val="9.0"/>
        <u/>
      </rPr>
      <t>Xavier Hutchinson</t>
    </r>
    <r>
      <rPr>
        <rFont val="Poppins, Arial, Helvetica, sans-serif"/>
        <sz val="9.0"/>
      </rPr>
      <t xml:space="preserve"> (HOU)</t>
    </r>
  </si>
  <si>
    <t>WR130</t>
  </si>
  <si>
    <r>
      <rPr>
        <rFont val="Poppins, Arial, Helvetica, sans-serif"/>
        <color rgb="FF1155CC"/>
        <sz val="9.0"/>
        <u/>
      </rPr>
      <t>Raheim Sanders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</si>
  <si>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Lutz</t>
    </r>
    <r>
      <rPr>
        <rFont val="Roboto, sans-serif"/>
      </rPr>
      <t xml:space="preserve">
DENK10</t>
    </r>
  </si>
  <si>
    <t>K13</t>
  </si>
  <si>
    <t>RB106</t>
  </si>
  <si>
    <r>
      <rPr>
        <rFont val="Poppins, Arial, Helvetica, sans-serif"/>
        <color rgb="FF1155CC"/>
        <sz val="9.0"/>
        <u/>
      </rPr>
      <t>Noah Fant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</si>
  <si>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etroit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Lions</t>
    </r>
    <r>
      <rPr>
        <rFont val="Roboto, sans-serif"/>
      </rPr>
      <t xml:space="preserve">
DETDEF11</t>
    </r>
  </si>
  <si>
    <t>TE51</t>
  </si>
  <si>
    <t>DEF9</t>
  </si>
  <si>
    <r>
      <rPr>
        <rFont val="Poppins, Arial, Helvetica, sans-serif"/>
        <color rgb="FF1155CC"/>
        <sz val="9.0"/>
        <u/>
      </rPr>
      <t>Tutu Atwell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</si>
  <si>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Butker</t>
    </r>
    <r>
      <rPr>
        <rFont val="Roboto, sans-serif"/>
      </rPr>
      <t xml:space="preserve">
KCK11</t>
    </r>
  </si>
  <si>
    <t>WR131</t>
  </si>
  <si>
    <r>
      <rPr>
        <rFont val="Poppins, Arial, Helvetica, sans-serif"/>
        <color rgb="FF1155CC"/>
        <sz val="9.0"/>
        <u/>
      </rPr>
      <t>Nick Chubb</t>
    </r>
    <r>
      <rPr>
        <rFont val="Poppins, Arial, Helvetica, sans-serif"/>
        <sz val="9.0"/>
      </rPr>
      <t xml:space="preserve"> (FA)</t>
    </r>
  </si>
  <si>
    <t>K8</t>
  </si>
  <si>
    <t>RB107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</si>
  <si>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WASTE20</t>
    </r>
  </si>
  <si>
    <r>
      <rPr>
        <rFont val="Poppins, Arial, Helvetica, sans-serif"/>
        <color rgb="FF1155CC"/>
        <sz val="9.0"/>
        <u/>
      </rPr>
      <t>Kalif Raymond</t>
    </r>
    <r>
      <rPr>
        <rFont val="Poppins, Arial, Helvetica, sans-serif"/>
        <sz val="9.0"/>
      </rPr>
      <t xml:space="preserve"> (CHI)</t>
    </r>
  </si>
  <si>
    <t>WR132</t>
  </si>
  <si>
    <r>
      <rPr>
        <rFont val="Poppins, Arial, Helvetica, sans-serif"/>
        <color rgb="FF1155CC"/>
        <sz val="9.0"/>
        <u/>
      </rPr>
      <t>Carson Beck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</si>
  <si>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Chargers</t>
    </r>
    <r>
      <rPr>
        <rFont val="Roboto, sans-serif"/>
      </rPr>
      <t xml:space="preserve">
LACDEF12</t>
    </r>
  </si>
  <si>
    <t>QB37</t>
  </si>
  <si>
    <t>DEF13</t>
  </si>
  <si>
    <r>
      <rPr>
        <rFont val="Poppins, Arial, Helvetica, sans-serif"/>
        <color rgb="FF1155CC"/>
        <sz val="9.0"/>
        <u/>
      </rPr>
      <t>Jaylin Lane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</si>
  <si>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Giants</t>
    </r>
    <r>
      <rPr>
        <rFont val="Roboto, sans-serif"/>
      </rPr>
      <t xml:space="preserve">
NYGDEF13</t>
    </r>
  </si>
  <si>
    <t>WR133</t>
  </si>
  <si>
    <r>
      <rPr>
        <rFont val="Poppins, Arial, Helvetica, sans-serif"/>
        <color rgb="FF1155CC"/>
        <sz val="9.0"/>
        <u/>
      </rPr>
      <t>Kyle Juszczyk</t>
    </r>
    <r>
      <rPr>
        <rFont val="Poppins, Arial, Helvetica, sans-serif"/>
        <sz val="9.0"/>
      </rPr>
      <t xml:space="preserve"> (SF)</t>
    </r>
  </si>
  <si>
    <t>DEF12</t>
  </si>
  <si>
    <t>RB108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</si>
  <si>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JACWR77</t>
    </r>
  </si>
  <si>
    <r>
      <rPr>
        <rFont val="Poppins, Arial, Helvetica, sans-serif"/>
        <color rgb="FF1155CC"/>
        <sz val="9.0"/>
        <u/>
      </rPr>
      <t>KaVontae Turpin</t>
    </r>
    <r>
      <rPr>
        <rFont val="Poppins, Arial, Helvetica, sans-serif"/>
        <sz val="9.0"/>
      </rPr>
      <t xml:space="preserve"> (DAL)</t>
    </r>
  </si>
  <si>
    <t>WR134</t>
  </si>
  <si>
    <r>
      <rPr>
        <rFont val="Poppins, Arial, Helvetica, sans-serif"/>
        <color rgb="FF1155CC"/>
        <sz val="9.0"/>
        <u/>
      </rPr>
      <t>Luke Musgrave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</si>
  <si>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NORB49</t>
    </r>
  </si>
  <si>
    <t>TE52</t>
  </si>
  <si>
    <r>
      <rPr>
        <rFont val="Poppins, Arial, Helvetica, sans-serif"/>
        <color rgb="FF1155CC"/>
        <sz val="9.0"/>
        <u/>
      </rPr>
      <t>Nick Westbrook-Ikhine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</si>
  <si>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LACRB50</t>
    </r>
  </si>
  <si>
    <t>WR135</t>
  </si>
  <si>
    <r>
      <rPr>
        <rFont val="Poppins, Arial, Helvetica, sans-serif"/>
        <color rgb="FF1155CC"/>
        <sz val="9.0"/>
        <u/>
      </rPr>
      <t>Kevin Coleman Jr.</t>
    </r>
    <r>
      <rPr>
        <rFont val="Poppins, Arial, Helvetica, sans-serif"/>
        <sz val="9.0"/>
      </rPr>
      <t xml:space="preserve"> (MIA)</t>
    </r>
  </si>
  <si>
    <t>WR136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</si>
  <si>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acksonville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Jaguars</t>
    </r>
    <r>
      <rPr>
        <rFont val="Roboto, sans-serif"/>
      </rPr>
      <t xml:space="preserve">
JACDEF14</t>
    </r>
  </si>
  <si>
    <r>
      <rPr>
        <rFont val="Poppins, Arial, Helvetica, sans-serif"/>
        <color rgb="FF1155CC"/>
        <sz val="9.0"/>
        <u/>
      </rPr>
      <t>Savion Williams</t>
    </r>
    <r>
      <rPr>
        <rFont val="Poppins, Arial, Helvetica, sans-serif"/>
        <sz val="9.0"/>
      </rPr>
      <t xml:space="preserve"> (GB)</t>
    </r>
  </si>
  <si>
    <t>WR137</t>
  </si>
  <si>
    <r>
      <rPr>
        <rFont val="Poppins, Arial, Helvetica, sans-serif"/>
        <color rgb="FF1155CC"/>
        <sz val="9.0"/>
        <u/>
      </rPr>
      <t>Mac Jones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</si>
  <si>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UNSWR78</t>
    </r>
  </si>
  <si>
    <t>QB38</t>
  </si>
  <si>
    <r>
      <rPr>
        <rFont val="Poppins, Arial, Helvetica, sans-serif"/>
        <color rgb="FF1155CC"/>
        <sz val="9.0"/>
        <u/>
      </rPr>
      <t>Phil Mafah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</si>
  <si>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HOUTE21</t>
    </r>
  </si>
  <si>
    <t>RB109</t>
  </si>
  <si>
    <r>
      <rPr>
        <rFont val="Poppins, Arial, Helvetica, sans-serif"/>
        <color rgb="FF1155CC"/>
        <sz val="9.0"/>
        <u/>
      </rPr>
      <t>Jordan Whittington</t>
    </r>
    <r>
      <rPr>
        <rFont val="Poppins, Arial, Helvetica, sans-serif"/>
        <sz val="9.0"/>
      </rPr>
      <t xml:space="preserve"> (LAR)</t>
    </r>
  </si>
  <si>
    <t>WR138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</si>
  <si>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DENWR79</t>
    </r>
  </si>
  <si>
    <r>
      <rPr>
        <rFont val="Poppins, Arial, Helvetica, sans-serif"/>
        <color rgb="FF1155CC"/>
        <sz val="9.0"/>
        <u/>
      </rPr>
      <t>Tommy Tremble</t>
    </r>
    <r>
      <rPr>
        <rFont val="Poppins, Arial, Helvetica, sans-serif"/>
        <sz val="9.0"/>
      </rPr>
      <t xml:space="preserve"> (CAR)</t>
    </r>
  </si>
  <si>
    <t>TE53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</si>
  <si>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MINTE22</t>
    </r>
  </si>
  <si>
    <r>
      <rPr>
        <rFont val="Poppins, Arial, Helvetica, sans-serif"/>
        <color rgb="FF1155CC"/>
        <sz val="9.0"/>
        <u/>
      </rPr>
      <t>Devontez Walker</t>
    </r>
    <r>
      <rPr>
        <rFont val="Poppins, Arial, Helvetica, sans-serif"/>
        <sz val="9.0"/>
      </rPr>
      <t xml:space="preserve"> (BAL)</t>
    </r>
  </si>
  <si>
    <t>WR139</t>
  </si>
  <si>
    <r>
      <rPr>
        <rFont val="Poppins, Arial, Helvetica, sans-serif"/>
        <color rgb="FF1155CC"/>
        <sz val="9.0"/>
        <u/>
      </rPr>
      <t>Zavion Thomas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</si>
  <si>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hicago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Bears</t>
    </r>
    <r>
      <rPr>
        <rFont val="Roboto, sans-serif"/>
      </rPr>
      <t xml:space="preserve">
CHIDEF15</t>
    </r>
  </si>
  <si>
    <t>WR140</t>
  </si>
  <si>
    <t>DEF16</t>
  </si>
  <si>
    <r>
      <rPr>
        <rFont val="Poppins, Arial, Helvetica, sans-serif"/>
        <color rgb="FF1155CC"/>
        <sz val="9.0"/>
        <u/>
      </rPr>
      <t>Ben Sinnott</t>
    </r>
    <r>
      <rPr>
        <rFont val="Poppins, Arial, Helvetica, sans-serif"/>
        <sz val="9.0"/>
      </rPr>
      <t xml:space="preserve"> (WAS)</t>
    </r>
  </si>
  <si>
    <t>DEF17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</si>
  <si>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uffalo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Bills</t>
    </r>
    <r>
      <rPr>
        <rFont val="Roboto, sans-serif"/>
      </rPr>
      <t xml:space="preserve">
BUFDEF16</t>
    </r>
  </si>
  <si>
    <t>TE54</t>
  </si>
  <si>
    <r>
      <rPr>
        <rFont val="Poppins, Arial, Helvetica, sans-serif"/>
        <color rgb="FF1155CC"/>
        <sz val="9.0"/>
        <u/>
      </rPr>
      <t>John Bates</t>
    </r>
    <r>
      <rPr>
        <rFont val="Poppins, Arial, Helvetica, sans-serif"/>
        <sz val="9.0"/>
      </rPr>
      <t xml:space="preserve"> (WAS)</t>
    </r>
  </si>
  <si>
    <t>DEF19</t>
  </si>
  <si>
    <t>DEF20</t>
  </si>
  <si>
    <t>TE55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</si>
  <si>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ndres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Borregales</t>
    </r>
    <r>
      <rPr>
        <rFont val="Roboto, sans-serif"/>
      </rPr>
      <t xml:space="preserve">
NEK12</t>
    </r>
  </si>
  <si>
    <r>
      <rPr>
        <rFont val="Poppins, Arial, Helvetica, sans-serif"/>
        <color rgb="FF1155CC"/>
        <sz val="9.0"/>
        <u/>
      </rPr>
      <t>Ty Simpson</t>
    </r>
    <r>
      <rPr>
        <rFont val="Poppins, Arial, Helvetica, sans-serif"/>
        <sz val="9.0"/>
      </rPr>
      <t xml:space="preserve"> (LAR)</t>
    </r>
  </si>
  <si>
    <t>K4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</si>
  <si>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NYGWR80</t>
    </r>
  </si>
  <si>
    <r>
      <rPr>
        <rFont val="Poppins, Arial, Helvetica, sans-serif"/>
        <color rgb="FF1155CC"/>
        <sz val="9.0"/>
        <u/>
      </rPr>
      <t>Jam Miller</t>
    </r>
    <r>
      <rPr>
        <rFont val="Poppins, Arial, Helvetica, sans-serif"/>
        <sz val="9.0"/>
      </rPr>
      <t xml:space="preserve"> (NE)</t>
    </r>
  </si>
  <si>
    <t>RB110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</si>
  <si>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Myers</t>
    </r>
    <r>
      <rPr>
        <rFont val="Roboto, sans-serif"/>
      </rPr>
      <t xml:space="preserve">
SEAK13</t>
    </r>
  </si>
  <si>
    <r>
      <rPr>
        <rFont val="Poppins, Arial, Helvetica, sans-serif"/>
        <color rgb="FF1155CC"/>
        <sz val="9.0"/>
        <u/>
      </rPr>
      <t>Austin Ekeler</t>
    </r>
    <r>
      <rPr>
        <rFont val="Poppins, Arial, Helvetica, sans-serif"/>
        <sz val="9.0"/>
      </rPr>
      <t xml:space="preserve"> (FA)</t>
    </r>
  </si>
  <si>
    <t>K18</t>
  </si>
  <si>
    <t>RB111</t>
  </si>
  <si>
    <r>
      <rPr>
        <rFont val="Poppins, Arial, Helvetica, sans-serif"/>
        <color rgb="FF1155CC"/>
        <sz val="9.0"/>
        <u/>
      </rPr>
      <t>Greg Dortch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</si>
  <si>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LACTE23</t>
    </r>
  </si>
  <si>
    <t>WR141</t>
  </si>
  <si>
    <r>
      <rPr>
        <rFont val="Poppins, Arial, Helvetica, sans-serif"/>
        <color rgb="FF1155CC"/>
        <sz val="9.0"/>
        <u/>
      </rPr>
      <t>Dyami Brown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</si>
  <si>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UNSWR81</t>
    </r>
  </si>
  <si>
    <t>WR142</t>
  </si>
  <si>
    <r>
      <rPr>
        <rFont val="Poppins, Arial, Helvetica, sans-serif"/>
        <color rgb="FF1155CC"/>
        <sz val="9.0"/>
        <u/>
      </rPr>
      <t>Deion Burks</t>
    </r>
    <r>
      <rPr>
        <rFont val="Poppins, Arial, Helvetica, sans-serif"/>
        <sz val="9.0"/>
      </rPr>
      <t xml:space="preserve"> (IND)</t>
    </r>
  </si>
  <si>
    <t>WR143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</si>
  <si>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ansas City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Chiefs</t>
    </r>
    <r>
      <rPr>
        <rFont val="Roboto, sans-serif"/>
      </rPr>
      <t xml:space="preserve">
KCDEF17</t>
    </r>
  </si>
  <si>
    <r>
      <rPr>
        <rFont val="Poppins, Arial, Helvetica, sans-serif"/>
        <color rgb="FF1155CC"/>
        <sz val="9.0"/>
        <u/>
      </rPr>
      <t>Charlie Kolar</t>
    </r>
    <r>
      <rPr>
        <rFont val="Poppins, Arial, Helvetica, sans-serif"/>
        <sz val="9.0"/>
      </rPr>
      <t xml:space="preserve"> (LAC)</t>
    </r>
  </si>
  <si>
    <t>TE56</t>
  </si>
  <si>
    <r>
      <rPr>
        <rFont val="Poppins, Arial, Helvetica, sans-serif"/>
        <color rgb="FF1155CC"/>
        <sz val="9.0"/>
        <u/>
      </rPr>
      <t>Rasheen Ali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</si>
  <si>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Boswell</t>
    </r>
    <r>
      <rPr>
        <rFont val="Roboto, sans-serif"/>
      </rPr>
      <t xml:space="preserve">
PITK14</t>
    </r>
  </si>
  <si>
    <t>RB112</t>
  </si>
  <si>
    <r>
      <rPr>
        <rFont val="Poppins, Arial, Helvetica, sans-serif"/>
        <color rgb="FF1155CC"/>
        <sz val="9.0"/>
        <u/>
      </rPr>
      <t>Ashton Dulin</t>
    </r>
    <r>
      <rPr>
        <rFont val="Poppins, Arial, Helvetica, sans-serif"/>
        <sz val="9.0"/>
      </rPr>
      <t xml:space="preserve"> (IND)</t>
    </r>
  </si>
  <si>
    <t>K11</t>
  </si>
  <si>
    <t>WR144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</si>
  <si>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NOWR82</t>
    </r>
  </si>
  <si>
    <r>
      <rPr>
        <rFont val="Poppins, Arial, Helvetica, sans-serif"/>
        <color rgb="FF1155CC"/>
        <sz val="9.0"/>
        <u/>
      </rPr>
      <t>Sione Vaki</t>
    </r>
    <r>
      <rPr>
        <rFont val="Poppins, Arial, Helvetica, sans-serif"/>
        <sz val="9.0"/>
      </rPr>
      <t xml:space="preserve"> (DET)</t>
    </r>
  </si>
  <si>
    <t>RB113</t>
  </si>
  <si>
    <r>
      <rPr>
        <rFont val="Poppins, Arial, Helvetica, sans-serif"/>
        <color rgb="FF1155CC"/>
        <sz val="9.0"/>
        <u/>
      </rPr>
      <t>Daniel Bellinger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</si>
  <si>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McLaughlin</t>
    </r>
    <r>
      <rPr>
        <rFont val="Roboto, sans-serif"/>
      </rPr>
      <t xml:space="preserve">
TBK15</t>
    </r>
  </si>
  <si>
    <t>TE57</t>
  </si>
  <si>
    <t>K15</t>
  </si>
  <si>
    <r>
      <rPr>
        <rFont val="Poppins, Arial, Helvetica, sans-serif"/>
        <color rgb="FF1155CC"/>
        <sz val="9.0"/>
        <u/>
      </rPr>
      <t>Mitchell Evans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</si>
  <si>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ampa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Buccaneers</t>
    </r>
    <r>
      <rPr>
        <rFont val="Roboto, sans-serif"/>
      </rPr>
      <t xml:space="preserve">
TBDEF18</t>
    </r>
  </si>
  <si>
    <t>TE58</t>
  </si>
  <si>
    <r>
      <rPr>
        <rFont val="Poppins, Arial, Helvetica, sans-serif"/>
        <color rgb="FF1155CC"/>
        <sz val="9.0"/>
        <u/>
      </rPr>
      <t>Jeremy McNichols</t>
    </r>
    <r>
      <rPr>
        <rFont val="Poppins, Arial, Helvetica, sans-serif"/>
        <sz val="9.0"/>
      </rPr>
      <t xml:space="preserve"> (WAS)</t>
    </r>
  </si>
  <si>
    <t>DEF21</t>
  </si>
  <si>
    <t>DEF22</t>
  </si>
  <si>
    <t>RB114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</si>
  <si>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ARIRB51</t>
    </r>
  </si>
  <si>
    <r>
      <rPr>
        <rFont val="Poppins, Arial, Helvetica, sans-serif"/>
        <color rgb="FF1155CC"/>
        <sz val="9.0"/>
        <u/>
      </rPr>
      <t>Austin Hooper</t>
    </r>
    <r>
      <rPr>
        <rFont val="Poppins, Arial, Helvetica, sans-serif"/>
        <sz val="9.0"/>
      </rPr>
      <t xml:space="preserve"> (ATL)</t>
    </r>
  </si>
  <si>
    <t>TE59</t>
  </si>
  <si>
    <r>
      <rPr>
        <rFont val="Poppins, Arial, Helvetica, sans-serif"/>
        <color rgb="FF1155CC"/>
        <sz val="9.0"/>
        <u/>
      </rPr>
      <t>Dameon Pierce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</si>
  <si>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Reichard</t>
    </r>
    <r>
      <rPr>
        <rFont val="Roboto, sans-serif"/>
      </rPr>
      <t xml:space="preserve">
MINK16</t>
    </r>
  </si>
  <si>
    <t>RB115</t>
  </si>
  <si>
    <t>K12</t>
  </si>
  <si>
    <r>
      <rPr>
        <rFont val="Poppins, Arial, Helvetica, sans-serif"/>
        <color rgb="FF1155CC"/>
        <sz val="9.0"/>
        <u/>
      </rPr>
      <t>Anthony Richardson Sr.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</si>
  <si>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DALRB52</t>
    </r>
  </si>
  <si>
    <r>
      <rPr>
        <rFont val="Poppins, Arial, Helvetica, sans-serif"/>
        <color rgb="FF1155CC"/>
        <sz val="9.0"/>
        <u/>
      </rPr>
      <t>Terrell Jennings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</si>
  <si>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an Francisco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49ers</t>
    </r>
    <r>
      <rPr>
        <rFont val="Roboto, sans-serif"/>
      </rPr>
      <t xml:space="preserve">
SFDEF19</t>
    </r>
  </si>
  <si>
    <t>RB116</t>
  </si>
  <si>
    <r>
      <rPr>
        <rFont val="Poppins, Arial, Helvetica, sans-serif"/>
        <color rgb="FF1155CC"/>
        <sz val="9.0"/>
        <u/>
      </rPr>
      <t>Justin Fields</t>
    </r>
    <r>
      <rPr>
        <rFont val="Poppins, Arial, Helvetica, sans-serif"/>
        <sz val="9.0"/>
      </rPr>
      <t xml:space="preserve"> (KC)</t>
    </r>
  </si>
  <si>
    <t>DEF18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</si>
  <si>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ATLRB53</t>
    </r>
  </si>
  <si>
    <r>
      <rPr>
        <rFont val="Poppins, Arial, Helvetica, sans-serif"/>
        <color rgb="FF1155CC"/>
        <sz val="9.0"/>
        <u/>
      </rPr>
      <t>Zach Ertz</t>
    </r>
    <r>
      <rPr>
        <rFont val="Poppins, Arial, Helvetica, sans-serif"/>
        <sz val="9.0"/>
      </rPr>
      <t xml:space="preserve"> (FA)</t>
    </r>
  </si>
  <si>
    <t>TE60</t>
  </si>
  <si>
    <r>
      <rPr>
        <rFont val="Poppins, Arial, Helvetica, sans-serif"/>
        <color rgb="FF1155CC"/>
        <sz val="9.0"/>
        <u/>
      </rPr>
      <t>Darren Waller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</si>
  <si>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BUFWR83</t>
    </r>
  </si>
  <si>
    <t>TE61</t>
  </si>
  <si>
    <r>
      <rPr>
        <rFont val="Poppins, Arial, Helvetica, sans-serif"/>
        <color rgb="FF1155CC"/>
        <sz val="9.0"/>
        <u/>
      </rPr>
      <t>Roschon Johnson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</si>
  <si>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BALWR84</t>
    </r>
  </si>
  <si>
    <t>RB117</t>
  </si>
  <si>
    <r>
      <rPr>
        <rFont val="Poppins, Arial, Helvetica, sans-serif"/>
        <color rgb="FF1155CC"/>
        <sz val="9.0"/>
        <u/>
      </rPr>
      <t>Hunter Luepke</t>
    </r>
    <r>
      <rPr>
        <rFont val="Poppins, Arial, Helvetica, sans-serif"/>
        <sz val="9.0"/>
      </rPr>
      <t xml:space="preserve"> (DAL)</t>
    </r>
  </si>
  <si>
    <t>RB118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</si>
  <si>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ndianapolis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Colts</t>
    </r>
    <r>
      <rPr>
        <rFont val="Roboto, sans-serif"/>
      </rPr>
      <t xml:space="preserve">
INDDEF20</t>
    </r>
  </si>
  <si>
    <r>
      <rPr>
        <rFont val="Poppins, Arial, Helvetica, sans-serif"/>
        <color rgb="FF1155CC"/>
        <sz val="9.0"/>
        <u/>
      </rPr>
      <t>Marcus Mariota</t>
    </r>
    <r>
      <rPr>
        <rFont val="Poppins, Arial, Helvetica, sans-serif"/>
        <sz val="9.0"/>
      </rPr>
      <t xml:space="preserve"> (WAS)</t>
    </r>
  </si>
  <si>
    <t>QB42</t>
  </si>
  <si>
    <r>
      <rPr>
        <rFont val="Poppins, Arial, Helvetica, sans-serif"/>
        <color rgb="FF1155CC"/>
        <sz val="9.0"/>
        <u/>
      </rPr>
      <t>Jonnu Smith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</si>
  <si>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Elliott</t>
    </r>
    <r>
      <rPr>
        <rFont val="Roboto, sans-serif"/>
      </rPr>
      <t xml:space="preserve">
PHIK17</t>
    </r>
  </si>
  <si>
    <t>TE62</t>
  </si>
  <si>
    <t>Tier 15</t>
  </si>
  <si>
    <t>K17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</si>
  <si>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</si>
  <si>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Mitch Tinsley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</si>
  <si>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TBTE24</t>
    </r>
  </si>
  <si>
    <t>WR145</t>
  </si>
  <si>
    <r>
      <rPr>
        <rFont val="Poppins, Arial, Helvetica, sans-serif"/>
        <color rgb="FF1155CC"/>
        <sz val="9.0"/>
        <u/>
      </rPr>
      <t>Demarcus Robinson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</si>
  <si>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DETWR85</t>
    </r>
  </si>
  <si>
    <t>WR146</t>
  </si>
  <si>
    <r>
      <rPr>
        <rFont val="Poppins, Arial, Helvetica, sans-serif"/>
        <color rgb="FF1155CC"/>
        <sz val="9.0"/>
        <u/>
      </rPr>
      <t>Marlin Klein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</si>
  <si>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DENRB54</t>
    </r>
  </si>
  <si>
    <t>TE63</t>
  </si>
  <si>
    <r>
      <rPr>
        <rFont val="Poppins, Arial, Helvetica, sans-serif"/>
        <color rgb="FF1155CC"/>
        <sz val="9.0"/>
        <u/>
      </rPr>
      <t>CJ Daniels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</si>
  <si>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Orleans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Saints</t>
    </r>
    <r>
      <rPr>
        <rFont val="Roboto, sans-serif"/>
      </rPr>
      <t xml:space="preserve">
NODEF21</t>
    </r>
  </si>
  <si>
    <t>WR147</t>
  </si>
  <si>
    <t>DEF25</t>
  </si>
  <si>
    <r>
      <rPr>
        <rFont val="Poppins, Arial, Helvetica, sans-serif"/>
        <color rgb="FF1155CC"/>
        <sz val="9.0"/>
        <u/>
      </rPr>
      <t>Dylan Laube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</si>
  <si>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HOUWR86</t>
    </r>
  </si>
  <si>
    <t>RB119</t>
  </si>
  <si>
    <r>
      <rPr>
        <rFont val="Poppins, Arial, Helvetica, sans-serif"/>
        <color rgb="FF1155CC"/>
        <sz val="9.0"/>
        <u/>
      </rPr>
      <t>Jaret Patterson</t>
    </r>
    <r>
      <rPr>
        <rFont val="Poppins, Arial, Helvetica, sans-serif"/>
        <sz val="9.0"/>
      </rPr>
      <t xml:space="preserve"> (LAC)</t>
    </r>
  </si>
  <si>
    <t>RB120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</si>
  <si>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BALWR87</t>
    </r>
  </si>
  <si>
    <r>
      <rPr>
        <rFont val="Poppins, Arial, Helvetica, sans-serif"/>
        <color rgb="FF1155CC"/>
        <sz val="9.0"/>
        <u/>
      </rPr>
      <t>Malik Benson</t>
    </r>
    <r>
      <rPr>
        <rFont val="Poppins, Arial, Helvetica, sans-serif"/>
        <sz val="9.0"/>
      </rPr>
      <t xml:space="preserve"> (LV)</t>
    </r>
  </si>
  <si>
    <t>WR148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</si>
  <si>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SEATE25</t>
    </r>
  </si>
  <si>
    <r>
      <rPr>
        <rFont val="Poppins, Arial, Helvetica, sans-serif"/>
        <color rgb="FF1155CC"/>
        <sz val="9.0"/>
        <u/>
      </rPr>
      <t>Ty Chandler</t>
    </r>
    <r>
      <rPr>
        <rFont val="Poppins, Arial, Helvetica, sans-serif"/>
        <sz val="9.0"/>
      </rPr>
      <t xml:space="preserve"> (NO)</t>
    </r>
  </si>
  <si>
    <t>RB121</t>
  </si>
  <si>
    <r>
      <rPr>
        <rFont val="Poppins, Arial, Helvetica, sans-serif"/>
        <color rgb="FF1155CC"/>
        <sz val="9.0"/>
        <u/>
      </rPr>
      <t>Damien Martinez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</si>
  <si>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incinnati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Bengals</t>
    </r>
    <r>
      <rPr>
        <rFont val="Roboto, sans-serif"/>
      </rPr>
      <t xml:space="preserve">
CINDEF22</t>
    </r>
  </si>
  <si>
    <t>RB122</t>
  </si>
  <si>
    <t>DEF24</t>
  </si>
  <si>
    <r>
      <rPr>
        <rFont val="Poppins, Arial, Helvetica, sans-serif"/>
        <color rgb="FF1155CC"/>
        <sz val="9.0"/>
        <u/>
      </rPr>
      <t>Tommy Myers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</si>
  <si>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DENWR88</t>
    </r>
  </si>
  <si>
    <t>TE64</t>
  </si>
  <si>
    <r>
      <rPr>
        <rFont val="Poppins, Arial, Helvetica, sans-serif"/>
        <color rgb="FF1155CC"/>
        <sz val="9.0"/>
        <u/>
      </rPr>
      <t>Scotty Miller</t>
    </r>
    <r>
      <rPr>
        <rFont val="Poppins, Arial, Helvetica, sans-serif"/>
        <sz val="9.0"/>
      </rPr>
      <t xml:space="preserve"> (CHI)</t>
    </r>
  </si>
  <si>
    <t>WR149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</si>
  <si>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TENTE26</t>
    </r>
  </si>
  <si>
    <r>
      <rPr>
        <rFont val="Poppins, Arial, Helvetica, sans-serif"/>
        <color rgb="FF1155CC"/>
        <sz val="9.0"/>
        <u/>
      </rPr>
      <t>Cash Jones</t>
    </r>
    <r>
      <rPr>
        <rFont val="Poppins, Arial, Helvetica, sans-serif"/>
        <sz val="9.0"/>
      </rPr>
      <t xml:space="preserve"> (ATL)</t>
    </r>
  </si>
  <si>
    <t>RB123</t>
  </si>
  <si>
    <r>
      <rPr>
        <rFont val="Poppins, Arial, Helvetica, sans-serif"/>
        <color rgb="FF1155CC"/>
        <sz val="9.0"/>
        <u/>
      </rPr>
      <t>Elijah Higgins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</si>
  <si>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Cowboys</t>
    </r>
    <r>
      <rPr>
        <rFont val="Roboto, sans-serif"/>
      </rPr>
      <t xml:space="preserve">
DALDEF23</t>
    </r>
  </si>
  <si>
    <t>TE65</t>
  </si>
  <si>
    <r>
      <rPr>
        <rFont val="Poppins, Arial, Helvetica, sans-serif"/>
        <color rgb="FF1155CC"/>
        <sz val="9.0"/>
        <u/>
      </rPr>
      <t>Ronnie Rivers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</si>
  <si>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KCRB55</t>
    </r>
  </si>
  <si>
    <t>RB124</t>
  </si>
  <si>
    <r>
      <rPr>
        <rFont val="Poppins, Arial, Helvetica, sans-serif"/>
        <color rgb="FF1155CC"/>
        <sz val="9.0"/>
        <u/>
      </rPr>
      <t>Roman Wilson</t>
    </r>
    <r>
      <rPr>
        <rFont val="Poppins, Arial, Helvetica, sans-serif"/>
        <sz val="9.0"/>
      </rPr>
      <t xml:space="preserve"> (PIT)</t>
    </r>
  </si>
  <si>
    <t>WR150</t>
  </si>
  <si>
    <r>
      <rPr>
        <rFont val="Poppins, Arial, Helvetica, sans-serif"/>
        <color rgb="FF1155CC"/>
        <sz val="9.0"/>
        <u/>
      </rPr>
      <t>Jaydn Ott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</si>
  <si>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LARTE27</t>
    </r>
  </si>
  <si>
    <t>RB125</t>
  </si>
  <si>
    <r>
      <rPr>
        <rFont val="Poppins, Arial, Helvetica, sans-serif"/>
        <color rgb="FF1155CC"/>
        <sz val="9.0"/>
        <u/>
      </rPr>
      <t>Mo Alie-Cox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</si>
  <si>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DENWR89</t>
    </r>
  </si>
  <si>
    <t>TE66</t>
  </si>
  <si>
    <r>
      <rPr>
        <rFont val="Poppins, Arial, Helvetica, sans-serif"/>
        <color rgb="FF1155CC"/>
        <sz val="9.0"/>
        <u/>
      </rPr>
      <t>Khalil Herbert</t>
    </r>
    <r>
      <rPr>
        <rFont val="Poppins, Arial, Helvetica, sans-serif"/>
        <sz val="9.0"/>
      </rPr>
      <t xml:space="preserve"> (SF)</t>
    </r>
  </si>
  <si>
    <t>RB126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</si>
  <si>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MIAWR90</t>
    </r>
  </si>
  <si>
    <r>
      <rPr>
        <rFont val="Poppins, Arial, Helvetica, sans-serif"/>
        <color rgb="FF1155CC"/>
        <sz val="9.0"/>
        <u/>
      </rPr>
      <t>Jake Bobo</t>
    </r>
    <r>
      <rPr>
        <rFont val="Poppins, Arial, Helvetica, sans-serif"/>
        <sz val="9.0"/>
      </rPr>
      <t xml:space="preserve"> (SEA)</t>
    </r>
  </si>
  <si>
    <t>WR151</t>
  </si>
  <si>
    <r>
      <rPr>
        <rFont val="Poppins, Arial, Helvetica, sans-serif"/>
        <color rgb="FF1155CC"/>
        <sz val="9.0"/>
        <u/>
      </rPr>
      <t>Tai Felton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</si>
  <si>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McPherson</t>
    </r>
    <r>
      <rPr>
        <rFont val="Roboto, sans-serif"/>
      </rPr>
      <t xml:space="preserve">
CINK18</t>
    </r>
  </si>
  <si>
    <t>WR152</t>
  </si>
  <si>
    <r>
      <rPr>
        <rFont val="Poppins, Arial, Helvetica, sans-serif"/>
        <color rgb="FF1155CC"/>
        <sz val="9.0"/>
        <u/>
      </rPr>
      <t>Joe Milton III</t>
    </r>
    <r>
      <rPr>
        <rFont val="Poppins, Arial, Helvetica, sans-serif"/>
        <sz val="9.0"/>
      </rPr>
      <t xml:space="preserve"> (DAL)</t>
    </r>
  </si>
  <si>
    <t>K16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</si>
  <si>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TENRB56</t>
    </r>
  </si>
  <si>
    <r>
      <rPr>
        <rFont val="Poppins, Arial, Helvetica, sans-serif"/>
        <color rgb="FF1155CC"/>
        <sz val="9.0"/>
        <u/>
      </rPr>
      <t>Tyler Goodson</t>
    </r>
    <r>
      <rPr>
        <rFont val="Poppins, Arial, Helvetica, sans-serif"/>
        <sz val="9.0"/>
      </rPr>
      <t xml:space="preserve"> (ATL)</t>
    </r>
  </si>
  <si>
    <t>RB127</t>
  </si>
  <si>
    <r>
      <rPr>
        <rFont val="Poppins, Arial, Helvetica, sans-serif"/>
        <color rgb="FF1155CC"/>
        <sz val="9.0"/>
        <u/>
      </rPr>
      <t>Zavier Scott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</si>
  <si>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LVRWR91</t>
    </r>
  </si>
  <si>
    <t>RB128</t>
  </si>
  <si>
    <r>
      <rPr>
        <rFont val="Poppins, Arial, Helvetica, sans-serif"/>
        <color rgb="FF1155CC"/>
        <sz val="9.0"/>
        <u/>
      </rPr>
      <t>Josh Oliver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</si>
  <si>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NYJRB57</t>
    </r>
  </si>
  <si>
    <t>TE67</t>
  </si>
  <si>
    <r>
      <rPr>
        <rFont val="Poppins, Arial, Helvetica, sans-serif"/>
        <color rgb="FF1155CC"/>
        <sz val="9.0"/>
        <u/>
      </rPr>
      <t>Joe Flacco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</si>
  <si>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ARIRB58</t>
    </r>
  </si>
  <si>
    <r>
      <rPr>
        <rFont val="Poppins, Arial, Helvetica, sans-serif"/>
        <color rgb="FF1155CC"/>
        <sz val="9.0"/>
        <u/>
      </rPr>
      <t>Roman Hemby</t>
    </r>
    <r>
      <rPr>
        <rFont val="Poppins, Arial, Helvetica, sans-serif"/>
        <sz val="9.0"/>
      </rPr>
      <t xml:space="preserve"> (LV)</t>
    </r>
  </si>
  <si>
    <t>RB129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</si>
  <si>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LVRRB59</t>
    </r>
  </si>
  <si>
    <r>
      <rPr>
        <rFont val="Poppins, Arial, Helvetica, sans-serif"/>
        <color rgb="FF1155CC"/>
        <sz val="9.0"/>
        <u/>
      </rPr>
      <t>Robert Henry Jr.</t>
    </r>
    <r>
      <rPr>
        <rFont val="Poppins, Arial, Helvetica, sans-serif"/>
        <sz val="9.0"/>
      </rPr>
      <t xml:space="preserve"> (WAS)</t>
    </r>
  </si>
  <si>
    <t>RB130</t>
  </si>
  <si>
    <r>
      <rPr>
        <rFont val="Poppins, Arial, Helvetica, sans-serif"/>
        <color rgb="FF1155CC"/>
        <sz val="9.0"/>
        <u/>
      </rPr>
      <t>Tanner Koziol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</si>
  <si>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tlanta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Falcons</t>
    </r>
    <r>
      <rPr>
        <rFont val="Roboto, sans-serif"/>
      </rPr>
      <t xml:space="preserve">
ATLDEF24</t>
    </r>
  </si>
  <si>
    <t>TE68</t>
  </si>
  <si>
    <r>
      <rPr>
        <rFont val="Poppins, Arial, Helvetica, sans-serif"/>
        <color rgb="FF1155CC"/>
        <sz val="9.0"/>
        <u/>
      </rPr>
      <t>Colbie Young</t>
    </r>
    <r>
      <rPr>
        <rFont val="Poppins, Arial, Helvetica, sans-serif"/>
        <sz val="9.0"/>
      </rPr>
      <t xml:space="preserve"> (CIN)</t>
    </r>
  </si>
  <si>
    <t>WR153</t>
  </si>
  <si>
    <r>
      <rPr>
        <rFont val="Poppins, Arial, Helvetica, sans-serif"/>
        <color rgb="FF1155CC"/>
        <sz val="9.0"/>
        <u/>
      </rPr>
      <t>Tyler Lockett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</si>
  <si>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arolina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Panthers</t>
    </r>
    <r>
      <rPr>
        <rFont val="Roboto, sans-serif"/>
      </rPr>
      <t xml:space="preserve">
CARDEF25</t>
    </r>
  </si>
  <si>
    <t>WR154</t>
  </si>
  <si>
    <t>DEF23</t>
  </si>
  <si>
    <r>
      <rPr>
        <rFont val="Poppins, Arial, Helvetica, sans-serif"/>
        <color rgb="FF1155CC"/>
        <sz val="9.0"/>
        <u/>
      </rPr>
      <t>Tim Patrick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</si>
  <si>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WASWR92</t>
    </r>
  </si>
  <si>
    <t>WR155</t>
  </si>
  <si>
    <r>
      <rPr>
        <rFont val="Poppins, Arial, Helvetica, sans-serif"/>
        <color rgb="FF1155CC"/>
        <sz val="9.0"/>
        <u/>
      </rPr>
      <t>Jakobie Keeney-James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</si>
  <si>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TENWR93</t>
    </r>
  </si>
  <si>
    <t>WR156</t>
  </si>
  <si>
    <r>
      <rPr>
        <rFont val="Poppins, Arial, Helvetica, sans-serif"/>
        <color rgb="FF1155CC"/>
        <sz val="9.0"/>
        <u/>
      </rPr>
      <t>Jacob Saylors</t>
    </r>
    <r>
      <rPr>
        <rFont val="Poppins, Arial, Helvetica, sans-serif"/>
        <sz val="9.0"/>
      </rPr>
      <t xml:space="preserve"> (DET)</t>
    </r>
  </si>
  <si>
    <t>RB131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</si>
  <si>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WASRB60</t>
    </r>
  </si>
  <si>
    <r>
      <rPr>
        <rFont val="Poppins, Arial, Helvetica, sans-serif"/>
        <color rgb="FF1155CC"/>
        <sz val="9.0"/>
        <u/>
      </rPr>
      <t>Antonio Gibson</t>
    </r>
    <r>
      <rPr>
        <rFont val="Poppins, Arial, Helvetica, sans-serif"/>
        <sz val="9.0"/>
      </rPr>
      <t xml:space="preserve"> (FA)</t>
    </r>
  </si>
  <si>
    <t>RB132</t>
  </si>
  <si>
    <r>
      <rPr>
        <rFont val="Poppins, Arial, Helvetica, sans-serif"/>
        <color rgb="FF1155CC"/>
        <sz val="9.0"/>
        <u/>
      </rPr>
      <t>Marquez Valdes-Scantling</t>
    </r>
    <r>
      <rPr>
        <rFont val="Poppins, Arial, Helvetica, sans-serif"/>
        <sz val="9.0"/>
      </rPr>
      <t xml:space="preserve"> (DAL)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</si>
  <si>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TBRB61</t>
    </r>
  </si>
  <si>
    <t>WR157</t>
  </si>
  <si>
    <r>
      <rPr>
        <rFont val="Poppins, Arial, Helvetica, sans-serif"/>
        <color rgb="FF1155CC"/>
        <sz val="9.0"/>
        <u/>
      </rPr>
      <t>Jahdae Walker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</si>
  <si>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TBWR94</t>
    </r>
  </si>
  <si>
    <t>WR158</t>
  </si>
  <si>
    <r>
      <rPr>
        <rFont val="Poppins, Arial, Helvetica, sans-serif"/>
        <color rgb="FF1155CC"/>
        <sz val="9.0"/>
        <u/>
      </rPr>
      <t>Miles Sanders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</si>
  <si>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ARIRB62</t>
    </r>
  </si>
  <si>
    <t>RB133</t>
  </si>
  <si>
    <r>
      <rPr>
        <rFont val="Poppins, Arial, Helvetica, sans-serif"/>
        <color rgb="FF1155CC"/>
        <sz val="9.0"/>
        <u/>
      </rPr>
      <t>Kevin Austin Jr.</t>
    </r>
    <r>
      <rPr>
        <rFont val="Poppins, Arial, Helvetica, sans-serif"/>
        <sz val="9.0"/>
      </rPr>
      <t xml:space="preserve"> (NO)</t>
    </r>
  </si>
  <si>
    <t>WR159</t>
  </si>
  <si>
    <r>
      <rPr>
        <rFont val="Poppins, Arial, Helvetica, sans-serif"/>
        <color rgb="FF1155CC"/>
        <sz val="9.0"/>
        <u/>
      </rPr>
      <t>Myles Montgomery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</si>
  <si>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SEAWR95</t>
    </r>
  </si>
  <si>
    <t>RB134</t>
  </si>
  <si>
    <r>
      <rPr>
        <rFont val="Poppins, Arial, Helvetica, sans-serif"/>
        <color rgb="FF1155CC"/>
        <sz val="9.0"/>
        <u/>
      </rPr>
      <t>Adam Trautman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</si>
  <si>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PHIRB63</t>
    </r>
  </si>
  <si>
    <t>TE69</t>
  </si>
  <si>
    <r>
      <rPr>
        <rFont val="Poppins, Arial, Helvetica, sans-serif"/>
        <color rgb="FF1155CC"/>
        <sz val="9.0"/>
        <u/>
      </rPr>
      <t>Jordan Waters</t>
    </r>
    <r>
      <rPr>
        <rFont val="Poppins, Arial, Helvetica, sans-serif"/>
        <sz val="9.0"/>
      </rPr>
      <t xml:space="preserve"> (LAR)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</si>
  <si>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KCRB64</t>
    </r>
  </si>
  <si>
    <t>RB135</t>
  </si>
  <si>
    <r>
      <rPr>
        <rFont val="Poppins, Arial, Helvetica, sans-serif"/>
        <color rgb="FF1155CC"/>
        <sz val="9.0"/>
        <u/>
      </rPr>
      <t>Luke Schoonmaker</t>
    </r>
    <r>
      <rPr>
        <rFont val="Poppins, Arial, Helvetica, sans-serif"/>
        <sz val="9.0"/>
      </rPr>
      <t xml:space="preserve"> (DAL)</t>
    </r>
  </si>
  <si>
    <t>TE70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</si>
  <si>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NYGWR96</t>
    </r>
  </si>
  <si>
    <r>
      <rPr>
        <rFont val="Poppins, Arial, Helvetica, sans-serif"/>
        <color rgb="FF1155CC"/>
        <sz val="9.0"/>
        <u/>
      </rPr>
      <t>Jake Browning</t>
    </r>
    <r>
      <rPr>
        <rFont val="Poppins, Arial, Helvetica, sans-serif"/>
        <sz val="9.0"/>
      </rPr>
      <t xml:space="preserve"> (TB)</t>
    </r>
  </si>
  <si>
    <t>QB45</t>
  </si>
  <si>
    <r>
      <rPr>
        <rFont val="Poppins, Arial, Helvetica, sans-serif"/>
        <color rgb="FF1155CC"/>
        <sz val="9.0"/>
        <u/>
      </rPr>
      <t>Elijah Tau-Tolliver</t>
    </r>
    <r>
      <rPr>
        <rFont val="Poppins, Arial, Helvetica, sans-serif"/>
        <sz val="9.0"/>
      </rPr>
      <t xml:space="preserve"> (BAL)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</si>
  <si>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UNSRB65</t>
    </r>
  </si>
  <si>
    <t>RB136</t>
  </si>
  <si>
    <r>
      <rPr>
        <rFont val="Poppins, Arial, Helvetica, sans-serif"/>
        <color rgb="FF1155CC"/>
        <sz val="9.0"/>
        <u/>
      </rPr>
      <t>Nate Boerkircher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</si>
  <si>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NEWR97</t>
    </r>
  </si>
  <si>
    <t>TE71</t>
  </si>
  <si>
    <r>
      <rPr>
        <rFont val="Poppins, Arial, Helvetica, sans-serif"/>
        <color rgb="FF1155CC"/>
        <sz val="9.0"/>
        <u/>
      </rPr>
      <t>Sterling Shepard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</si>
  <si>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LARTE28</t>
    </r>
  </si>
  <si>
    <t>WR160</t>
  </si>
  <si>
    <r>
      <rPr>
        <rFont val="Poppins, Arial, Helvetica, sans-serif"/>
        <color rgb="FF1155CC"/>
        <sz val="9.0"/>
        <u/>
      </rPr>
      <t>Riley Leonard</t>
    </r>
    <r>
      <rPr>
        <rFont val="Poppins, Arial, Helvetica, sans-serif"/>
        <sz val="9.0"/>
      </rPr>
      <t xml:space="preserve"> (IND)</t>
    </r>
  </si>
  <si>
    <t>QB46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</si>
  <si>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SFWR98</t>
    </r>
  </si>
  <si>
    <r>
      <rPr>
        <rFont val="Poppins, Arial, Helvetica, sans-serif"/>
        <color rgb="FF1155CC"/>
        <sz val="9.0"/>
        <u/>
      </rPr>
      <t>Xavier Smith</t>
    </r>
    <r>
      <rPr>
        <rFont val="Poppins, Arial, Helvetica, sans-serif"/>
        <sz val="9.0"/>
      </rPr>
      <t xml:space="preserve"> (LAR)</t>
    </r>
  </si>
  <si>
    <t>WR161</t>
  </si>
  <si>
    <r>
      <rPr>
        <rFont val="Poppins, Arial, Helvetica, sans-serif"/>
        <color rgb="FF1155CC"/>
        <sz val="9.0"/>
        <u/>
      </rPr>
      <t>Raheem Mostert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</si>
  <si>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SEARB66</t>
    </r>
  </si>
  <si>
    <t>RB137</t>
  </si>
  <si>
    <r>
      <rPr>
        <rFont val="Poppins, Arial, Helvetica, sans-serif"/>
        <color rgb="FF1155CC"/>
        <sz val="9.0"/>
        <u/>
      </rPr>
      <t>Donovan Edwards</t>
    </r>
    <r>
      <rPr>
        <rFont val="Poppins, Arial, Helvetica, sans-serif"/>
        <sz val="9.0"/>
      </rPr>
      <t xml:space="preserve"> (MIA)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</si>
  <si>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MIARB67</t>
    </r>
  </si>
  <si>
    <t>RB138</t>
  </si>
  <si>
    <r>
      <rPr>
        <rFont val="Poppins, Arial, Helvetica, sans-serif"/>
        <color rgb="FF1155CC"/>
        <sz val="9.0"/>
        <u/>
      </rPr>
      <t>Sam Roush</t>
    </r>
    <r>
      <rPr>
        <rFont val="Poppins, Arial, Helvetica, sans-serif"/>
        <sz val="9.0"/>
      </rPr>
      <t xml:space="preserve"> (CHI)</t>
    </r>
  </si>
  <si>
    <t>TE72</t>
  </si>
  <si>
    <r>
      <rPr>
        <rFont val="Poppins, Arial, Helvetica, sans-serif"/>
        <color rgb="FF1155CC"/>
        <sz val="9.0"/>
        <u/>
      </rPr>
      <t>Zay Jones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</si>
  <si>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NORB68</t>
    </r>
  </si>
  <si>
    <t>WR162</t>
  </si>
  <si>
    <r>
      <rPr>
        <rFont val="Poppins, Arial, Helvetica, sans-serif"/>
        <color rgb="FF1155CC"/>
        <sz val="9.0"/>
        <u/>
      </rPr>
      <t>Graig Cooper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</si>
  <si>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MINRB69</t>
    </r>
  </si>
  <si>
    <t>RB139</t>
  </si>
  <si>
    <r>
      <rPr>
        <rFont val="Poppins, Arial, Helvetica, sans-serif"/>
        <color rgb="FF1155CC"/>
        <sz val="9.0"/>
        <u/>
      </rPr>
      <t>Frank Gore Jr.</t>
    </r>
    <r>
      <rPr>
        <rFont val="Poppins, Arial, Helvetica, sans-serif"/>
        <sz val="9.0"/>
      </rPr>
      <t xml:space="preserve"> (BUF)</t>
    </r>
  </si>
  <si>
    <t>RB140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</si>
  <si>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TENWR99</t>
    </r>
  </si>
  <si>
    <r>
      <rPr>
        <rFont val="Poppins, Arial, Helvetica, sans-serif"/>
        <color rgb="FF1155CC"/>
        <sz val="9.0"/>
        <u/>
      </rPr>
      <t>Odell Beckham Jr.</t>
    </r>
    <r>
      <rPr>
        <rFont val="Poppins, Arial, Helvetica, sans-serif"/>
        <sz val="9.0"/>
      </rPr>
      <t xml:space="preserve"> (NYG)</t>
    </r>
  </si>
  <si>
    <t>WR163</t>
  </si>
  <si>
    <r>
      <rPr>
        <rFont val="Poppins, Arial, Helvetica, sans-serif"/>
        <color rgb="FF1155CC"/>
        <sz val="9.0"/>
        <u/>
      </rPr>
      <t>Drew Sample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</si>
  <si>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LACTE29</t>
    </r>
  </si>
  <si>
    <t>TE73</t>
  </si>
  <si>
    <r>
      <rPr>
        <rFont val="Poppins, Arial, Helvetica, sans-serif"/>
        <color rgb="FF1155CC"/>
        <sz val="9.0"/>
        <u/>
      </rPr>
      <t>Taysom Hill</t>
    </r>
    <r>
      <rPr>
        <rFont val="Poppins, Arial, Helvetica, sans-serif"/>
        <sz val="9.0"/>
      </rPr>
      <t xml:space="preserve"> (FA)</t>
    </r>
  </si>
  <si>
    <t>TE74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</si>
  <si>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LACRB70</t>
    </r>
  </si>
  <si>
    <r>
      <rPr>
        <rFont val="Poppins, Arial, Helvetica, sans-serif"/>
        <color rgb="FF1155CC"/>
        <sz val="9.0"/>
        <u/>
      </rPr>
      <t>Derius Davis</t>
    </r>
    <r>
      <rPr>
        <rFont val="Poppins, Arial, Helvetica, sans-serif"/>
        <sz val="9.0"/>
      </rPr>
      <t xml:space="preserve"> (LAC)</t>
    </r>
  </si>
  <si>
    <t>WR164</t>
  </si>
  <si>
    <r>
      <rPr>
        <rFont val="Poppins, Arial, Helvetica, sans-serif"/>
        <color rgb="FF1155CC"/>
        <sz val="9.0"/>
        <u/>
      </rPr>
      <t>Mecole Hardman Jr.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</si>
  <si>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PITRB71</t>
    </r>
  </si>
  <si>
    <t>WR165</t>
  </si>
  <si>
    <r>
      <rPr>
        <rFont val="Poppins, Arial, Helvetica, sans-serif"/>
        <color rgb="FF1155CC"/>
        <sz val="9.0"/>
        <u/>
      </rPr>
      <t>Elijah Mitchell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</si>
  <si>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BUFRB72</t>
    </r>
  </si>
  <si>
    <t>RB141</t>
  </si>
  <si>
    <r>
      <rPr>
        <rFont val="Poppins, Arial, Helvetica, sans-serif"/>
        <color rgb="FF1155CC"/>
        <sz val="9.0"/>
        <u/>
      </rPr>
      <t>Salvon Ahmed</t>
    </r>
    <r>
      <rPr>
        <rFont val="Poppins, Arial, Helvetica, sans-serif"/>
        <sz val="9.0"/>
      </rPr>
      <t xml:space="preserve"> (CHI)</t>
    </r>
  </si>
  <si>
    <t>RB142</t>
  </si>
  <si>
    <r>
      <rPr>
        <rFont val="Poppins, Arial, Helvetica, sans-serif"/>
        <color rgb="FF1155CC"/>
        <sz val="9.0"/>
        <u/>
      </rPr>
      <t>Reggie Gilliam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</si>
  <si>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arquez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LARRB73</t>
    </r>
  </si>
  <si>
    <t>RB143</t>
  </si>
  <si>
    <r>
      <rPr>
        <rFont val="Poppins, Arial, Helvetica, sans-serif"/>
        <color rgb="FF1155CC"/>
        <sz val="9.0"/>
        <u/>
      </rPr>
      <t>Alec Ingold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</si>
  <si>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PHITE30</t>
    </r>
  </si>
  <si>
    <t>RB144</t>
  </si>
  <si>
    <r>
      <rPr>
        <rFont val="Poppins, Arial, Helvetica, sans-serif"/>
        <color rgb="FF1155CC"/>
        <sz val="9.0"/>
        <u/>
      </rPr>
      <t>Xavier Restrepo</t>
    </r>
    <r>
      <rPr>
        <rFont val="Poppins, Arial, Helvetica, sans-serif"/>
        <sz val="9.0"/>
      </rPr>
      <t xml:space="preserve"> (TEN)</t>
    </r>
  </si>
  <si>
    <t>WR166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</si>
  <si>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NORB74</t>
    </r>
  </si>
  <si>
    <r>
      <rPr>
        <rFont val="Poppins, Arial, Helvetica, sans-serif"/>
        <color rgb="FF1155CC"/>
        <sz val="9.0"/>
        <u/>
      </rPr>
      <t>Will Kacmarek</t>
    </r>
    <r>
      <rPr>
        <rFont val="Poppins, Arial, Helvetica, sans-serif"/>
        <sz val="9.0"/>
      </rPr>
      <t xml:space="preserve"> (MIA)</t>
    </r>
  </si>
  <si>
    <t>TE75</t>
  </si>
  <si>
    <r>
      <rPr>
        <rFont val="Poppins, Arial, Helvetica, sans-serif"/>
        <color rgb="FF1155CC"/>
        <sz val="9.0"/>
        <u/>
      </rPr>
      <t>Michael Woods II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</si>
  <si>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udric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Estime</t>
    </r>
    <r>
      <rPr>
        <rFont val="Roboto, sans-serif"/>
      </rPr>
      <t xml:space="preserve">
NORB75</t>
    </r>
  </si>
  <si>
    <t>WR167</t>
  </si>
  <si>
    <r>
      <rPr>
        <rFont val="Poppins, Arial, Helvetica, sans-serif"/>
        <color rgb="FF1155CC"/>
        <sz val="9.0"/>
        <u/>
      </rPr>
      <t>Jack Endries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</si>
  <si>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MINQB37</t>
    </r>
  </si>
  <si>
    <t>TE76</t>
  </si>
  <si>
    <r>
      <rPr>
        <rFont val="Poppins, Arial, Helvetica, sans-serif"/>
        <color rgb="FF1155CC"/>
        <sz val="9.0"/>
        <u/>
      </rPr>
      <t>Jackson Hawes</t>
    </r>
    <r>
      <rPr>
        <rFont val="Poppins, Arial, Helvetica, sans-serif"/>
        <sz val="9.0"/>
      </rPr>
      <t xml:space="preserve"> (BUF)</t>
    </r>
  </si>
  <si>
    <t>TE77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</si>
  <si>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NYJTE31</t>
    </r>
  </si>
  <si>
    <r>
      <rPr>
        <rFont val="Poppins, Arial, Helvetica, sans-serif"/>
        <color rgb="FF1155CC"/>
        <sz val="9.0"/>
        <u/>
      </rPr>
      <t>Albert Okwuegbunam Jr.</t>
    </r>
    <r>
      <rPr>
        <rFont val="Poppins, Arial, Helvetica, sans-serif"/>
        <sz val="9.0"/>
      </rPr>
      <t xml:space="preserve"> (LV)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</si>
  <si>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LARQB38</t>
    </r>
  </si>
  <si>
    <t>TE78</t>
  </si>
  <si>
    <r>
      <rPr>
        <rFont val="Poppins, Arial, Helvetica, sans-serif"/>
        <color rgb="FF1155CC"/>
        <sz val="9.0"/>
        <u/>
      </rPr>
      <t>Dohnte Meyers</t>
    </r>
    <r>
      <rPr>
        <rFont val="Poppins, Arial, Helvetica, sans-serif"/>
        <sz val="9.0"/>
      </rPr>
      <t xml:space="preserve"> (CIN)</t>
    </r>
  </si>
  <si>
    <t>WR168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</si>
  <si>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Klubnik</t>
    </r>
    <r>
      <rPr>
        <rFont val="Roboto, sans-serif"/>
      </rPr>
      <t xml:space="preserve">
NYJQB39</t>
    </r>
  </si>
  <si>
    <r>
      <rPr>
        <rFont val="Poppins, Arial, Helvetica, sans-serif"/>
        <color rgb="FF1155CC"/>
        <sz val="9.0"/>
        <u/>
      </rPr>
      <t>Kendric Pryor</t>
    </r>
    <r>
      <rPr>
        <rFont val="Poppins, Arial, Helvetica, sans-serif"/>
        <sz val="9.0"/>
      </rPr>
      <t xml:space="preserve"> (CIN)</t>
    </r>
  </si>
  <si>
    <t>QB49</t>
  </si>
  <si>
    <t>WR169</t>
  </si>
  <si>
    <r>
      <rPr>
        <rFont val="Poppins, Arial, Helvetica, sans-serif"/>
        <color rgb="FF1155CC"/>
        <sz val="9.0"/>
        <u/>
      </rPr>
      <t>Jared Wiley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</si>
  <si>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LARTE32</t>
    </r>
  </si>
  <si>
    <t>TE79</t>
  </si>
  <si>
    <r>
      <rPr>
        <rFont val="Poppins, Arial, Helvetica, sans-serif"/>
        <color rgb="FF1155CC"/>
        <sz val="9.0"/>
        <u/>
      </rPr>
      <t>Reggie Virgil</t>
    </r>
    <r>
      <rPr>
        <rFont val="Poppins, Arial, Helvetica, sans-serif"/>
        <sz val="9.0"/>
      </rPr>
      <t xml:space="preserve"> (ARI)</t>
    </r>
  </si>
  <si>
    <t>WR170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</si>
  <si>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NYGTE33</t>
    </r>
  </si>
  <si>
    <r>
      <rPr>
        <rFont val="Poppins, Arial, Helvetica, sans-serif"/>
        <color rgb="FF1155CC"/>
        <sz val="9.0"/>
        <u/>
      </rPr>
      <t>Michael Trigg</t>
    </r>
    <r>
      <rPr>
        <rFont val="Poppins, Arial, Helvetica, sans-serif"/>
        <sz val="9.0"/>
      </rPr>
      <t xml:space="preserve"> (DAL)</t>
    </r>
  </si>
  <si>
    <t>TE80</t>
  </si>
  <si>
    <r>
      <rPr>
        <rFont val="Poppins, Arial, Helvetica, sans-serif"/>
        <color rgb="FF1155CC"/>
        <sz val="9.0"/>
        <u/>
      </rPr>
      <t>Patrick Ricard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</si>
  <si>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UNSRB76</t>
    </r>
  </si>
  <si>
    <t>RB145</t>
  </si>
  <si>
    <r>
      <rPr>
        <rFont val="Poppins, Arial, Helvetica, sans-serif"/>
        <color rgb="FF1155CC"/>
        <sz val="9.0"/>
        <u/>
      </rPr>
      <t>Durham Smythe</t>
    </r>
    <r>
      <rPr>
        <rFont val="Poppins, Arial, Helvetica, sans-serif"/>
        <sz val="9.0"/>
      </rPr>
      <t xml:space="preserve"> (BAL)</t>
    </r>
  </si>
  <si>
    <t>TE81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</si>
  <si>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Winston</t>
    </r>
    <r>
      <rPr>
        <rFont val="Roboto, sans-serif"/>
      </rPr>
      <t xml:space="preserve">
NYGQB40</t>
    </r>
  </si>
  <si>
    <r>
      <rPr>
        <rFont val="Poppins, Arial, Helvetica, sans-serif"/>
        <color rgb="FF1155CC"/>
        <sz val="9.0"/>
        <u/>
      </rPr>
      <t>Brandin Cooks</t>
    </r>
    <r>
      <rPr>
        <rFont val="Poppins, Arial, Helvetica, sans-serif"/>
        <sz val="9.0"/>
      </rPr>
      <t xml:space="preserve"> (FA)</t>
    </r>
  </si>
  <si>
    <t>QB47</t>
  </si>
  <si>
    <t>WR171</t>
  </si>
  <si>
    <r>
      <rPr>
        <rFont val="Poppins, Arial, Helvetica, sans-serif"/>
        <color rgb="FF1155CC"/>
        <sz val="9.0"/>
        <u/>
      </rPr>
      <t>Thomas Fidone II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</si>
  <si>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arcus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Mariota</t>
    </r>
    <r>
      <rPr>
        <rFont val="Roboto, sans-serif"/>
      </rPr>
      <t xml:space="preserve">
WASQB41</t>
    </r>
  </si>
  <si>
    <t>TE82</t>
  </si>
  <si>
    <r>
      <rPr>
        <rFont val="Poppins, Arial, Helvetica, sans-serif"/>
        <color rgb="FF1155CC"/>
        <sz val="9.0"/>
        <u/>
      </rPr>
      <t>KeAndre Lambert-Smith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</si>
  <si>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KCQB42</t>
    </r>
  </si>
  <si>
    <t>WR172</t>
  </si>
  <si>
    <r>
      <rPr>
        <rFont val="Poppins, Arial, Helvetica, sans-serif"/>
        <color rgb="FF1155CC"/>
        <sz val="9.0"/>
        <u/>
      </rPr>
      <t>Jacardia Wright</t>
    </r>
    <r>
      <rPr>
        <rFont val="Poppins, Arial, Helvetica, sans-serif"/>
        <sz val="9.0"/>
      </rPr>
      <t xml:space="preserve"> (SEA)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</si>
  <si>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SFQB43</t>
    </r>
  </si>
  <si>
    <t>RB146</t>
  </si>
  <si>
    <r>
      <rPr>
        <rFont val="Poppins, Arial, Helvetica, sans-serif"/>
        <color rgb="FF1155CC"/>
        <sz val="9.0"/>
        <u/>
      </rPr>
      <t>Anthony Gould</t>
    </r>
    <r>
      <rPr>
        <rFont val="Poppins, Arial, Helvetica, sans-serif"/>
        <sz val="9.0"/>
      </rPr>
      <t xml:space="preserve"> (IND)</t>
    </r>
  </si>
  <si>
    <t>WR173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</si>
  <si>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nthony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Richardson</t>
    </r>
    <r>
      <rPr>
        <rFont val="Roboto, sans-serif"/>
      </rPr>
      <t xml:space="preserve">
INDQB44</t>
    </r>
  </si>
  <si>
    <r>
      <rPr>
        <rFont val="Poppins, Arial, Helvetica, sans-serif"/>
        <color rgb="FF1155CC"/>
        <sz val="9.0"/>
        <u/>
      </rPr>
      <t>Noah Whittington</t>
    </r>
    <r>
      <rPr>
        <rFont val="Poppins, Arial, Helvetica, sans-serif"/>
        <sz val="9.0"/>
      </rPr>
      <t xml:space="preserve"> (HOU)</t>
    </r>
  </si>
  <si>
    <t>RB147</t>
  </si>
  <si>
    <r>
      <rPr>
        <rFont val="Poppins, Arial, Helvetica, sans-serif"/>
        <color rgb="FF1155CC"/>
        <sz val="9.0"/>
        <u/>
      </rPr>
      <t>Ameer Abdullah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</si>
  <si>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Milroe</t>
    </r>
    <r>
      <rPr>
        <rFont val="Roboto, sans-serif"/>
      </rPr>
      <t xml:space="preserve">
SEAQB45</t>
    </r>
  </si>
  <si>
    <t>RB148</t>
  </si>
  <si>
    <r>
      <rPr>
        <rFont val="Poppins, Arial, Helvetica, sans-serif"/>
        <color rgb="FF1155CC"/>
        <sz val="9.0"/>
        <u/>
      </rPr>
      <t>AJ Dillon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</si>
  <si>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Ewers</t>
    </r>
    <r>
      <rPr>
        <rFont val="Roboto, sans-serif"/>
      </rPr>
      <t xml:space="preserve">
MIAQB46</t>
    </r>
  </si>
  <si>
    <t>RB149</t>
  </si>
  <si>
    <t>QB48</t>
  </si>
  <si>
    <r>
      <rPr>
        <rFont val="Poppins, Arial, Helvetica, sans-serif"/>
        <color rgb="FF1155CC"/>
        <sz val="9.0"/>
        <u/>
      </rPr>
      <t>Sincere McCormick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</si>
  <si>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Leonard</t>
    </r>
    <r>
      <rPr>
        <rFont val="Roboto, sans-serif"/>
      </rPr>
      <t xml:space="preserve">
INDQB47</t>
    </r>
  </si>
  <si>
    <t>RB150</t>
  </si>
  <si>
    <r>
      <rPr>
        <rFont val="Poppins, Arial, Helvetica, sans-serif"/>
        <color rgb="FF1155CC"/>
        <sz val="9.0"/>
        <u/>
      </rPr>
      <t>Isaiah Williams</t>
    </r>
    <r>
      <rPr>
        <rFont val="Poppins, Arial, Helvetica, sans-serif"/>
        <sz val="9.0"/>
      </rPr>
      <t xml:space="preserve"> (NYJ)</t>
    </r>
  </si>
  <si>
    <t>WR174</t>
  </si>
  <si>
    <t>Tier 16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</si>
  <si>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Howard</t>
    </r>
    <r>
      <rPr>
        <rFont val="Roboto, sans-serif"/>
      </rPr>
      <t xml:space="preserve">
PITQB48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</si>
  <si>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</si>
  <si>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Russell Gage Jr.</t>
    </r>
    <r>
      <rPr>
        <rFont val="Poppins, Arial, Helvetica, sans-serif"/>
        <sz val="9.0"/>
      </rPr>
      <t xml:space="preserve"> (FA)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</si>
  <si>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Nussmeier</t>
    </r>
    <r>
      <rPr>
        <rFont val="Roboto, sans-serif"/>
      </rPr>
      <t xml:space="preserve">
KCQB49</t>
    </r>
  </si>
  <si>
    <t>WR175</t>
  </si>
  <si>
    <r>
      <rPr>
        <rFont val="Poppins, Arial, Helvetica, sans-serif"/>
        <color rgb="FF1155CC"/>
        <sz val="9.0"/>
        <u/>
      </rPr>
      <t>Elijah Moore</t>
    </r>
    <r>
      <rPr>
        <rFont val="Poppins, Arial, Helvetica, sans-serif"/>
        <sz val="9.0"/>
      </rPr>
      <t xml:space="preserve"> (PHI)</t>
    </r>
  </si>
  <si>
    <t>WR176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</si>
  <si>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SFTE34</t>
    </r>
  </si>
  <si>
    <r>
      <rPr>
        <rFont val="Poppins, Arial, Helvetica, sans-serif"/>
        <color rgb="FF1155CC"/>
        <sz val="9.0"/>
        <u/>
      </rPr>
      <t>Theo Wease Jr.</t>
    </r>
    <r>
      <rPr>
        <rFont val="Poppins, Arial, Helvetica, sans-serif"/>
        <sz val="9.0"/>
      </rPr>
      <t xml:space="preserve"> (MIA)</t>
    </r>
  </si>
  <si>
    <t>WR177</t>
  </si>
  <si>
    <r>
      <rPr>
        <rFont val="Poppins, Arial, Helvetica, sans-serif"/>
        <color rgb="FF1155CC"/>
        <sz val="9.0"/>
        <u/>
      </rPr>
      <t>Max Bredeson</t>
    </r>
    <r>
      <rPr>
        <rFont val="Poppins, Arial, Helvetica, sans-serif"/>
        <sz val="9.0"/>
      </rPr>
      <t xml:space="preserve"> (MIN)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</si>
  <si>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CARWR100</t>
    </r>
  </si>
  <si>
    <t>RB151</t>
  </si>
  <si>
    <r>
      <rPr>
        <rFont val="Poppins, Arial, Helvetica, sans-serif"/>
        <color rgb="FF1155CC"/>
        <sz val="9.0"/>
        <u/>
      </rPr>
      <t>Tyler Conklin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</si>
  <si>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DALTE35</t>
    </r>
  </si>
  <si>
    <t>TE83</t>
  </si>
  <si>
    <r>
      <rPr>
        <rFont val="Poppins, Arial, Helvetica, sans-serif"/>
        <color rgb="FF1155CC"/>
        <sz val="9.0"/>
        <u/>
      </rPr>
      <t>Isaiah Williams</t>
    </r>
    <r>
      <rPr>
        <rFont val="Poppins, Arial, Helvetica, sans-serif"/>
        <sz val="9.0"/>
      </rPr>
      <t xml:space="preserve"> (FA)</t>
    </r>
  </si>
  <si>
    <t>WR178</t>
  </si>
  <si>
    <r>
      <rPr>
        <rFont val="Poppins, Arial, Helvetica, sans-serif"/>
        <color rgb="FF1155CC"/>
        <sz val="9.0"/>
        <u/>
      </rPr>
      <t>Moliki Matavao</t>
    </r>
    <r>
      <rPr>
        <rFont val="Poppins, Arial, Helvetica, sans-serif"/>
        <sz val="9.0"/>
      </rPr>
      <t xml:space="preserve"> (NO)</t>
    </r>
  </si>
  <si>
    <t>TE84</t>
  </si>
  <si>
    <r>
      <rPr>
        <rFont val="Poppins, Arial, Helvetica, sans-serif"/>
        <color rgb="FF1155CC"/>
        <sz val="9.0"/>
        <u/>
      </rPr>
      <t>Tanner Hudson</t>
    </r>
    <r>
      <rPr>
        <rFont val="Poppins, Arial, Helvetica, sans-serif"/>
        <sz val="9.0"/>
      </rPr>
      <t xml:space="preserve"> (CIN)</t>
    </r>
  </si>
  <si>
    <t>TE85</t>
  </si>
  <si>
    <r>
      <rPr>
        <rFont val="Poppins, Arial, Helvetica, sans-serif"/>
        <color rgb="FF1155CC"/>
        <sz val="9.0"/>
        <u/>
      </rPr>
      <t>Jabari Small</t>
    </r>
    <r>
      <rPr>
        <rFont val="Poppins, Arial, Helvetica, sans-serif"/>
        <sz val="9.0"/>
      </rPr>
      <t xml:space="preserve"> (DET)</t>
    </r>
  </si>
  <si>
    <t>RB152</t>
  </si>
  <si>
    <r>
      <rPr>
        <rFont val="Poppins, Arial, Helvetica, sans-serif"/>
        <color rgb="FF1155CC"/>
        <sz val="9.0"/>
        <u/>
      </rPr>
      <t>Josh Reynolds</t>
    </r>
    <r>
      <rPr>
        <rFont val="Poppins, Arial, Helvetica, sans-serif"/>
        <sz val="9.0"/>
      </rPr>
      <t xml:space="preserve"> (FA)</t>
    </r>
  </si>
  <si>
    <t>WR179</t>
  </si>
  <si>
    <r>
      <rPr>
        <rFont val="Poppins, Arial, Helvetica, sans-serif"/>
        <color rgb="FF1155CC"/>
        <sz val="9.0"/>
        <u/>
      </rPr>
      <t>Jeremy Ruckert</t>
    </r>
    <r>
      <rPr>
        <rFont val="Poppins, Arial, Helvetica, sans-serif"/>
        <sz val="9.0"/>
      </rPr>
      <t xml:space="preserve"> (NYJ)</t>
    </r>
  </si>
  <si>
    <t>TE86</t>
  </si>
  <si>
    <r>
      <rPr>
        <rFont val="Poppins, Arial, Helvetica, sans-serif"/>
        <color rgb="FF1155CC"/>
        <sz val="9.0"/>
        <u/>
      </rPr>
      <t>Kendrick Law</t>
    </r>
    <r>
      <rPr>
        <rFont val="Poppins, Arial, Helvetica, sans-serif"/>
        <sz val="9.0"/>
      </rPr>
      <t xml:space="preserve"> (DET)</t>
    </r>
  </si>
  <si>
    <t>WR180</t>
  </si>
  <si>
    <r>
      <rPr>
        <rFont val="Poppins, Arial, Helvetica, sans-serif"/>
        <color rgb="FF1155CC"/>
        <sz val="9.0"/>
        <u/>
      </rPr>
      <t>Van Jefferson</t>
    </r>
    <r>
      <rPr>
        <rFont val="Poppins, Arial, Helvetica, sans-serif"/>
        <sz val="9.0"/>
      </rPr>
      <t xml:space="preserve"> (WAS)</t>
    </r>
  </si>
  <si>
    <t>WR181</t>
  </si>
  <si>
    <r>
      <rPr>
        <rFont val="Poppins, Arial, Helvetica, sans-serif"/>
        <color rgb="FF1155CC"/>
        <sz val="9.0"/>
        <u/>
      </rPr>
      <t>Jaheim Bell</t>
    </r>
    <r>
      <rPr>
        <rFont val="Poppins, Arial, Helvetica, sans-serif"/>
        <sz val="9.0"/>
      </rPr>
      <t xml:space="preserve"> (PIT)</t>
    </r>
  </si>
  <si>
    <t>TE87</t>
  </si>
  <si>
    <r>
      <rPr>
        <rFont val="Poppins, Arial, Helvetica, sans-serif"/>
        <color rgb="FF1155CC"/>
        <sz val="9.0"/>
        <u/>
      </rPr>
      <t>Bub Means</t>
    </r>
    <r>
      <rPr>
        <rFont val="Poppins, Arial, Helvetica, sans-serif"/>
        <sz val="9.0"/>
      </rPr>
      <t xml:space="preserve"> (NO)</t>
    </r>
  </si>
  <si>
    <t>WR182</t>
  </si>
  <si>
    <r>
      <rPr>
        <rFont val="Poppins, Arial, Helvetica, sans-serif"/>
        <color rgb="FF1155CC"/>
        <sz val="9.0"/>
        <u/>
      </rPr>
      <t>Mason Tipton</t>
    </r>
    <r>
      <rPr>
        <rFont val="Poppins, Arial, Helvetica, sans-serif"/>
        <sz val="9.0"/>
      </rPr>
      <t xml:space="preserve"> (NO)</t>
    </r>
  </si>
  <si>
    <t>WR183</t>
  </si>
  <si>
    <r>
      <rPr>
        <rFont val="Poppins, Arial, Helvetica, sans-serif"/>
        <color rgb="FF1155CC"/>
        <sz val="9.0"/>
        <u/>
      </rPr>
      <t>Ben Skowronek</t>
    </r>
    <r>
      <rPr>
        <rFont val="Poppins, Arial, Helvetica, sans-serif"/>
        <sz val="9.0"/>
      </rPr>
      <t xml:space="preserve"> (PIT)</t>
    </r>
  </si>
  <si>
    <t>WR184</t>
  </si>
  <si>
    <r>
      <rPr>
        <rFont val="Poppins, Arial, Helvetica, sans-serif"/>
        <color rgb="FF1155CC"/>
        <sz val="9.0"/>
        <u/>
      </rPr>
      <t>Adam Prentice</t>
    </r>
    <r>
      <rPr>
        <rFont val="Poppins, Arial, Helvetica, sans-serif"/>
        <sz val="9.0"/>
      </rPr>
      <t xml:space="preserve"> (DEN)</t>
    </r>
  </si>
  <si>
    <t>RB153</t>
  </si>
  <si>
    <r>
      <rPr>
        <rFont val="Poppins, Arial, Helvetica, sans-serif"/>
        <color rgb="FF1155CC"/>
        <sz val="9.0"/>
        <u/>
      </rPr>
      <t>Terrace Marshall Jr.</t>
    </r>
    <r>
      <rPr>
        <rFont val="Poppins, Arial, Helvetica, sans-serif"/>
        <sz val="9.0"/>
      </rPr>
      <t xml:space="preserve"> (MIA)</t>
    </r>
  </si>
  <si>
    <t>WR185</t>
  </si>
  <si>
    <r>
      <rPr>
        <rFont val="Poppins, Arial, Helvetica, sans-serif"/>
        <color rgb="FF1155CC"/>
        <sz val="9.0"/>
        <u/>
      </rPr>
      <t>Nathan Carter</t>
    </r>
    <r>
      <rPr>
        <rFont val="Poppins, Arial, Helvetica, sans-serif"/>
        <sz val="9.0"/>
      </rPr>
      <t xml:space="preserve"> (ATL)</t>
    </r>
  </si>
  <si>
    <t>RB154</t>
  </si>
  <si>
    <r>
      <rPr>
        <rFont val="Poppins, Arial, Helvetica, sans-serif"/>
        <color rgb="FF1155CC"/>
        <sz val="9.0"/>
        <u/>
      </rPr>
      <t>Coleman Owen</t>
    </r>
    <r>
      <rPr>
        <rFont val="Poppins, Arial, Helvetica, sans-serif"/>
        <sz val="9.0"/>
      </rPr>
      <t xml:space="preserve"> (IND)</t>
    </r>
  </si>
  <si>
    <t>WR186</t>
  </si>
  <si>
    <r>
      <rPr>
        <rFont val="Poppins, Arial, Helvetica, sans-serif"/>
        <color rgb="FF1155CC"/>
        <sz val="9.0"/>
        <u/>
      </rPr>
      <t>Jeshaun Jones</t>
    </r>
    <r>
      <rPr>
        <rFont val="Poppins, Arial, Helvetica, sans-serif"/>
        <sz val="9.0"/>
      </rPr>
      <t xml:space="preserve"> (MIN)</t>
    </r>
  </si>
  <si>
    <t>WR187</t>
  </si>
  <si>
    <r>
      <rPr>
        <rFont val="Poppins, Arial, Helvetica, sans-serif"/>
        <color rgb="FF1155CC"/>
        <sz val="9.0"/>
        <u/>
      </rPr>
      <t>Evan Hull</t>
    </r>
    <r>
      <rPr>
        <rFont val="Poppins, Arial, Helvetica, sans-serif"/>
        <sz val="9.0"/>
      </rPr>
      <t xml:space="preserve"> (ARI)</t>
    </r>
  </si>
  <si>
    <t>RB155</t>
  </si>
  <si>
    <r>
      <rPr>
        <rFont val="Poppins, Arial, Helvetica, sans-serif"/>
        <color rgb="FF1155CC"/>
        <sz val="9.0"/>
        <u/>
      </rPr>
      <t>Cade Stover</t>
    </r>
    <r>
      <rPr>
        <rFont val="Poppins, Arial, Helvetica, sans-serif"/>
        <sz val="9.0"/>
      </rPr>
      <t xml:space="preserve"> (HOU)</t>
    </r>
  </si>
  <si>
    <t>TE88</t>
  </si>
  <si>
    <r>
      <rPr>
        <rFont val="Poppins, Arial, Helvetica, sans-serif"/>
        <color rgb="FF1155CC"/>
        <sz val="9.0"/>
        <u/>
      </rPr>
      <t>Alexander Mattison</t>
    </r>
    <r>
      <rPr>
        <rFont val="Poppins, Arial, Helvetica, sans-serif"/>
        <sz val="9.0"/>
      </rPr>
      <t xml:space="preserve"> (FA)</t>
    </r>
  </si>
  <si>
    <t>RB156</t>
  </si>
  <si>
    <r>
      <rPr>
        <rFont val="Poppins, Arial, Helvetica, sans-serif"/>
        <color rgb="FF1155CC"/>
        <sz val="9.0"/>
        <u/>
      </rPr>
      <t>Quez Watkins</t>
    </r>
    <r>
      <rPr>
        <rFont val="Poppins, Arial, Helvetica, sans-serif"/>
        <sz val="9.0"/>
      </rPr>
      <t xml:space="preserve"> (PHI)</t>
    </r>
  </si>
  <si>
    <t>WR188</t>
  </si>
  <si>
    <r>
      <rPr>
        <rFont val="Poppins, Arial, Helvetica, sans-serif"/>
        <color rgb="FF1155CC"/>
        <sz val="9.0"/>
        <u/>
      </rPr>
      <t>Kalel Mullings</t>
    </r>
    <r>
      <rPr>
        <rFont val="Poppins, Arial, Helvetica, sans-serif"/>
        <sz val="9.0"/>
      </rPr>
      <t xml:space="preserve"> (TEN)</t>
    </r>
  </si>
  <si>
    <t>RB157</t>
  </si>
  <si>
    <r>
      <rPr>
        <rFont val="Poppins, Arial, Helvetica, sans-serif"/>
        <color rgb="FF1155CC"/>
        <sz val="9.0"/>
        <u/>
      </rPr>
      <t>Kye Robichaux</t>
    </r>
    <r>
      <rPr>
        <rFont val="Poppins, Arial, Helvetica, sans-serif"/>
        <sz val="9.0"/>
      </rPr>
      <t xml:space="preserve"> (DET)</t>
    </r>
  </si>
  <si>
    <t>RB158</t>
  </si>
  <si>
    <r>
      <rPr>
        <rFont val="Poppins, Arial, Helvetica, sans-serif"/>
        <color rgb="FF1155CC"/>
        <sz val="9.0"/>
        <u/>
      </rPr>
      <t>Dean Connors</t>
    </r>
    <r>
      <rPr>
        <rFont val="Poppins, Arial, Helvetica, sans-serif"/>
        <sz val="9.0"/>
      </rPr>
      <t xml:space="preserve"> (LAR)</t>
    </r>
  </si>
  <si>
    <t>RB159</t>
  </si>
  <si>
    <r>
      <rPr>
        <rFont val="Poppins, Arial, Helvetica, sans-serif"/>
        <color rgb="FF1155CC"/>
        <sz val="9.0"/>
        <u/>
      </rPr>
      <t>Ronnie Bell</t>
    </r>
    <r>
      <rPr>
        <rFont val="Poppins, Arial, Helvetica, sans-serif"/>
        <sz val="9.0"/>
      </rPr>
      <t xml:space="preserve"> (NO)</t>
    </r>
  </si>
  <si>
    <t>WR189</t>
  </si>
  <si>
    <r>
      <rPr>
        <rFont val="Poppins, Arial, Helvetica, sans-serif"/>
        <color rgb="FF1155CC"/>
        <sz val="9.0"/>
        <u/>
      </rPr>
      <t>Dontae McMillan</t>
    </r>
    <r>
      <rPr>
        <rFont val="Poppins, Arial, Helvetica, sans-serif"/>
        <sz val="9.0"/>
      </rPr>
      <t xml:space="preserve"> (BAL)</t>
    </r>
  </si>
  <si>
    <t>RB160</t>
  </si>
  <si>
    <r>
      <rPr>
        <rFont val="Poppins, Arial, Helvetica, sans-serif"/>
        <color rgb="FF1155CC"/>
        <sz val="9.0"/>
        <u/>
      </rPr>
      <t>Will Dissly</t>
    </r>
    <r>
      <rPr>
        <rFont val="Poppins, Arial, Helvetica, sans-serif"/>
        <sz val="9.0"/>
      </rPr>
      <t xml:space="preserve"> (FA)</t>
    </r>
  </si>
  <si>
    <t>TE89</t>
  </si>
  <si>
    <r>
      <rPr>
        <rFont val="Poppins, Arial, Helvetica, sans-serif"/>
        <color rgb="FF1155CC"/>
        <sz val="9.0"/>
        <u/>
      </rPr>
      <t>Jimmy Horn Jr.</t>
    </r>
    <r>
      <rPr>
        <rFont val="Poppins, Arial, Helvetica, sans-serif"/>
        <sz val="9.0"/>
      </rPr>
      <t xml:space="preserve"> (CAR)</t>
    </r>
  </si>
  <si>
    <t>WR190</t>
  </si>
  <si>
    <r>
      <rPr>
        <rFont val="Poppins, Arial, Helvetica, sans-serif"/>
        <color rgb="FF1155CC"/>
        <sz val="9.0"/>
        <u/>
      </rPr>
      <t>Tahj Washington</t>
    </r>
    <r>
      <rPr>
        <rFont val="Poppins, Arial, Helvetica, sans-serif"/>
        <sz val="9.0"/>
      </rPr>
      <t xml:space="preserve"> (MIA)</t>
    </r>
  </si>
  <si>
    <t>WR191</t>
  </si>
  <si>
    <r>
      <rPr>
        <rFont val="Poppins, Arial, Helvetica, sans-serif"/>
        <color rgb="FF1155CC"/>
        <sz val="9.0"/>
        <u/>
      </rPr>
      <t>Myles Price</t>
    </r>
    <r>
      <rPr>
        <rFont val="Poppins, Arial, Helvetica, sans-serif"/>
        <sz val="9.0"/>
      </rPr>
      <t xml:space="preserve"> (MIN)</t>
    </r>
  </si>
  <si>
    <t>WR192</t>
  </si>
  <si>
    <r>
      <rPr>
        <rFont val="Poppins, Arial, Helvetica, sans-serif"/>
        <color rgb="FF1155CC"/>
        <sz val="9.0"/>
        <u/>
      </rPr>
      <t>Jameis Winston</t>
    </r>
    <r>
      <rPr>
        <rFont val="Poppins, Arial, Helvetica, sans-serif"/>
        <sz val="9.0"/>
      </rPr>
      <t xml:space="preserve"> (NYG)</t>
    </r>
  </si>
  <si>
    <r>
      <rPr>
        <rFont val="Poppins, Arial, Helvetica, sans-serif"/>
        <color rgb="FF1155CC"/>
        <sz val="9.0"/>
        <u/>
      </rPr>
      <t>David Sills V</t>
    </r>
    <r>
      <rPr>
        <rFont val="Poppins, Arial, Helvetica, sans-serif"/>
        <sz val="9.0"/>
      </rPr>
      <t xml:space="preserve"> (TB)</t>
    </r>
  </si>
  <si>
    <t>WR193</t>
  </si>
  <si>
    <r>
      <rPr>
        <rFont val="Poppins, Arial, Helvetica, sans-serif"/>
        <color rgb="FF1155CC"/>
        <sz val="9.0"/>
        <u/>
      </rPr>
      <t>Brock Wright</t>
    </r>
    <r>
      <rPr>
        <rFont val="Poppins, Arial, Helvetica, sans-serif"/>
        <sz val="9.0"/>
      </rPr>
      <t xml:space="preserve"> (DET)</t>
    </r>
  </si>
  <si>
    <t>TE90</t>
  </si>
  <si>
    <r>
      <rPr>
        <rFont val="Poppins, Arial, Helvetica, sans-serif"/>
        <color rgb="FF1155CC"/>
        <sz val="9.0"/>
        <u/>
      </rPr>
      <t>Montorie Foster Jr.</t>
    </r>
    <r>
      <rPr>
        <rFont val="Poppins, Arial, Helvetica, sans-serif"/>
        <sz val="9.0"/>
      </rPr>
      <t xml:space="preserve"> (SEA)</t>
    </r>
  </si>
  <si>
    <t>WR194</t>
  </si>
  <si>
    <r>
      <rPr>
        <rFont val="Poppins, Arial, Helvetica, sans-serif"/>
        <color rgb="FF1155CC"/>
        <sz val="9.0"/>
        <u/>
      </rPr>
      <t>Barion Brown</t>
    </r>
    <r>
      <rPr>
        <rFont val="Poppins, Arial, Helvetica, sans-serif"/>
        <sz val="9.0"/>
      </rPr>
      <t xml:space="preserve"> (NO)</t>
    </r>
  </si>
  <si>
    <t>WR195</t>
  </si>
  <si>
    <r>
      <rPr>
        <rFont val="Poppins, Arial, Helvetica, sans-serif"/>
        <color rgb="FF1155CC"/>
        <sz val="9.0"/>
        <u/>
      </rPr>
      <t>Miles Davis</t>
    </r>
    <r>
      <rPr>
        <rFont val="Poppins, Arial, Helvetica, sans-serif"/>
        <sz val="9.0"/>
      </rPr>
      <t xml:space="preserve"> (CAR)</t>
    </r>
  </si>
  <si>
    <t>RB161</t>
  </si>
  <si>
    <r>
      <rPr>
        <rFont val="Poppins, Arial, Helvetica, sans-serif"/>
        <color rgb="FF1155CC"/>
        <sz val="9.0"/>
        <u/>
      </rPr>
      <t>Cedrick Wilson Jr.</t>
    </r>
    <r>
      <rPr>
        <rFont val="Poppins, Arial, Helvetica, sans-serif"/>
        <sz val="9.0"/>
      </rPr>
      <t xml:space="preserve"> (DET)</t>
    </r>
  </si>
  <si>
    <t>WR196</t>
  </si>
  <si>
    <r>
      <rPr>
        <rFont val="Poppins, Arial, Helvetica, sans-serif"/>
        <color rgb="FF1155CC"/>
        <sz val="9.0"/>
        <u/>
      </rPr>
      <t>Pierre Strong Jr.</t>
    </r>
    <r>
      <rPr>
        <rFont val="Poppins, Arial, Helvetica, sans-serif"/>
        <sz val="9.0"/>
      </rPr>
      <t xml:space="preserve"> (GB)</t>
    </r>
  </si>
  <si>
    <t>RB162</t>
  </si>
  <si>
    <r>
      <rPr>
        <rFont val="Poppins, Arial, Helvetica, sans-serif"/>
        <color rgb="FF1155CC"/>
        <sz val="9.0"/>
        <u/>
      </rPr>
      <t>British Brooks</t>
    </r>
    <r>
      <rPr>
        <rFont val="Poppins, Arial, Helvetica, sans-serif"/>
        <sz val="9.0"/>
      </rPr>
      <t xml:space="preserve"> (HOU)</t>
    </r>
  </si>
  <si>
    <t>RB163</t>
  </si>
  <si>
    <r>
      <rPr>
        <rFont val="Poppins, Arial, Helvetica, sans-serif"/>
        <color rgb="FF1155CC"/>
        <sz val="9.0"/>
        <u/>
      </rPr>
      <t>Michael Briscoe</t>
    </r>
    <r>
      <rPr>
        <rFont val="Poppins, Arial, Helvetica, sans-serif"/>
        <sz val="9.0"/>
      </rPr>
      <t xml:space="preserve"> (MIN)</t>
    </r>
  </si>
  <si>
    <t>WR197</t>
  </si>
  <si>
    <r>
      <rPr>
        <rFont val="Poppins, Arial, Helvetica, sans-serif"/>
        <color rgb="FF1155CC"/>
        <sz val="9.0"/>
        <u/>
      </rPr>
      <t>Lil'Jordan Humphrey</t>
    </r>
    <r>
      <rPr>
        <rFont val="Poppins, Arial, Helvetica, sans-serif"/>
        <sz val="9.0"/>
      </rPr>
      <t xml:space="preserve"> (DEN)</t>
    </r>
  </si>
  <si>
    <t>WR198</t>
  </si>
  <si>
    <r>
      <rPr>
        <rFont val="Poppins, Arial, Helvetica, sans-serif"/>
        <color rgb="FF1155CC"/>
        <sz val="9.0"/>
        <u/>
      </rPr>
      <t>Jared Wayne</t>
    </r>
    <r>
      <rPr>
        <rFont val="Poppins, Arial, Helvetica, sans-serif"/>
        <sz val="9.0"/>
      </rPr>
      <t xml:space="preserve"> (HOU)</t>
    </r>
  </si>
  <si>
    <t>WR199</t>
  </si>
  <si>
    <r>
      <rPr>
        <rFont val="Poppins, Arial, Helvetica, sans-serif"/>
        <color rgb="FF1155CC"/>
        <sz val="9.0"/>
        <u/>
      </rPr>
      <t>Michael Bandy</t>
    </r>
    <r>
      <rPr>
        <rFont val="Poppins, Arial, Helvetica, sans-serif"/>
        <sz val="9.0"/>
      </rPr>
      <t xml:space="preserve"> (DEN)</t>
    </r>
  </si>
  <si>
    <t>WR200</t>
  </si>
  <si>
    <r>
      <rPr>
        <rFont val="Poppins, Arial, Helvetica, sans-serif"/>
        <color rgb="FF1155CC"/>
        <sz val="9.0"/>
        <u/>
      </rPr>
      <t>Maurice Alexander</t>
    </r>
    <r>
      <rPr>
        <rFont val="Poppins, Arial, Helvetica, sans-serif"/>
        <sz val="9.0"/>
      </rPr>
      <t xml:space="preserve"> (CHI)</t>
    </r>
  </si>
  <si>
    <t>WR201</t>
  </si>
  <si>
    <r>
      <rPr>
        <rFont val="Poppins, Arial, Helvetica, sans-serif"/>
        <color rgb="FF1155CC"/>
        <sz val="9.0"/>
        <u/>
      </rPr>
      <t>Ian Thomas</t>
    </r>
    <r>
      <rPr>
        <rFont val="Poppins, Arial, Helvetica, sans-serif"/>
        <sz val="9.0"/>
      </rPr>
      <t xml:space="preserve"> (LV)</t>
    </r>
  </si>
  <si>
    <t>TE91</t>
  </si>
  <si>
    <r>
      <rPr>
        <rFont val="Poppins, Arial, Helvetica, sans-serif"/>
        <color rgb="FF1155CC"/>
        <sz val="9.0"/>
        <u/>
      </rPr>
      <t>Diontae Johnson</t>
    </r>
    <r>
      <rPr>
        <rFont val="Poppins, Arial, Helvetica, sans-serif"/>
        <sz val="9.0"/>
      </rPr>
      <t xml:space="preserve"> (FA)</t>
    </r>
  </si>
  <si>
    <t>WR202</t>
  </si>
  <si>
    <r>
      <rPr>
        <rFont val="Poppins, Arial, Helvetica, sans-serif"/>
        <color rgb="FF1155CC"/>
        <sz val="9.0"/>
        <u/>
      </rPr>
      <t>Skyy Moore</t>
    </r>
    <r>
      <rPr>
        <rFont val="Poppins, Arial, Helvetica, sans-serif"/>
        <sz val="9.0"/>
      </rPr>
      <t xml:space="preserve"> (GB)</t>
    </r>
  </si>
  <si>
    <t>WR203</t>
  </si>
  <si>
    <r>
      <rPr>
        <rFont val="Poppins, Arial, Helvetica, sans-serif"/>
        <color rgb="FF1155CC"/>
        <sz val="9.0"/>
        <u/>
      </rPr>
      <t>Lew Nichols III</t>
    </r>
    <r>
      <rPr>
        <rFont val="Poppins, Arial, Helvetica, sans-serif"/>
        <sz val="9.0"/>
      </rPr>
      <t xml:space="preserve"> (PIT)</t>
    </r>
  </si>
  <si>
    <t>RB164</t>
  </si>
  <si>
    <r>
      <rPr>
        <rFont val="Poppins, Arial, Helvetica, sans-serif"/>
        <color rgb="FF1155CC"/>
        <sz val="9.0"/>
        <u/>
      </rPr>
      <t>Tyler Scott</t>
    </r>
    <r>
      <rPr>
        <rFont val="Poppins, Arial, Helvetica, sans-serif"/>
        <sz val="9.0"/>
      </rPr>
      <t xml:space="preserve"> (LAR)</t>
    </r>
  </si>
  <si>
    <t>WR204</t>
  </si>
  <si>
    <r>
      <rPr>
        <rFont val="Poppins, Arial, Helvetica, sans-serif"/>
        <color rgb="FF1155CC"/>
        <sz val="9.0"/>
        <u/>
      </rPr>
      <t>Will Mallory</t>
    </r>
    <r>
      <rPr>
        <rFont val="Poppins, Arial, Helvetica, sans-serif"/>
        <sz val="9.0"/>
      </rPr>
      <t xml:space="preserve"> (IND)</t>
    </r>
  </si>
  <si>
    <t>TE92</t>
  </si>
  <si>
    <r>
      <rPr>
        <rFont val="Poppins, Arial, Helvetica, sans-serif"/>
        <color rgb="FF1155CC"/>
        <sz val="9.0"/>
        <u/>
      </rPr>
      <t>Chip Trayanum</t>
    </r>
    <r>
      <rPr>
        <rFont val="Poppins, Arial, Helvetica, sans-serif"/>
        <sz val="9.0"/>
      </rPr>
      <t xml:space="preserve"> (NYJ)</t>
    </r>
  </si>
  <si>
    <t>RB165</t>
  </si>
  <si>
    <r>
      <rPr>
        <rFont val="Poppins, Arial, Helvetica, sans-serif"/>
        <color rgb="FF1155CC"/>
        <sz val="9.0"/>
        <u/>
      </rPr>
      <t>Michael Wortham</t>
    </r>
    <r>
      <rPr>
        <rFont val="Poppins, Arial, Helvetica, sans-serif"/>
        <sz val="9.0"/>
      </rPr>
      <t xml:space="preserve"> (JAC)</t>
    </r>
  </si>
  <si>
    <t>WR205</t>
  </si>
  <si>
    <r>
      <rPr>
        <rFont val="Poppins, Arial, Helvetica, sans-serif"/>
        <color rgb="FF1155CC"/>
        <sz val="9.0"/>
        <u/>
      </rPr>
      <t>Velus Jones Jr.</t>
    </r>
    <r>
      <rPr>
        <rFont val="Poppins, Arial, Helvetica, sans-serif"/>
        <sz val="9.0"/>
      </rPr>
      <t xml:space="preserve"> (SEA)</t>
    </r>
  </si>
  <si>
    <t>WR206</t>
  </si>
  <si>
    <r>
      <rPr>
        <rFont val="Poppins, Arial, Helvetica, sans-serif"/>
        <color rgb="FF1155CC"/>
        <sz val="9.0"/>
        <u/>
      </rPr>
      <t>EJ Smith</t>
    </r>
    <r>
      <rPr>
        <rFont val="Poppins, Arial, Helvetica, sans-serif"/>
        <sz val="9.0"/>
      </rPr>
      <t xml:space="preserve"> (KC)</t>
    </r>
  </si>
  <si>
    <t>RB166</t>
  </si>
  <si>
    <r>
      <rPr>
        <rFont val="Poppins, Arial, Helvetica, sans-serif"/>
        <color rgb="FF1155CC"/>
        <sz val="9.0"/>
        <u/>
      </rPr>
      <t>Travis Homer</t>
    </r>
    <r>
      <rPr>
        <rFont val="Poppins, Arial, Helvetica, sans-serif"/>
        <sz val="9.0"/>
      </rPr>
      <t xml:space="preserve"> (PIT)</t>
    </r>
  </si>
  <si>
    <t>RB167</t>
  </si>
  <si>
    <r>
      <rPr>
        <rFont val="Poppins, Arial, Helvetica, sans-serif"/>
        <color rgb="FF1155CC"/>
        <sz val="9.0"/>
        <u/>
      </rPr>
      <t>Zamir White</t>
    </r>
    <r>
      <rPr>
        <rFont val="Poppins, Arial, Helvetica, sans-serif"/>
        <sz val="9.0"/>
      </rPr>
      <t xml:space="preserve"> (LV)</t>
    </r>
  </si>
  <si>
    <t>RB168</t>
  </si>
  <si>
    <r>
      <rPr>
        <rFont val="Poppins, Arial, Helvetica, sans-serif"/>
        <color rgb="FF1155CC"/>
        <sz val="9.0"/>
        <u/>
      </rPr>
      <t>Jordan Akins</t>
    </r>
    <r>
      <rPr>
        <rFont val="Poppins, Arial, Helvetica, sans-serif"/>
        <sz val="9.0"/>
      </rPr>
      <t xml:space="preserve"> (FA)</t>
    </r>
  </si>
  <si>
    <t>TE93</t>
  </si>
  <si>
    <r>
      <rPr>
        <rFont val="Poppins, Arial, Helvetica, sans-serif"/>
        <color rgb="FF1155CC"/>
        <sz val="9.0"/>
        <u/>
      </rPr>
      <t>Jordan Watkins</t>
    </r>
    <r>
      <rPr>
        <rFont val="Poppins, Arial, Helvetica, sans-serif"/>
        <sz val="9.0"/>
      </rPr>
      <t xml:space="preserve"> (SF)</t>
    </r>
  </si>
  <si>
    <t>WR207</t>
  </si>
  <si>
    <r>
      <rPr>
        <rFont val="Poppins, Arial, Helvetica, sans-serif"/>
        <color rgb="FF1155CC"/>
        <sz val="9.0"/>
        <u/>
      </rPr>
      <t>K.J. Osborn</t>
    </r>
    <r>
      <rPr>
        <rFont val="Poppins, Arial, Helvetica, sans-serif"/>
        <sz val="9.0"/>
      </rPr>
      <t xml:space="preserve"> (TEN)</t>
    </r>
  </si>
  <si>
    <t>WR208</t>
  </si>
  <si>
    <r>
      <rPr>
        <rFont val="Poppins, Arial, Helvetica, sans-serif"/>
        <color rgb="FF1155CC"/>
        <sz val="9.0"/>
        <u/>
      </rPr>
      <t>Nate Adkins</t>
    </r>
    <r>
      <rPr>
        <rFont val="Poppins, Arial, Helvetica, sans-serif"/>
        <sz val="9.0"/>
      </rPr>
      <t xml:space="preserve"> (DEN)</t>
    </r>
  </si>
  <si>
    <t>TE94</t>
  </si>
  <si>
    <r>
      <rPr>
        <rFont val="Poppins, Arial, Helvetica, sans-serif"/>
        <color rgb="FF1155CC"/>
        <sz val="9.0"/>
        <u/>
      </rPr>
      <t>Dominic Lovett</t>
    </r>
    <r>
      <rPr>
        <rFont val="Poppins, Arial, Helvetica, sans-serif"/>
        <sz val="9.0"/>
      </rPr>
      <t xml:space="preserve"> (DET)</t>
    </r>
  </si>
  <si>
    <t>WR209</t>
  </si>
  <si>
    <r>
      <rPr>
        <rFont val="Poppins, Arial, Helvetica, sans-serif"/>
        <color rgb="FF1155CC"/>
        <sz val="9.0"/>
        <u/>
      </rPr>
      <t>Michael Burton</t>
    </r>
    <r>
      <rPr>
        <rFont val="Poppins, Arial, Helvetica, sans-serif"/>
        <sz val="9.0"/>
      </rPr>
      <t xml:space="preserve"> (CLE)</t>
    </r>
  </si>
  <si>
    <t>RB169</t>
  </si>
  <si>
    <r>
      <rPr>
        <rFont val="Poppins, Arial, Helvetica, sans-serif"/>
        <color rgb="FF1155CC"/>
        <sz val="9.0"/>
        <u/>
      </rPr>
      <t>DeAndre Hopkins</t>
    </r>
    <r>
      <rPr>
        <rFont val="Poppins, Arial, Helvetica, sans-serif"/>
        <sz val="9.0"/>
      </rPr>
      <t xml:space="preserve"> (BAL)</t>
    </r>
  </si>
  <si>
    <t>WR210</t>
  </si>
  <si>
    <r>
      <rPr>
        <rFont val="Poppins, Arial, Helvetica, sans-serif"/>
        <color rgb="FF1155CC"/>
        <sz val="9.0"/>
        <u/>
      </rPr>
      <t>Jalen Reagor</t>
    </r>
    <r>
      <rPr>
        <rFont val="Poppins, Arial, Helvetica, sans-serif"/>
        <sz val="9.0"/>
      </rPr>
      <t xml:space="preserve"> (MIA)</t>
    </r>
  </si>
  <si>
    <t>WR211</t>
  </si>
  <si>
    <r>
      <rPr>
        <rFont val="Poppins, Arial, Helvetica, sans-serif"/>
        <color rgb="FF1155CC"/>
        <sz val="9.0"/>
        <u/>
      </rPr>
      <t>Arian Smith</t>
    </r>
    <r>
      <rPr>
        <rFont val="Poppins, Arial, Helvetica, sans-serif"/>
        <sz val="9.0"/>
      </rPr>
      <t xml:space="preserve"> (NYJ)</t>
    </r>
  </si>
  <si>
    <t>WR212</t>
  </si>
  <si>
    <r>
      <rPr>
        <rFont val="Poppins, Arial, Helvetica, sans-serif"/>
        <color rgb="FF1155CC"/>
        <sz val="9.0"/>
        <u/>
      </rPr>
      <t>Josh Cameron</t>
    </r>
    <r>
      <rPr>
        <rFont val="Poppins, Arial, Helvetica, sans-serif"/>
        <sz val="9.0"/>
      </rPr>
      <t xml:space="preserve"> (JAC)</t>
    </r>
  </si>
  <si>
    <t>WR213</t>
  </si>
  <si>
    <r>
      <rPr>
        <rFont val="Poppins, Arial, Helvetica, sans-serif"/>
        <color rgb="FF1155CC"/>
        <sz val="9.0"/>
        <u/>
      </rPr>
      <t>Miles Kitselman</t>
    </r>
    <r>
      <rPr>
        <rFont val="Poppins, Arial, Helvetica, sans-serif"/>
        <sz val="9.0"/>
      </rPr>
      <t xml:space="preserve"> (DET)</t>
    </r>
  </si>
  <si>
    <t>TE95</t>
  </si>
  <si>
    <r>
      <rPr>
        <rFont val="Poppins, Arial, Helvetica, sans-serif"/>
        <color rgb="FF1155CC"/>
        <sz val="9.0"/>
        <u/>
      </rPr>
      <t>Jermaine Burton</t>
    </r>
    <r>
      <rPr>
        <rFont val="Poppins, Arial, Helvetica, sans-serif"/>
        <sz val="9.0"/>
      </rPr>
      <t xml:space="preserve"> (FA)</t>
    </r>
  </si>
  <si>
    <t>WR214</t>
  </si>
  <si>
    <r>
      <rPr>
        <rFont val="Poppins, Arial, Helvetica, sans-serif"/>
        <color rgb="FF1155CC"/>
        <sz val="9.0"/>
        <u/>
      </rPr>
      <t>Jermar Jefferson</t>
    </r>
    <r>
      <rPr>
        <rFont val="Poppins, Arial, Helvetica, sans-serif"/>
        <sz val="9.0"/>
      </rPr>
      <t xml:space="preserve"> (FA)</t>
    </r>
  </si>
  <si>
    <t>RB170</t>
  </si>
  <si>
    <r>
      <rPr>
        <rFont val="Poppins, Arial, Helvetica, sans-serif"/>
        <color rgb="FF1155CC"/>
        <sz val="9.0"/>
        <u/>
      </rPr>
      <t>Tyler Badie</t>
    </r>
    <r>
      <rPr>
        <rFont val="Poppins, Arial, Helvetica, sans-serif"/>
        <sz val="9.0"/>
      </rPr>
      <t xml:space="preserve"> (DEN)</t>
    </r>
  </si>
  <si>
    <t>RB171</t>
  </si>
  <si>
    <r>
      <rPr>
        <rFont val="Poppins, Arial, Helvetica, sans-serif"/>
        <color rgb="FF1155CC"/>
        <sz val="9.0"/>
        <u/>
      </rPr>
      <t>Jacob Cowing</t>
    </r>
    <r>
      <rPr>
        <rFont val="Poppins, Arial, Helvetica, sans-serif"/>
        <sz val="9.0"/>
      </rPr>
      <t xml:space="preserve"> (SF)</t>
    </r>
  </si>
  <si>
    <t>WR215</t>
  </si>
  <si>
    <r>
      <rPr>
        <rFont val="Poppins, Arial, Helvetica, sans-serif"/>
        <color rgb="FF1155CC"/>
        <sz val="9.0"/>
        <u/>
      </rPr>
      <t>Justin Watson</t>
    </r>
    <r>
      <rPr>
        <rFont val="Poppins, Arial, Helvetica, sans-serif"/>
        <sz val="9.0"/>
      </rPr>
      <t xml:space="preserve"> (HOU)</t>
    </r>
  </si>
  <si>
    <t>WR216</t>
  </si>
  <si>
    <r>
      <rPr>
        <rFont val="Poppins, Arial, Helvetica, sans-serif"/>
        <color rgb="FF1155CC"/>
        <sz val="9.0"/>
        <u/>
      </rPr>
      <t>Corey Kiner</t>
    </r>
    <r>
      <rPr>
        <rFont val="Poppins, Arial, Helvetica, sans-serif"/>
        <sz val="9.0"/>
      </rPr>
      <t xml:space="preserve"> (ARI)</t>
    </r>
  </si>
  <si>
    <t>RB172</t>
  </si>
  <si>
    <r>
      <rPr>
        <rFont val="Poppins, Arial, Helvetica, sans-serif"/>
        <color rgb="FF1155CC"/>
        <sz val="9.0"/>
        <u/>
      </rPr>
      <t>Anthony Hankerson</t>
    </r>
    <r>
      <rPr>
        <rFont val="Poppins, Arial, Helvetica, sans-serif"/>
        <sz val="9.0"/>
      </rPr>
      <t xml:space="preserve"> (MIA)</t>
    </r>
  </si>
  <si>
    <t>RB173</t>
  </si>
  <si>
    <r>
      <rPr>
        <rFont val="Poppins, Arial, Helvetica, sans-serif"/>
        <color rgb="FF1155CC"/>
        <sz val="9.0"/>
        <u/>
      </rPr>
      <t>Kendall Milton</t>
    </r>
    <r>
      <rPr>
        <rFont val="Poppins, Arial, Helvetica, sans-serif"/>
        <sz val="9.0"/>
      </rPr>
      <t xml:space="preserve"> (CIN)</t>
    </r>
  </si>
  <si>
    <t>RB174</t>
  </si>
  <si>
    <r>
      <rPr>
        <rFont val="Poppins, Arial, Helvetica, sans-serif"/>
        <color rgb="FF1155CC"/>
        <sz val="9.0"/>
        <u/>
      </rPr>
      <t>Joshua Pitsenberger</t>
    </r>
    <r>
      <rPr>
        <rFont val="Poppins, Arial, Helvetica, sans-serif"/>
        <sz val="9.0"/>
      </rPr>
      <t xml:space="preserve"> (HOU)</t>
    </r>
  </si>
  <si>
    <t>RB175</t>
  </si>
  <si>
    <r>
      <rPr>
        <rFont val="Poppins, Arial, Helvetica, sans-serif"/>
        <color rgb="FF1155CC"/>
        <sz val="9.0"/>
        <u/>
      </rPr>
      <t>Khalil Dinkins</t>
    </r>
    <r>
      <rPr>
        <rFont val="Poppins, Arial, Helvetica, sans-serif"/>
        <sz val="9.0"/>
      </rPr>
      <t xml:space="preserve"> (FA)</t>
    </r>
  </si>
  <si>
    <t>TE96</t>
  </si>
  <si>
    <r>
      <rPr>
        <rFont val="Poppins, Arial, Helvetica, sans-serif"/>
        <color rgb="FF1155CC"/>
        <sz val="9.0"/>
        <u/>
      </rPr>
      <t>Gus Edwards</t>
    </r>
    <r>
      <rPr>
        <rFont val="Poppins, Arial, Helvetica, sans-serif"/>
        <sz val="9.0"/>
      </rPr>
      <t xml:space="preserve"> (FA)</t>
    </r>
  </si>
  <si>
    <t>RB176</t>
  </si>
  <si>
    <r>
      <rPr>
        <rFont val="Poppins, Arial, Helvetica, sans-serif"/>
        <color rgb="FF1155CC"/>
        <sz val="9.0"/>
        <u/>
      </rPr>
      <t>Cam Akers</t>
    </r>
    <r>
      <rPr>
        <rFont val="Poppins, Arial, Helvetica, sans-serif"/>
        <sz val="9.0"/>
      </rPr>
      <t xml:space="preserve"> (FA)</t>
    </r>
  </si>
  <si>
    <t>RB177</t>
  </si>
  <si>
    <r>
      <rPr>
        <rFont val="Poppins, Arial, Helvetica, sans-serif"/>
        <color rgb="FF1155CC"/>
        <sz val="9.0"/>
        <u/>
      </rPr>
      <t>Curtis Samuel</t>
    </r>
    <r>
      <rPr>
        <rFont val="Poppins, Arial, Helvetica, sans-serif"/>
        <sz val="9.0"/>
      </rPr>
      <t xml:space="preserve"> (FA)</t>
    </r>
  </si>
  <si>
    <t>WR217</t>
  </si>
  <si>
    <r>
      <rPr>
        <rFont val="Poppins, Arial, Helvetica, sans-serif"/>
        <color rgb="FF1155CC"/>
        <sz val="9.0"/>
        <u/>
      </rPr>
      <t>Gabe Davis</t>
    </r>
    <r>
      <rPr>
        <rFont val="Poppins, Arial, Helvetica, sans-serif"/>
        <sz val="9.0"/>
      </rPr>
      <t xml:space="preserve"> (FA)</t>
    </r>
  </si>
  <si>
    <t>WR218</t>
  </si>
  <si>
    <r>
      <rPr>
        <rFont val="Poppins, Arial, Helvetica, sans-serif"/>
        <color rgb="FF1155CC"/>
        <sz val="9.0"/>
        <u/>
      </rPr>
      <t>Juice Wells Jr.</t>
    </r>
    <r>
      <rPr>
        <rFont val="Poppins, Arial, Helvetica, sans-serif"/>
        <sz val="9.0"/>
      </rPr>
      <t xml:space="preserve"> (ATL)</t>
    </r>
  </si>
  <si>
    <t>WR219</t>
  </si>
  <si>
    <r>
      <rPr>
        <rFont val="Poppins, Arial, Helvetica, sans-serif"/>
        <color rgb="FF1155CC"/>
        <sz val="9.0"/>
        <u/>
      </rPr>
      <t>Trey Sermon</t>
    </r>
    <r>
      <rPr>
        <rFont val="Poppins, Arial, Helvetica, sans-serif"/>
        <sz val="9.0"/>
      </rPr>
      <t xml:space="preserve"> (FA)</t>
    </r>
  </si>
  <si>
    <t>RB178</t>
  </si>
  <si>
    <r>
      <rPr>
        <rFont val="Poppins, Arial, Helvetica, sans-serif"/>
        <color rgb="FF1155CC"/>
        <sz val="9.0"/>
        <u/>
      </rPr>
      <t>Ja'Quinden Jackson</t>
    </r>
    <r>
      <rPr>
        <rFont val="Poppins, Arial, Helvetica, sans-serif"/>
        <sz val="9.0"/>
      </rPr>
      <t xml:space="preserve"> (FA)</t>
    </r>
  </si>
  <si>
    <t>RB179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</si>
</sst>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color rgb="FF16191D"/>
      <name val="Poppins"/>
    </font>
    <font>
      <color rgb="FF00101B"/>
      <name val="Roboto"/>
    </font>
    <font>
      <color rgb="FF000000"/>
      <name val="Roboto"/>
    </font>
    <font>
      <color theme="1"/>
      <name val="Poppins"/>
    </font>
    <font>
      <sz val="9.0"/>
      <color rgb="FF16191D"/>
      <name val="Poppins"/>
    </font>
    <font>
      <u/>
      <color rgb="FF0000FF"/>
      <name val="Roboto"/>
    </font>
    <font>
      <u/>
      <sz val="9.0"/>
      <color rgb="FF0000FF"/>
      <name val="Poppins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A7C8BD"/>
        <bgColor rgb="FFA7C8BD"/>
      </patternFill>
    </fill>
    <fill>
      <patternFill patternType="solid">
        <fgColor rgb="FFD4D4D4"/>
        <bgColor rgb="FFD4D4D4"/>
      </patternFill>
    </fill>
    <fill>
      <patternFill patternType="solid">
        <fgColor rgb="FFDFB5B7"/>
        <bgColor rgb="FFDFB5B7"/>
      </patternFill>
    </fill>
    <fill>
      <patternFill patternType="solid">
        <fgColor rgb="FFE2E2E2"/>
        <bgColor rgb="FFE2E2E2"/>
      </patternFill>
    </fill>
  </fills>
  <borders count="5">
    <border/>
    <border>
      <bottom style="medium">
        <color rgb="FFE4E4E4"/>
      </bottom>
    </border>
    <border>
      <left style="thin">
        <color rgb="FFE4E4E4"/>
      </left>
      <bottom style="medium">
        <color rgb="FFE4E4E4"/>
      </bottom>
    </border>
    <border>
      <bottom style="thin">
        <color rgb="FFE4E4E4"/>
      </bottom>
    </border>
    <border>
      <left style="thin">
        <color rgb="FFE4E4E4"/>
      </left>
      <bottom style="thin">
        <color rgb="FFE4E4E4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1" numFmtId="164" xfId="0" applyAlignment="1" applyFont="1" applyNumberFormat="1">
      <alignment readingOrder="0"/>
    </xf>
    <xf borderId="0" fillId="2" fontId="3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2" fontId="3" numFmtId="0" xfId="0" applyAlignment="1" applyFont="1">
      <alignment horizontal="left" readingOrder="0" shrinkToFit="0" wrapText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3" fontId="6" numFmtId="0" xfId="0" applyAlignment="1" applyFill="1" applyFont="1">
      <alignment horizontal="center" readingOrder="0" shrinkToFit="0" vertical="top" wrapText="0"/>
    </xf>
    <xf borderId="2" fillId="0" fontId="5" numFmtId="0" xfId="0" applyAlignment="1" applyBorder="1" applyFont="1">
      <alignment horizontal="center" readingOrder="0"/>
    </xf>
    <xf borderId="0" fillId="3" fontId="6" numFmtId="0" xfId="0" applyAlignment="1" applyFont="1">
      <alignment horizontal="center" shrinkToFit="0" vertical="top" wrapText="0"/>
    </xf>
    <xf borderId="3" fillId="2" fontId="5" numFmtId="0" xfId="0" applyAlignment="1" applyBorder="1" applyFont="1">
      <alignment horizontal="center" readingOrder="0"/>
    </xf>
    <xf borderId="0" fillId="0" fontId="6" numFmtId="0" xfId="0" applyAlignment="1" applyFont="1">
      <alignment horizontal="right" readingOrder="0" shrinkToFit="0" vertical="top" wrapText="0"/>
    </xf>
    <xf borderId="0" fillId="2" fontId="7" numFmtId="0" xfId="0" applyAlignment="1" applyFont="1">
      <alignment horizontal="center" readingOrder="0" shrinkToFit="0" vertical="top" wrapText="0"/>
    </xf>
    <xf borderId="3" fillId="0" fontId="8" numFmtId="0" xfId="0" applyAlignment="1" applyBorder="1" applyFont="1">
      <alignment horizontal="left" readingOrder="0"/>
    </xf>
    <xf borderId="4" fillId="2" fontId="5" numFmtId="0" xfId="0" applyAlignment="1" applyBorder="1" applyFont="1">
      <alignment horizontal="center" readingOrder="0"/>
    </xf>
    <xf borderId="0" fillId="0" fontId="9" numFmtId="0" xfId="0" applyAlignment="1" applyFont="1">
      <alignment horizontal="left" readingOrder="0" shrinkToFit="0" vertical="top" wrapText="0"/>
    </xf>
    <xf borderId="0" fillId="2" fontId="7" numFmtId="0" xfId="0" applyAlignment="1" applyFont="1">
      <alignment horizontal="right" readingOrder="0" shrinkToFit="0" vertical="top" wrapText="0"/>
    </xf>
    <xf borderId="0" fillId="3" fontId="7" numFmtId="0" xfId="0" applyAlignment="1" applyFont="1">
      <alignment horizontal="center" readingOrder="0" shrinkToFit="0" vertical="top" wrapText="0"/>
    </xf>
    <xf borderId="3" fillId="4" fontId="5" numFmtId="0" xfId="0" applyAlignment="1" applyBorder="1" applyFill="1" applyFont="1">
      <alignment horizontal="center"/>
    </xf>
    <xf borderId="0" fillId="3" fontId="7" numFmtId="0" xfId="0" applyAlignment="1" applyFont="1">
      <alignment horizontal="right" readingOrder="0" shrinkToFit="0" vertical="top" wrapText="0"/>
    </xf>
    <xf borderId="3" fillId="2" fontId="5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/>
    </xf>
    <xf borderId="0" fillId="2" fontId="6" numFmtId="0" xfId="0" applyAlignment="1" applyFont="1">
      <alignment horizontal="center" readingOrder="0" shrinkToFit="0" vertical="top" wrapText="0"/>
    </xf>
    <xf borderId="0" fillId="2" fontId="6" numFmtId="0" xfId="0" applyAlignment="1" applyFont="1">
      <alignment horizontal="center" shrinkToFit="0" vertical="top" wrapText="0"/>
    </xf>
    <xf borderId="3" fillId="6" fontId="5" numFmtId="0" xfId="0" applyAlignment="1" applyBorder="1" applyFill="1" applyFont="1">
      <alignment horizontal="center" readingOrder="0"/>
    </xf>
    <xf borderId="0" fillId="3" fontId="7" numFmtId="0" xfId="0" applyAlignment="1" applyFont="1">
      <alignment horizontal="center" shrinkToFit="0" vertical="top" wrapText="0"/>
    </xf>
    <xf borderId="0" fillId="2" fontId="7" numFmtId="0" xfId="0" applyAlignment="1" applyFont="1">
      <alignment horizontal="center" shrinkToFit="0" vertical="top" wrapText="0"/>
    </xf>
    <xf borderId="3" fillId="5" fontId="5" numFmtId="0" xfId="0" applyAlignment="1" applyBorder="1" applyFont="1">
      <alignment horizontal="center" readingOrder="0"/>
    </xf>
    <xf borderId="0" fillId="7" fontId="7" numFmtId="0" xfId="0" applyAlignment="1" applyFill="1" applyFont="1">
      <alignment horizontal="center" readingOrder="0" shrinkToFit="0" vertical="top" wrapText="0"/>
    </xf>
    <xf borderId="0" fillId="7" fontId="7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emmett-johnson.php" TargetMode="External"/><Relationship Id="rId194" Type="http://schemas.openxmlformats.org/officeDocument/2006/relationships/hyperlink" Target="https://www.fantasypros.com/nfl/players/pat-bryant.php" TargetMode="External"/><Relationship Id="rId193" Type="http://schemas.openxmlformats.org/officeDocument/2006/relationships/hyperlink" Target="https://www.fantasypros.com/nfl/players/darnell-mooney.php" TargetMode="External"/><Relationship Id="rId192" Type="http://schemas.openxmlformats.org/officeDocument/2006/relationships/hyperlink" Target="https://www.fantasypros.com/nfl/players/kenyon-sadiq.php" TargetMode="External"/><Relationship Id="rId191" Type="http://schemas.openxmlformats.org/officeDocument/2006/relationships/hyperlink" Target="https://www.fantasypros.com/nfl/players/malik-washington.php" TargetMode="External"/><Relationship Id="rId187" Type="http://schemas.openxmlformats.org/officeDocument/2006/relationships/hyperlink" Target="https://www.fantasypros.com/nfl/players/deshaun-watson.php" TargetMode="External"/><Relationship Id="rId186" Type="http://schemas.openxmlformats.org/officeDocument/2006/relationships/hyperlink" Target="https://www.fantasypros.com/nfl/players/aj-barner.php" TargetMode="External"/><Relationship Id="rId185" Type="http://schemas.openxmlformats.org/officeDocument/2006/relationships/hyperlink" Target="https://www.fantasypros.com/nfl/players/jaylin-noel.php" TargetMode="External"/><Relationship Id="rId184" Type="http://schemas.openxmlformats.org/officeDocument/2006/relationships/hyperlink" Target="https://www.fantasypros.com/nfl/players/troy-franklin.php" TargetMode="External"/><Relationship Id="rId189" Type="http://schemas.openxmlformats.org/officeDocument/2006/relationships/hyperlink" Target="https://www.fantasypros.com/nfl/players/dontayvion-wicks.php" TargetMode="External"/><Relationship Id="rId188" Type="http://schemas.openxmlformats.org/officeDocument/2006/relationships/hyperlink" Target="https://www.fantasypros.com/nfl/players/ray-davis.php" TargetMode="External"/><Relationship Id="rId183" Type="http://schemas.openxmlformats.org/officeDocument/2006/relationships/hyperlink" Target="https://www.fantasypros.com/nfl/players/calvin-ridley.php" TargetMode="External"/><Relationship Id="rId182" Type="http://schemas.openxmlformats.org/officeDocument/2006/relationships/hyperlink" Target="https://www.fantasypros.com/nfl/players/sean-tucker.php" TargetMode="External"/><Relationship Id="rId181" Type="http://schemas.openxmlformats.org/officeDocument/2006/relationships/hyperlink" Target="https://www.fantasypros.com/nfl/players/james-conner.php" TargetMode="External"/><Relationship Id="rId180" Type="http://schemas.openxmlformats.org/officeDocument/2006/relationships/hyperlink" Target="https://www.fantasypros.com/nfl/players/michael-penix-jr.php" TargetMode="External"/><Relationship Id="rId176" Type="http://schemas.openxmlformats.org/officeDocument/2006/relationships/hyperlink" Target="https://www.fantasypros.com/nfl/players/dezhaun-stribling.php" TargetMode="External"/><Relationship Id="rId297" Type="http://schemas.openxmlformats.org/officeDocument/2006/relationships/hyperlink" Target="https://www.fantasypros.com/nfl/players/calvin-austin.php" TargetMode="External"/><Relationship Id="rId175" Type="http://schemas.openxmlformats.org/officeDocument/2006/relationships/hyperlink" Target="https://www.fantasypros.com/nfl/players/ryan-flournoy.php" TargetMode="External"/><Relationship Id="rId296" Type="http://schemas.openxmlformats.org/officeDocument/2006/relationships/hyperlink" Target="https://www.fantasypros.com/nfl/players/tyler-higbee.php" TargetMode="External"/><Relationship Id="rId174" Type="http://schemas.openxmlformats.org/officeDocument/2006/relationships/hyperlink" Target="https://www.fantasypros.com/nfl/players/braelon-allen.php" TargetMode="External"/><Relationship Id="rId295" Type="http://schemas.openxmlformats.org/officeDocument/2006/relationships/hyperlink" Target="https://www.fantasypros.com/nfl/players/elijah-arroyo.php" TargetMode="External"/><Relationship Id="rId173" Type="http://schemas.openxmlformats.org/officeDocument/2006/relationships/hyperlink" Target="https://www.fantasypros.com/nfl/players/tj-hockenson.php" TargetMode="External"/><Relationship Id="rId294" Type="http://schemas.openxmlformats.org/officeDocument/2006/relationships/hyperlink" Target="https://www.fantasypros.com/nfl/players/max-klare.php" TargetMode="External"/><Relationship Id="rId179" Type="http://schemas.openxmlformats.org/officeDocument/2006/relationships/hyperlink" Target="https://www.fantasypros.com/nfl/players/kimani-vidal.php" TargetMode="External"/><Relationship Id="rId178" Type="http://schemas.openxmlformats.org/officeDocument/2006/relationships/hyperlink" Target="https://www.fantasypros.com/nfl/players/jalen-nailor.php" TargetMode="External"/><Relationship Id="rId299" Type="http://schemas.openxmlformats.org/officeDocument/2006/relationships/hyperlink" Target="https://www.fantasypros.com/nfl/players/michael-mayer.php" TargetMode="External"/><Relationship Id="rId177" Type="http://schemas.openxmlformats.org/officeDocument/2006/relationships/hyperlink" Target="https://www.fantasypros.com/nfl/players/kayshon-boutte.php" TargetMode="External"/><Relationship Id="rId298" Type="http://schemas.openxmlformats.org/officeDocument/2006/relationships/hyperlink" Target="https://www.fantasypros.com/nfl/players/olamide-zaccheaus.php" TargetMode="External"/><Relationship Id="rId198" Type="http://schemas.openxmlformats.org/officeDocument/2006/relationships/hyperlink" Target="https://www.fantasypros.com/nfl/players/antonio-williams-wr.php" TargetMode="External"/><Relationship Id="rId197" Type="http://schemas.openxmlformats.org/officeDocument/2006/relationships/hyperlink" Target="https://www.fantasypros.com/nfl/players/gunnar-helm.php" TargetMode="External"/><Relationship Id="rId196" Type="http://schemas.openxmlformats.org/officeDocument/2006/relationships/hyperlink" Target="https://www.fantasypros.com/nfl/players/kirk-cousins.php" TargetMode="External"/><Relationship Id="rId195" Type="http://schemas.openxmlformats.org/officeDocument/2006/relationships/hyperlink" Target="https://www.fantasypros.com/nfl/players/isaac-teslaa.php" TargetMode="External"/><Relationship Id="rId199" Type="http://schemas.openxmlformats.org/officeDocument/2006/relationships/hyperlink" Target="https://www.fantasypros.com/nfl/players/mike-washington-jr.php" TargetMode="External"/><Relationship Id="rId150" Type="http://schemas.openxmlformats.org/officeDocument/2006/relationships/hyperlink" Target="https://www.fantasypros.com/nfl/players/rashid-shaheed.php" TargetMode="External"/><Relationship Id="rId271" Type="http://schemas.openxmlformats.org/officeDocument/2006/relationships/hyperlink" Target="https://www.fantasypros.com/nfl/players/tahj-brooks.php" TargetMode="External"/><Relationship Id="rId392" Type="http://schemas.openxmlformats.org/officeDocument/2006/relationships/hyperlink" Target="https://www.fantasypros.com/nfl/players/roman-hemby.php" TargetMode="External"/><Relationship Id="rId270" Type="http://schemas.openxmlformats.org/officeDocument/2006/relationships/hyperlink" Target="https://www.fantasypros.com/nfl/players/najee-harris-rb.php" TargetMode="External"/><Relationship Id="rId391" Type="http://schemas.openxmlformats.org/officeDocument/2006/relationships/hyperlink" Target="https://www.fantasypros.com/nfl/players/joe-flacco.php" TargetMode="External"/><Relationship Id="rId390" Type="http://schemas.openxmlformats.org/officeDocument/2006/relationships/hyperlink" Target="https://www.fantasypros.com/nfl/players/josh-oliver.php" TargetMode="External"/><Relationship Id="rId1" Type="http://schemas.openxmlformats.org/officeDocument/2006/relationships/hyperlink" Target="https://www.fantasypros.com/nfl/players/josh-allen-qb.php" TargetMode="External"/><Relationship Id="rId2" Type="http://schemas.openxmlformats.org/officeDocument/2006/relationships/hyperlink" Target="https://www.fantasypros.com/nfl/players/lamar-jackson.php" TargetMode="External"/><Relationship Id="rId3" Type="http://schemas.openxmlformats.org/officeDocument/2006/relationships/hyperlink" Target="https://www.fantasypros.com/nfl/players/drake-maye.php" TargetMode="External"/><Relationship Id="rId149" Type="http://schemas.openxmlformats.org/officeDocument/2006/relationships/hyperlink" Target="https://www.fantasypros.com/nfl/players/juwan-johnson.php" TargetMode="External"/><Relationship Id="rId4" Type="http://schemas.openxmlformats.org/officeDocument/2006/relationships/hyperlink" Target="https://www.fantasypros.com/nfl/players/joe-burrow.php" TargetMode="External"/><Relationship Id="rId148" Type="http://schemas.openxmlformats.org/officeDocument/2006/relationships/hyperlink" Target="https://www.fantasypros.com/nfl/players/alvin-kamara.php" TargetMode="External"/><Relationship Id="rId269" Type="http://schemas.openxmlformats.org/officeDocument/2006/relationships/hyperlink" Target="https://www.fantasypros.com/nfl/players/isaiah-bond.php" TargetMode="External"/><Relationship Id="rId9" Type="http://schemas.openxmlformats.org/officeDocument/2006/relationships/hyperlink" Target="https://www.fantasypros.com/nfl/players/caleb-williams.php" TargetMode="External"/><Relationship Id="rId143" Type="http://schemas.openxmlformats.org/officeDocument/2006/relationships/hyperlink" Target="https://www.fantasypros.com/nfl/players/tyler-allgeier.php" TargetMode="External"/><Relationship Id="rId264" Type="http://schemas.openxmlformats.org/officeDocument/2006/relationships/hyperlink" Target="https://www.fantasypros.com/nfl/players/tyreek-hill.php" TargetMode="External"/><Relationship Id="rId385" Type="http://schemas.openxmlformats.org/officeDocument/2006/relationships/hyperlink" Target="https://www.fantasypros.com/nfl/players/jake-bobo.php" TargetMode="External"/><Relationship Id="rId142" Type="http://schemas.openxmlformats.org/officeDocument/2006/relationships/hyperlink" Target="https://www.fantasypros.com/nfl/players/woody-marks.php" TargetMode="External"/><Relationship Id="rId263" Type="http://schemas.openxmlformats.org/officeDocument/2006/relationships/hyperlink" Target="https://www.fantasypros.com/nfl/players/brashard-smith.php" TargetMode="External"/><Relationship Id="rId384" Type="http://schemas.openxmlformats.org/officeDocument/2006/relationships/hyperlink" Target="https://www.fantasypros.com/nfl/players/khalil-herbert.php" TargetMode="External"/><Relationship Id="rId141" Type="http://schemas.openxmlformats.org/officeDocument/2006/relationships/hyperlink" Target="https://www.fantasypros.com/nfl/players/matthew-golden.php" TargetMode="External"/><Relationship Id="rId262" Type="http://schemas.openxmlformats.org/officeDocument/2006/relationships/hyperlink" Target="https://www.fantasypros.com/nfl/players/devin-singletary.php" TargetMode="External"/><Relationship Id="rId383" Type="http://schemas.openxmlformats.org/officeDocument/2006/relationships/hyperlink" Target="https://www.fantasypros.com/nfl/players/mo-alie-cox.php" TargetMode="External"/><Relationship Id="rId140" Type="http://schemas.openxmlformats.org/officeDocument/2006/relationships/hyperlink" Target="https://www.fantasypros.com/nfl/players/tyrone-tracy-jr.php" TargetMode="External"/><Relationship Id="rId261" Type="http://schemas.openxmlformats.org/officeDocument/2006/relationships/hyperlink" Target="https://www.fantasypros.com/nfl/players/kendre-miller.php" TargetMode="External"/><Relationship Id="rId382" Type="http://schemas.openxmlformats.org/officeDocument/2006/relationships/hyperlink" Target="https://www.fantasypros.com/nfl/players/jaydn-ott.php" TargetMode="External"/><Relationship Id="rId5" Type="http://schemas.openxmlformats.org/officeDocument/2006/relationships/hyperlink" Target="https://www.fantasypros.com/nfl/players/jayden-daniels.php" TargetMode="External"/><Relationship Id="rId147" Type="http://schemas.openxmlformats.org/officeDocument/2006/relationships/hyperlink" Target="https://www.fantasypros.com/nfl/players/zach-charbonnet.php" TargetMode="External"/><Relationship Id="rId268" Type="http://schemas.openxmlformats.org/officeDocument/2006/relationships/hyperlink" Target="https://www.fantasypros.com/nfl/players/skyler-bell.php" TargetMode="External"/><Relationship Id="rId389" Type="http://schemas.openxmlformats.org/officeDocument/2006/relationships/hyperlink" Target="https://www.fantasypros.com/nfl/players/zavier-scott.php" TargetMode="External"/><Relationship Id="rId6" Type="http://schemas.openxmlformats.org/officeDocument/2006/relationships/hyperlink" Target="https://www.fantasypros.com/nfl/players/jalen-hurts.php" TargetMode="External"/><Relationship Id="rId146" Type="http://schemas.openxmlformats.org/officeDocument/2006/relationships/hyperlink" Target="https://www.fantasypros.com/nfl/players/tua-tagovailoa.php" TargetMode="External"/><Relationship Id="rId267" Type="http://schemas.openxmlformats.org/officeDocument/2006/relationships/hyperlink" Target="https://www.fantasypros.com/nfl/players/adam-randall.php" TargetMode="External"/><Relationship Id="rId388" Type="http://schemas.openxmlformats.org/officeDocument/2006/relationships/hyperlink" Target="https://www.fantasypros.com/nfl/players/tyler-goodson.php" TargetMode="External"/><Relationship Id="rId7" Type="http://schemas.openxmlformats.org/officeDocument/2006/relationships/hyperlink" Target="https://www.fantasypros.com/nfl/players/jamarr-chase.php" TargetMode="External"/><Relationship Id="rId145" Type="http://schemas.openxmlformats.org/officeDocument/2006/relationships/hyperlink" Target="https://www.fantasypros.com/nfl/players/chris-rodriguez-jr.php" TargetMode="External"/><Relationship Id="rId266" Type="http://schemas.openxmlformats.org/officeDocument/2006/relationships/hyperlink" Target="https://www.fantasypros.com/nfl/players/jakobi-lane.php" TargetMode="External"/><Relationship Id="rId387" Type="http://schemas.openxmlformats.org/officeDocument/2006/relationships/hyperlink" Target="https://www.fantasypros.com/nfl/players/joe-milton.php" TargetMode="External"/><Relationship Id="rId8" Type="http://schemas.openxmlformats.org/officeDocument/2006/relationships/hyperlink" Target="https://www.fantasypros.com/nfl/players/puka-nacua.php" TargetMode="External"/><Relationship Id="rId144" Type="http://schemas.openxmlformats.org/officeDocument/2006/relationships/hyperlink" Target="https://www.fantasypros.com/nfl/players/tyjae-spears.php" TargetMode="External"/><Relationship Id="rId265" Type="http://schemas.openxmlformats.org/officeDocument/2006/relationships/hyperlink" Target="https://www.fantasypros.com/nfl/players/jerome-ford.php" TargetMode="External"/><Relationship Id="rId386" Type="http://schemas.openxmlformats.org/officeDocument/2006/relationships/hyperlink" Target="https://www.fantasypros.com/nfl/players/tai-felton.php" TargetMode="External"/><Relationship Id="rId260" Type="http://schemas.openxmlformats.org/officeDocument/2006/relationships/hyperlink" Target="https://www.fantasypros.com/nfl/players/mike-gesicki.php" TargetMode="External"/><Relationship Id="rId381" Type="http://schemas.openxmlformats.org/officeDocument/2006/relationships/hyperlink" Target="https://www.fantasypros.com/nfl/players/roman-wilson-wr.php" TargetMode="External"/><Relationship Id="rId380" Type="http://schemas.openxmlformats.org/officeDocument/2006/relationships/hyperlink" Target="https://www.fantasypros.com/nfl/players/ronnie-rivers.php" TargetMode="External"/><Relationship Id="rId139" Type="http://schemas.openxmlformats.org/officeDocument/2006/relationships/hyperlink" Target="https://www.fantasypros.com/nfl/players/kevin-concepcion.php" TargetMode="External"/><Relationship Id="rId138" Type="http://schemas.openxmlformats.org/officeDocument/2006/relationships/hyperlink" Target="https://www.fantasypros.com/nfl/players/fernando-mendoza.php" TargetMode="External"/><Relationship Id="rId259" Type="http://schemas.openxmlformats.org/officeDocument/2006/relationships/hyperlink" Target="https://www.fantasypros.com/nfl/players/kyle-williams-wr-2025.php" TargetMode="External"/><Relationship Id="rId137" Type="http://schemas.openxmlformats.org/officeDocument/2006/relationships/hyperlink" Target="https://www.fantasypros.com/nfl/players/jalen-coker.php" TargetMode="External"/><Relationship Id="rId258" Type="http://schemas.openxmlformats.org/officeDocument/2006/relationships/hyperlink" Target="https://www.fantasypros.com/nfl/players/mack-hollins.php" TargetMode="External"/><Relationship Id="rId379" Type="http://schemas.openxmlformats.org/officeDocument/2006/relationships/hyperlink" Target="https://www.fantasypros.com/nfl/players/elijah-higgins.php" TargetMode="External"/><Relationship Id="rId132" Type="http://schemas.openxmlformats.org/officeDocument/2006/relationships/hyperlink" Target="https://www.fantasypros.com/nfl/players/xavier-worthy.php" TargetMode="External"/><Relationship Id="rId253" Type="http://schemas.openxmlformats.org/officeDocument/2006/relationships/hyperlink" Target="https://www.fantasypros.com/nfl/players/malik-davis.php" TargetMode="External"/><Relationship Id="rId374" Type="http://schemas.openxmlformats.org/officeDocument/2006/relationships/hyperlink" Target="https://www.fantasypros.com/nfl/players/ty-chandler.php" TargetMode="External"/><Relationship Id="rId495" Type="http://schemas.openxmlformats.org/officeDocument/2006/relationships/hyperlink" Target="https://www.fantasypros.com/nfl/players/pierre-strong-jr.php" TargetMode="External"/><Relationship Id="rId131" Type="http://schemas.openxmlformats.org/officeDocument/2006/relationships/hyperlink" Target="https://www.fantasypros.com/nfl/players/dallas-goedert.php" TargetMode="External"/><Relationship Id="rId252" Type="http://schemas.openxmlformats.org/officeDocument/2006/relationships/hyperlink" Target="https://www.fantasypros.com/nfl/players/devin-neal.php" TargetMode="External"/><Relationship Id="rId373" Type="http://schemas.openxmlformats.org/officeDocument/2006/relationships/hyperlink" Target="https://www.fantasypros.com/nfl/players/malik-benson.php" TargetMode="External"/><Relationship Id="rId494" Type="http://schemas.openxmlformats.org/officeDocument/2006/relationships/hyperlink" Target="https://www.fantasypros.com/nfl/players/cedrick-wilson.php" TargetMode="External"/><Relationship Id="rId130" Type="http://schemas.openxmlformats.org/officeDocument/2006/relationships/hyperlink" Target="https://www.fantasypros.com/nfl/players/isaiah-likely.php" TargetMode="External"/><Relationship Id="rId251" Type="http://schemas.openxmlformats.org/officeDocument/2006/relationships/hyperlink" Target="https://www.fantasypros.com/nfl/players/kaleb-johnson-rb.php" TargetMode="External"/><Relationship Id="rId372" Type="http://schemas.openxmlformats.org/officeDocument/2006/relationships/hyperlink" Target="https://www.fantasypros.com/nfl/players/jaret-patterson.php" TargetMode="External"/><Relationship Id="rId493" Type="http://schemas.openxmlformats.org/officeDocument/2006/relationships/hyperlink" Target="https://www.fantasypros.com/nfl/players/miles-davis.php" TargetMode="External"/><Relationship Id="rId250" Type="http://schemas.openxmlformats.org/officeDocument/2006/relationships/hyperlink" Target="https://www.fantasypros.com/nfl/players/kaelon-black.php" TargetMode="External"/><Relationship Id="rId371" Type="http://schemas.openxmlformats.org/officeDocument/2006/relationships/hyperlink" Target="https://www.fantasypros.com/nfl/players/dylan-laube.php" TargetMode="External"/><Relationship Id="rId492" Type="http://schemas.openxmlformats.org/officeDocument/2006/relationships/hyperlink" Target="https://www.fantasypros.com/nfl/players/barion-brown.php" TargetMode="External"/><Relationship Id="rId136" Type="http://schemas.openxmlformats.org/officeDocument/2006/relationships/hyperlink" Target="https://www.fantasypros.com/nfl/players/romeo-doubs.php" TargetMode="External"/><Relationship Id="rId257" Type="http://schemas.openxmlformats.org/officeDocument/2006/relationships/hyperlink" Target="https://www.fantasypros.com/nfl/players/emari-demercado.php" TargetMode="External"/><Relationship Id="rId378" Type="http://schemas.openxmlformats.org/officeDocument/2006/relationships/hyperlink" Target="https://www.fantasypros.com/nfl/players/cash-jones.php" TargetMode="External"/><Relationship Id="rId499" Type="http://schemas.openxmlformats.org/officeDocument/2006/relationships/hyperlink" Target="https://www.fantasypros.com/nfl/players/jared-wayne.php" TargetMode="External"/><Relationship Id="rId135" Type="http://schemas.openxmlformats.org/officeDocument/2006/relationships/hyperlink" Target="https://www.fantasypros.com/nfl/players/mark-andrews.php" TargetMode="External"/><Relationship Id="rId256" Type="http://schemas.openxmlformats.org/officeDocument/2006/relationships/hyperlink" Target="https://www.fantasypros.com/nfl/players/keenan-allen.php" TargetMode="External"/><Relationship Id="rId377" Type="http://schemas.openxmlformats.org/officeDocument/2006/relationships/hyperlink" Target="https://www.fantasypros.com/nfl/players/scott-miller.php" TargetMode="External"/><Relationship Id="rId498" Type="http://schemas.openxmlformats.org/officeDocument/2006/relationships/hyperlink" Target="https://www.fantasypros.com/nfl/players/liljordan-humphrey.php" TargetMode="External"/><Relationship Id="rId134" Type="http://schemas.openxmlformats.org/officeDocument/2006/relationships/hyperlink" Target="https://www.fantasypros.com/nfl/players/jordan-mason.php" TargetMode="External"/><Relationship Id="rId255" Type="http://schemas.openxmlformats.org/officeDocument/2006/relationships/hyperlink" Target="https://www.fantasypros.com/nfl/players/marquise-brown.php" TargetMode="External"/><Relationship Id="rId376" Type="http://schemas.openxmlformats.org/officeDocument/2006/relationships/hyperlink" Target="https://www.fantasypros.com/nfl/players/tommy-myers.php" TargetMode="External"/><Relationship Id="rId497" Type="http://schemas.openxmlformats.org/officeDocument/2006/relationships/hyperlink" Target="https://www.fantasypros.com/nfl/players/michael-briscoe.php" TargetMode="External"/><Relationship Id="rId133" Type="http://schemas.openxmlformats.org/officeDocument/2006/relationships/hyperlink" Target="https://www.fantasypros.com/nfl/players/jacory-croskeymerritt.php" TargetMode="External"/><Relationship Id="rId254" Type="http://schemas.openxmlformats.org/officeDocument/2006/relationships/hyperlink" Target="https://www.fantasypros.com/nfl/players/oscar-delp.php" TargetMode="External"/><Relationship Id="rId375" Type="http://schemas.openxmlformats.org/officeDocument/2006/relationships/hyperlink" Target="https://www.fantasypros.com/nfl/players/damien-martinez.php" TargetMode="External"/><Relationship Id="rId496" Type="http://schemas.openxmlformats.org/officeDocument/2006/relationships/hyperlink" Target="https://www.fantasypros.com/nfl/players/british-brooks.php" TargetMode="External"/><Relationship Id="rId172" Type="http://schemas.openxmlformats.org/officeDocument/2006/relationships/hyperlink" Target="https://www.fantasypros.com/nfl/players/tre-harris.php" TargetMode="External"/><Relationship Id="rId293" Type="http://schemas.openxmlformats.org/officeDocument/2006/relationships/hyperlink" Target="https://www.fantasypros.com/nfl/players/jalen-royals.php" TargetMode="External"/><Relationship Id="rId171" Type="http://schemas.openxmlformats.org/officeDocument/2006/relationships/hyperlink" Target="https://www.fantasypros.com/nfl/players/dalton-schultz.php" TargetMode="External"/><Relationship Id="rId292" Type="http://schemas.openxmlformats.org/officeDocument/2006/relationships/hyperlink" Target="https://www.fantasypros.com/nfl/players/jahan-dotson.php" TargetMode="External"/><Relationship Id="rId170" Type="http://schemas.openxmlformats.org/officeDocument/2006/relationships/hyperlink" Target="https://www.fantasypros.com/nfl/players/travis-hunter.php" TargetMode="External"/><Relationship Id="rId291" Type="http://schemas.openxmlformats.org/officeDocument/2006/relationships/hyperlink" Target="https://www.fantasypros.com/nfl/players/konata-mumpfield.php" TargetMode="External"/><Relationship Id="rId290" Type="http://schemas.openxmlformats.org/officeDocument/2006/relationships/hyperlink" Target="https://www.fantasypros.com/nfl/players/kareem-hunt.php" TargetMode="External"/><Relationship Id="rId165" Type="http://schemas.openxmlformats.org/officeDocument/2006/relationships/hyperlink" Target="https://www.fantasypros.com/nfl/players/jalen-mcmillan.php" TargetMode="External"/><Relationship Id="rId286" Type="http://schemas.openxmlformats.org/officeDocument/2006/relationships/hyperlink" Target="https://www.fantasypros.com/nfl/players/will-shipley.php" TargetMode="External"/><Relationship Id="rId164" Type="http://schemas.openxmlformats.org/officeDocument/2006/relationships/hyperlink" Target="https://www.fantasypros.com/nfl/players/tre-tucker.php" TargetMode="External"/><Relationship Id="rId285" Type="http://schemas.openxmlformats.org/officeDocument/2006/relationships/hyperlink" Target="https://www.fantasypros.com/nfl/players/cyrus-allen.php" TargetMode="External"/><Relationship Id="rId163" Type="http://schemas.openxmlformats.org/officeDocument/2006/relationships/hyperlink" Target="https://www.fantasypros.com/nfl/players/oronde-gadsden-ii.php" TargetMode="External"/><Relationship Id="rId284" Type="http://schemas.openxmlformats.org/officeDocument/2006/relationships/hyperlink" Target="https://www.fantasypros.com/nfl/players/jalen-tolbert.php" TargetMode="External"/><Relationship Id="rId162" Type="http://schemas.openxmlformats.org/officeDocument/2006/relationships/hyperlink" Target="https://www.fantasypros.com/nfl/players/adonai-mitchell.php" TargetMode="External"/><Relationship Id="rId283" Type="http://schemas.openxmlformats.org/officeDocument/2006/relationships/hyperlink" Target="https://www.fantasypros.com/nfl/players/cedric-tillman.php" TargetMode="External"/><Relationship Id="rId169" Type="http://schemas.openxmlformats.org/officeDocument/2006/relationships/hyperlink" Target="https://www.fantasypros.com/nfl/players/stefon-diggs.php" TargetMode="External"/><Relationship Id="rId168" Type="http://schemas.openxmlformats.org/officeDocument/2006/relationships/hyperlink" Target="https://www.fantasypros.com/nfl/players/tank-bigsby.php" TargetMode="External"/><Relationship Id="rId289" Type="http://schemas.openxmlformats.org/officeDocument/2006/relationships/hyperlink" Target="https://www.fantasypros.com/nfl/players/tez-johnson.php" TargetMode="External"/><Relationship Id="rId167" Type="http://schemas.openxmlformats.org/officeDocument/2006/relationships/hyperlink" Target="https://www.fantasypros.com/nfl/players/jonah-coleman.php" TargetMode="External"/><Relationship Id="rId288" Type="http://schemas.openxmlformats.org/officeDocument/2006/relationships/hyperlink" Target="https://www.fantasypros.com/nfl/players/joe-mixon.php" TargetMode="External"/><Relationship Id="rId166" Type="http://schemas.openxmlformats.org/officeDocument/2006/relationships/hyperlink" Target="https://www.fantasypros.com/nfl/players/brian-robinson-jr.php" TargetMode="External"/><Relationship Id="rId287" Type="http://schemas.openxmlformats.org/officeDocument/2006/relationships/hyperlink" Target="https://www.fantasypros.com/nfl/players/luke-mccaffrey.php" TargetMode="External"/><Relationship Id="rId161" Type="http://schemas.openxmlformats.org/officeDocument/2006/relationships/hyperlink" Target="https://www.fantasypros.com/nfl/players/omar-cooper-jr.php" TargetMode="External"/><Relationship Id="rId282" Type="http://schemas.openxmlformats.org/officeDocument/2006/relationships/hyperlink" Target="https://www.fantasypros.com/nfl/players/caleb-douglas.php" TargetMode="External"/><Relationship Id="rId160" Type="http://schemas.openxmlformats.org/officeDocument/2006/relationships/hyperlink" Target="https://www.fantasypros.com/nfl/players/denzel-boston.php" TargetMode="External"/><Relationship Id="rId281" Type="http://schemas.openxmlformats.org/officeDocument/2006/relationships/hyperlink" Target="https://www.fantasypros.com/nfl/players/audric-estime.php" TargetMode="External"/><Relationship Id="rId280" Type="http://schemas.openxmlformats.org/officeDocument/2006/relationships/hyperlink" Target="https://www.fantasypros.com/nfl/players/darnell-washington.php" TargetMode="External"/><Relationship Id="rId159" Type="http://schemas.openxmlformats.org/officeDocument/2006/relationships/hyperlink" Target="https://www.fantasypros.com/nfl/players/deebo-samuel.php" TargetMode="External"/><Relationship Id="rId154" Type="http://schemas.openxmlformats.org/officeDocument/2006/relationships/hyperlink" Target="https://www.fantasypros.com/nfl/players/brenton-strange.php" TargetMode="External"/><Relationship Id="rId275" Type="http://schemas.openxmlformats.org/officeDocument/2006/relationships/hyperlink" Target="https://www.fantasypros.com/nfl/players/jaleel-mclaughlin.php" TargetMode="External"/><Relationship Id="rId396" Type="http://schemas.openxmlformats.org/officeDocument/2006/relationships/hyperlink" Target="https://www.fantasypros.com/nfl/players/tyler-lockett.php" TargetMode="External"/><Relationship Id="rId153" Type="http://schemas.openxmlformats.org/officeDocument/2006/relationships/hyperlink" Target="https://www.fantasypros.com/nfl/players/isiah-pacheco.php" TargetMode="External"/><Relationship Id="rId274" Type="http://schemas.openxmlformats.org/officeDocument/2006/relationships/hyperlink" Target="https://www.fantasypros.com/nfl/players/trevor-etienne.php" TargetMode="External"/><Relationship Id="rId395" Type="http://schemas.openxmlformats.org/officeDocument/2006/relationships/hyperlink" Target="https://www.fantasypros.com/nfl/players/colbie-young.php" TargetMode="External"/><Relationship Id="rId152" Type="http://schemas.openxmlformats.org/officeDocument/2006/relationships/hyperlink" Target="https://www.fantasypros.com/nfl/players/chigoziem-okonkwo.php" TargetMode="External"/><Relationship Id="rId273" Type="http://schemas.openxmlformats.org/officeDocument/2006/relationships/hyperlink" Target="https://www.fantasypros.com/nfl/players/seth-mcgowan.php" TargetMode="External"/><Relationship Id="rId394" Type="http://schemas.openxmlformats.org/officeDocument/2006/relationships/hyperlink" Target="https://www.fantasypros.com/nfl/players/tanner-koziol.php" TargetMode="External"/><Relationship Id="rId151" Type="http://schemas.openxmlformats.org/officeDocument/2006/relationships/hyperlink" Target="https://www.fantasypros.com/nfl/players/dylan-sampson.php" TargetMode="External"/><Relationship Id="rId272" Type="http://schemas.openxmlformats.org/officeDocument/2006/relationships/hyperlink" Target="https://www.fantasypros.com/nfl/players/jake-tonges.php" TargetMode="External"/><Relationship Id="rId393" Type="http://schemas.openxmlformats.org/officeDocument/2006/relationships/hyperlink" Target="https://www.fantasypros.com/nfl/players/robert-henry-jr.php" TargetMode="External"/><Relationship Id="rId158" Type="http://schemas.openxmlformats.org/officeDocument/2006/relationships/hyperlink" Target="https://www.fantasypros.com/nfl/players/hunter-henry.php" TargetMode="External"/><Relationship Id="rId279" Type="http://schemas.openxmlformats.org/officeDocument/2006/relationships/hyperlink" Target="https://www.fantasypros.com/nfl/players/chris-brazzell-ii.php" TargetMode="External"/><Relationship Id="rId157" Type="http://schemas.openxmlformats.org/officeDocument/2006/relationships/hyperlink" Target="https://www.fantasypros.com/nfl/players/keaton-mitchell.php" TargetMode="External"/><Relationship Id="rId278" Type="http://schemas.openxmlformats.org/officeDocument/2006/relationships/hyperlink" Target="https://www.fantasypros.com/nfl/players/isaac-guerendo.php" TargetMode="External"/><Relationship Id="rId399" Type="http://schemas.openxmlformats.org/officeDocument/2006/relationships/hyperlink" Target="https://www.fantasypros.com/nfl/players/jacob-saylors.php" TargetMode="External"/><Relationship Id="rId156" Type="http://schemas.openxmlformats.org/officeDocument/2006/relationships/hyperlink" Target="https://www.fantasypros.com/nfl/players/jerry-jeudy.php" TargetMode="External"/><Relationship Id="rId277" Type="http://schemas.openxmlformats.org/officeDocument/2006/relationships/hyperlink" Target="https://www.fantasypros.com/nfl/players/jarquez-hunter.php" TargetMode="External"/><Relationship Id="rId398" Type="http://schemas.openxmlformats.org/officeDocument/2006/relationships/hyperlink" Target="https://www.fantasypros.com/nfl/players/jakobie-keeney-james.php" TargetMode="External"/><Relationship Id="rId155" Type="http://schemas.openxmlformats.org/officeDocument/2006/relationships/hyperlink" Target="https://www.fantasypros.com/nfl/players/jauan-jennings.php" TargetMode="External"/><Relationship Id="rId276" Type="http://schemas.openxmlformats.org/officeDocument/2006/relationships/hyperlink" Target="https://www.fantasypros.com/nfl/players/andrei-iosivas.php" TargetMode="External"/><Relationship Id="rId397" Type="http://schemas.openxmlformats.org/officeDocument/2006/relationships/hyperlink" Target="https://www.fantasypros.com/nfl/players/tim-patrick.php" TargetMode="External"/><Relationship Id="rId40" Type="http://schemas.openxmlformats.org/officeDocument/2006/relationships/hyperlink" Target="https://www.fantasypros.com/nfl/players/devonta-smith.php" TargetMode="External"/><Relationship Id="rId42" Type="http://schemas.openxmlformats.org/officeDocument/2006/relationships/hyperlink" Target="https://www.fantasypros.com/nfl/players/saquon-barkley.php" TargetMode="External"/><Relationship Id="rId41" Type="http://schemas.openxmlformats.org/officeDocument/2006/relationships/hyperlink" Target="https://www.fantasypros.com/nfl/players/omarion-hampton.php" TargetMode="External"/><Relationship Id="rId44" Type="http://schemas.openxmlformats.org/officeDocument/2006/relationships/hyperlink" Target="https://www.fantasypros.com/nfl/players/kenneth-walker-rb.php" TargetMode="External"/><Relationship Id="rId43" Type="http://schemas.openxmlformats.org/officeDocument/2006/relationships/hyperlink" Target="https://www.fantasypros.com/nfl/players/baker-mayfield.php" TargetMode="External"/><Relationship Id="rId46" Type="http://schemas.openxmlformats.org/officeDocument/2006/relationships/hyperlink" Target="https://www.fantasypros.com/nfl/players/jordan-love.php" TargetMode="External"/><Relationship Id="rId45" Type="http://schemas.openxmlformats.org/officeDocument/2006/relationships/hyperlink" Target="https://www.fantasypros.com/nfl/players/zay-flowers.php" TargetMode="External"/><Relationship Id="rId509" Type="http://schemas.openxmlformats.org/officeDocument/2006/relationships/hyperlink" Target="https://www.fantasypros.com/nfl/players/michael-wortham.php" TargetMode="External"/><Relationship Id="rId508" Type="http://schemas.openxmlformats.org/officeDocument/2006/relationships/hyperlink" Target="https://www.fantasypros.com/nfl/players/chip-trayanum.php" TargetMode="External"/><Relationship Id="rId503" Type="http://schemas.openxmlformats.org/officeDocument/2006/relationships/hyperlink" Target="https://www.fantasypros.com/nfl/players/diontae-johnson.php" TargetMode="External"/><Relationship Id="rId502" Type="http://schemas.openxmlformats.org/officeDocument/2006/relationships/hyperlink" Target="https://www.fantasypros.com/nfl/players/ian-thomas.php" TargetMode="External"/><Relationship Id="rId501" Type="http://schemas.openxmlformats.org/officeDocument/2006/relationships/hyperlink" Target="https://www.fantasypros.com/nfl/players/maurice-alexander-wr.php" TargetMode="External"/><Relationship Id="rId500" Type="http://schemas.openxmlformats.org/officeDocument/2006/relationships/hyperlink" Target="https://www.fantasypros.com/nfl/players/michael-bandy.php" TargetMode="External"/><Relationship Id="rId507" Type="http://schemas.openxmlformats.org/officeDocument/2006/relationships/hyperlink" Target="https://www.fantasypros.com/nfl/players/will-mallory.php" TargetMode="External"/><Relationship Id="rId506" Type="http://schemas.openxmlformats.org/officeDocument/2006/relationships/hyperlink" Target="https://www.fantasypros.com/nfl/players/tyler-scott-wr.php" TargetMode="External"/><Relationship Id="rId505" Type="http://schemas.openxmlformats.org/officeDocument/2006/relationships/hyperlink" Target="https://www.fantasypros.com/nfl/players/lew-nichols.php" TargetMode="External"/><Relationship Id="rId504" Type="http://schemas.openxmlformats.org/officeDocument/2006/relationships/hyperlink" Target="https://www.fantasypros.com/nfl/players/skyy-moore.php" TargetMode="External"/><Relationship Id="rId48" Type="http://schemas.openxmlformats.org/officeDocument/2006/relationships/hyperlink" Target="https://www.fantasypros.com/nfl/players/garrett-wilson.php" TargetMode="External"/><Relationship Id="rId47" Type="http://schemas.openxmlformats.org/officeDocument/2006/relationships/hyperlink" Target="https://www.fantasypros.com/nfl/players/tyler-shough.php" TargetMode="External"/><Relationship Id="rId49" Type="http://schemas.openxmlformats.org/officeDocument/2006/relationships/hyperlink" Target="https://www.fantasypros.com/nfl/players/tetairoa-mcmillan.php" TargetMode="External"/><Relationship Id="rId31" Type="http://schemas.openxmlformats.org/officeDocument/2006/relationships/hyperlink" Target="https://www.fantasypros.com/nfl/players/jared-goff.php" TargetMode="External"/><Relationship Id="rId30" Type="http://schemas.openxmlformats.org/officeDocument/2006/relationships/hyperlink" Target="https://www.fantasypros.com/nfl/players/chase-brown.php" TargetMode="External"/><Relationship Id="rId33" Type="http://schemas.openxmlformats.org/officeDocument/2006/relationships/hyperlink" Target="https://www.fantasypros.com/nfl/players/trey-mcbride.php" TargetMode="External"/><Relationship Id="rId32" Type="http://schemas.openxmlformats.org/officeDocument/2006/relationships/hyperlink" Target="https://www.fantasypros.com/nfl/players/james-cook.php" TargetMode="External"/><Relationship Id="rId35" Type="http://schemas.openxmlformats.org/officeDocument/2006/relationships/hyperlink" Target="https://www.fantasypros.com/nfl/players/rashee-rice.php" TargetMode="External"/><Relationship Id="rId34" Type="http://schemas.openxmlformats.org/officeDocument/2006/relationships/hyperlink" Target="https://www.fantasypros.com/nfl/players/george-pickens.php" TargetMode="External"/><Relationship Id="rId37" Type="http://schemas.openxmlformats.org/officeDocument/2006/relationships/hyperlink" Target="https://www.fantasypros.com/nfl/players/brock-bowers.php" TargetMode="External"/><Relationship Id="rId36" Type="http://schemas.openxmlformats.org/officeDocument/2006/relationships/hyperlink" Target="https://www.fantasypros.com/nfl/players/devon-achane.php" TargetMode="External"/><Relationship Id="rId39" Type="http://schemas.openxmlformats.org/officeDocument/2006/relationships/hyperlink" Target="https://www.fantasypros.com/nfl/players/kyler-murray.php" TargetMode="External"/><Relationship Id="rId38" Type="http://schemas.openxmlformats.org/officeDocument/2006/relationships/hyperlink" Target="https://www.fantasypros.com/nfl/players/chris-olave.php" TargetMode="External"/><Relationship Id="rId20" Type="http://schemas.openxmlformats.org/officeDocument/2006/relationships/hyperlink" Target="https://www.fantasypros.com/nfl/players/brock-purdy.php" TargetMode="External"/><Relationship Id="rId22" Type="http://schemas.openxmlformats.org/officeDocument/2006/relationships/hyperlink" Target="https://www.fantasypros.com/nfl/players/jonathan-taylor.php" TargetMode="External"/><Relationship Id="rId21" Type="http://schemas.openxmlformats.org/officeDocument/2006/relationships/hyperlink" Target="https://www.fantasypros.com/nfl/players/jaxson-dart.php" TargetMode="External"/><Relationship Id="rId24" Type="http://schemas.openxmlformats.org/officeDocument/2006/relationships/hyperlink" Target="https://www.fantasypros.com/nfl/players/drake-london.php" TargetMode="External"/><Relationship Id="rId23" Type="http://schemas.openxmlformats.org/officeDocument/2006/relationships/hyperlink" Target="https://www.fantasypros.com/nfl/players/bo-nix.php" TargetMode="External"/><Relationship Id="rId409" Type="http://schemas.openxmlformats.org/officeDocument/2006/relationships/hyperlink" Target="https://www.fantasypros.com/nfl/players/jake-browning.php" TargetMode="External"/><Relationship Id="rId404" Type="http://schemas.openxmlformats.org/officeDocument/2006/relationships/hyperlink" Target="https://www.fantasypros.com/nfl/players/kevin-austin.php" TargetMode="External"/><Relationship Id="rId525" Type="http://schemas.openxmlformats.org/officeDocument/2006/relationships/hyperlink" Target="https://www.fantasypros.com/nfl/players/jermaine-burton.php" TargetMode="External"/><Relationship Id="rId403" Type="http://schemas.openxmlformats.org/officeDocument/2006/relationships/hyperlink" Target="https://www.fantasypros.com/nfl/players/miles-sanders.php" TargetMode="External"/><Relationship Id="rId524" Type="http://schemas.openxmlformats.org/officeDocument/2006/relationships/hyperlink" Target="https://www.fantasypros.com/nfl/players/miles-kitselman.php" TargetMode="External"/><Relationship Id="rId402" Type="http://schemas.openxmlformats.org/officeDocument/2006/relationships/hyperlink" Target="https://www.fantasypros.com/nfl/players/jahdae-walker.php" TargetMode="External"/><Relationship Id="rId523" Type="http://schemas.openxmlformats.org/officeDocument/2006/relationships/hyperlink" Target="https://www.fantasypros.com/nfl/players/josh-cameron.php" TargetMode="External"/><Relationship Id="rId401" Type="http://schemas.openxmlformats.org/officeDocument/2006/relationships/hyperlink" Target="https://www.fantasypros.com/nfl/players/marquez-valdesscantling.php" TargetMode="External"/><Relationship Id="rId522" Type="http://schemas.openxmlformats.org/officeDocument/2006/relationships/hyperlink" Target="https://www.fantasypros.com/nfl/players/arian-smith.php" TargetMode="External"/><Relationship Id="rId408" Type="http://schemas.openxmlformats.org/officeDocument/2006/relationships/hyperlink" Target="https://www.fantasypros.com/nfl/players/luke-schoonmaker.php" TargetMode="External"/><Relationship Id="rId529" Type="http://schemas.openxmlformats.org/officeDocument/2006/relationships/hyperlink" Target="https://www.fantasypros.com/nfl/players/justin-watson.php" TargetMode="External"/><Relationship Id="rId407" Type="http://schemas.openxmlformats.org/officeDocument/2006/relationships/hyperlink" Target="https://www.fantasypros.com/nfl/players/jordan-waters.php" TargetMode="External"/><Relationship Id="rId528" Type="http://schemas.openxmlformats.org/officeDocument/2006/relationships/hyperlink" Target="https://www.fantasypros.com/nfl/players/jacob-cowing.php" TargetMode="External"/><Relationship Id="rId406" Type="http://schemas.openxmlformats.org/officeDocument/2006/relationships/hyperlink" Target="https://www.fantasypros.com/nfl/players/adam-trautman.php" TargetMode="External"/><Relationship Id="rId527" Type="http://schemas.openxmlformats.org/officeDocument/2006/relationships/hyperlink" Target="https://www.fantasypros.com/nfl/players/tyler-badie.php" TargetMode="External"/><Relationship Id="rId405" Type="http://schemas.openxmlformats.org/officeDocument/2006/relationships/hyperlink" Target="https://www.fantasypros.com/nfl/players/myles-montgomery.php" TargetMode="External"/><Relationship Id="rId526" Type="http://schemas.openxmlformats.org/officeDocument/2006/relationships/hyperlink" Target="https://www.fantasypros.com/nfl/players/jermar-jefferson.php" TargetMode="External"/><Relationship Id="rId26" Type="http://schemas.openxmlformats.org/officeDocument/2006/relationships/hyperlink" Target="https://www.fantasypros.com/nfl/players/aj-brown.php" TargetMode="External"/><Relationship Id="rId25" Type="http://schemas.openxmlformats.org/officeDocument/2006/relationships/hyperlink" Target="https://www.fantasypros.com/nfl/players/patrick-mahomes.php" TargetMode="External"/><Relationship Id="rId28" Type="http://schemas.openxmlformats.org/officeDocument/2006/relationships/hyperlink" Target="https://www.fantasypros.com/nfl/players/nico-collins.php" TargetMode="External"/><Relationship Id="rId27" Type="http://schemas.openxmlformats.org/officeDocument/2006/relationships/hyperlink" Target="https://www.fantasypros.com/nfl/players/matthew-stafford.php" TargetMode="External"/><Relationship Id="rId400" Type="http://schemas.openxmlformats.org/officeDocument/2006/relationships/hyperlink" Target="https://www.fantasypros.com/nfl/players/antonio-gibson.php" TargetMode="External"/><Relationship Id="rId521" Type="http://schemas.openxmlformats.org/officeDocument/2006/relationships/hyperlink" Target="https://www.fantasypros.com/nfl/players/jalen-reagor.php" TargetMode="External"/><Relationship Id="rId29" Type="http://schemas.openxmlformats.org/officeDocument/2006/relationships/hyperlink" Target="https://www.fantasypros.com/nfl/players/ashton-jeanty.php" TargetMode="External"/><Relationship Id="rId520" Type="http://schemas.openxmlformats.org/officeDocument/2006/relationships/hyperlink" Target="https://www.fantasypros.com/nfl/players/deandre-hopkins.php" TargetMode="External"/><Relationship Id="rId11" Type="http://schemas.openxmlformats.org/officeDocument/2006/relationships/hyperlink" Target="https://www.fantasypros.com/nfl/players/jahmyr-gibbs.php" TargetMode="External"/><Relationship Id="rId10" Type="http://schemas.openxmlformats.org/officeDocument/2006/relationships/hyperlink" Target="https://www.fantasypros.com/nfl/players/justin-herbert.php" TargetMode="External"/><Relationship Id="rId13" Type="http://schemas.openxmlformats.org/officeDocument/2006/relationships/hyperlink" Target="https://www.fantasypros.com/nfl/players/jaxon-smith-njigba.php" TargetMode="External"/><Relationship Id="rId12" Type="http://schemas.openxmlformats.org/officeDocument/2006/relationships/hyperlink" Target="https://www.fantasypros.com/nfl/players/bijan-robinson.php" TargetMode="External"/><Relationship Id="rId519" Type="http://schemas.openxmlformats.org/officeDocument/2006/relationships/hyperlink" Target="https://www.fantasypros.com/nfl/players/michael-burton.php" TargetMode="External"/><Relationship Id="rId514" Type="http://schemas.openxmlformats.org/officeDocument/2006/relationships/hyperlink" Target="https://www.fantasypros.com/nfl/players/jordan-akins.php" TargetMode="External"/><Relationship Id="rId513" Type="http://schemas.openxmlformats.org/officeDocument/2006/relationships/hyperlink" Target="https://www.fantasypros.com/nfl/players/zamir-white.php" TargetMode="External"/><Relationship Id="rId512" Type="http://schemas.openxmlformats.org/officeDocument/2006/relationships/hyperlink" Target="https://www.fantasypros.com/nfl/players/travis-homer.php" TargetMode="External"/><Relationship Id="rId511" Type="http://schemas.openxmlformats.org/officeDocument/2006/relationships/hyperlink" Target="https://www.fantasypros.com/nfl/players/ej-smith.php" TargetMode="External"/><Relationship Id="rId518" Type="http://schemas.openxmlformats.org/officeDocument/2006/relationships/hyperlink" Target="https://www.fantasypros.com/nfl/players/dominic-lovett.php" TargetMode="External"/><Relationship Id="rId517" Type="http://schemas.openxmlformats.org/officeDocument/2006/relationships/hyperlink" Target="https://www.fantasypros.com/nfl/players/nate-adkins.php" TargetMode="External"/><Relationship Id="rId516" Type="http://schemas.openxmlformats.org/officeDocument/2006/relationships/hyperlink" Target="https://www.fantasypros.com/nfl/players/kj-osborn.php" TargetMode="External"/><Relationship Id="rId515" Type="http://schemas.openxmlformats.org/officeDocument/2006/relationships/hyperlink" Target="https://www.fantasypros.com/nfl/players/jordan-watkins.php" TargetMode="External"/><Relationship Id="rId15" Type="http://schemas.openxmlformats.org/officeDocument/2006/relationships/hyperlink" Target="https://www.fantasypros.com/nfl/players/trevor-lawrence.php" TargetMode="External"/><Relationship Id="rId14" Type="http://schemas.openxmlformats.org/officeDocument/2006/relationships/hyperlink" Target="https://www.fantasypros.com/nfl/players/amonra-stbrown.php" TargetMode="External"/><Relationship Id="rId17" Type="http://schemas.openxmlformats.org/officeDocument/2006/relationships/hyperlink" Target="https://www.fantasypros.com/nfl/players/christian-mccaffrey.php" TargetMode="External"/><Relationship Id="rId16" Type="http://schemas.openxmlformats.org/officeDocument/2006/relationships/hyperlink" Target="https://www.fantasypros.com/nfl/players/dak-prescott.php" TargetMode="External"/><Relationship Id="rId19" Type="http://schemas.openxmlformats.org/officeDocument/2006/relationships/hyperlink" Target="https://www.fantasypros.com/nfl/players/justin-jefferson.php" TargetMode="External"/><Relationship Id="rId510" Type="http://schemas.openxmlformats.org/officeDocument/2006/relationships/hyperlink" Target="https://www.fantasypros.com/nfl/players/velus-jonesjr.php" TargetMode="External"/><Relationship Id="rId18" Type="http://schemas.openxmlformats.org/officeDocument/2006/relationships/hyperlink" Target="https://www.fantasypros.com/nfl/players/ceedee-lamb.php" TargetMode="External"/><Relationship Id="rId84" Type="http://schemas.openxmlformats.org/officeDocument/2006/relationships/hyperlink" Target="https://www.fantasypros.com/nfl/players/treveyon-henderson.php" TargetMode="External"/><Relationship Id="rId83" Type="http://schemas.openxmlformats.org/officeDocument/2006/relationships/hyperlink" Target="https://www.fantasypros.com/nfl/players/david-montgomery.php" TargetMode="External"/><Relationship Id="rId86" Type="http://schemas.openxmlformats.org/officeDocument/2006/relationships/hyperlink" Target="https://www.fantasypros.com/nfl/players/bhayshul-tuten.php" TargetMode="External"/><Relationship Id="rId85" Type="http://schemas.openxmlformats.org/officeDocument/2006/relationships/hyperlink" Target="https://www.fantasypros.com/nfl/players/carnell-tate.php" TargetMode="External"/><Relationship Id="rId88" Type="http://schemas.openxmlformats.org/officeDocument/2006/relationships/hyperlink" Target="https://www.fantasypros.com/nfl/players/harold-fannin-jr.php" TargetMode="External"/><Relationship Id="rId87" Type="http://schemas.openxmlformats.org/officeDocument/2006/relationships/hyperlink" Target="https://www.fantasypros.com/nfl/players/marvin-harrison-jr.php" TargetMode="External"/><Relationship Id="rId89" Type="http://schemas.openxmlformats.org/officeDocument/2006/relationships/hyperlink" Target="https://www.fantasypros.com/nfl/players/tucker-kraft.php" TargetMode="External"/><Relationship Id="rId80" Type="http://schemas.openxmlformats.org/officeDocument/2006/relationships/hyperlink" Target="https://www.fantasypros.com/nfl/players/dandre-swift.php" TargetMode="External"/><Relationship Id="rId82" Type="http://schemas.openxmlformats.org/officeDocument/2006/relationships/hyperlink" Target="https://www.fantasypros.com/nfl/players/jacoby-brissett.php" TargetMode="External"/><Relationship Id="rId81" Type="http://schemas.openxmlformats.org/officeDocument/2006/relationships/hyperlink" Target="https://www.fantasypros.com/nfl/players/quinshon-judkins.php" TargetMode="External"/><Relationship Id="rId73" Type="http://schemas.openxmlformats.org/officeDocument/2006/relationships/hyperlink" Target="https://www.fantasypros.com/nfl/players/cam-skattebo.php" TargetMode="External"/><Relationship Id="rId72" Type="http://schemas.openxmlformats.org/officeDocument/2006/relationships/hyperlink" Target="https://www.fantasypros.com/nfl/players/dj-moore-wr.php" TargetMode="External"/><Relationship Id="rId75" Type="http://schemas.openxmlformats.org/officeDocument/2006/relationships/hyperlink" Target="https://www.fantasypros.com/nfl/players/jameson-williams.php" TargetMode="External"/><Relationship Id="rId74" Type="http://schemas.openxmlformats.org/officeDocument/2006/relationships/hyperlink" Target="https://www.fantasypros.com/nfl/players/tyler-warren.php" TargetMode="External"/><Relationship Id="rId77" Type="http://schemas.openxmlformats.org/officeDocument/2006/relationships/hyperlink" Target="https://www.fantasypros.com/nfl/players/christian-watson.php" TargetMode="External"/><Relationship Id="rId76" Type="http://schemas.openxmlformats.org/officeDocument/2006/relationships/hyperlink" Target="https://www.fantasypros.com/nfl/players/bryce-young.php" TargetMode="External"/><Relationship Id="rId79" Type="http://schemas.openxmlformats.org/officeDocument/2006/relationships/hyperlink" Target="https://www.fantasypros.com/nfl/players/bucky-irving.php" TargetMode="External"/><Relationship Id="rId78" Type="http://schemas.openxmlformats.org/officeDocument/2006/relationships/hyperlink" Target="https://www.fantasypros.com/nfl/players/rome-odunze.php" TargetMode="External"/><Relationship Id="rId71" Type="http://schemas.openxmlformats.org/officeDocument/2006/relationships/hyperlink" Target="https://www.fantasypros.com/nfl/players/mike-evans.php" TargetMode="External"/><Relationship Id="rId70" Type="http://schemas.openxmlformats.org/officeDocument/2006/relationships/hyperlink" Target="https://www.fantasypros.com/nfl/players/daniel-jones.php" TargetMode="External"/><Relationship Id="rId62" Type="http://schemas.openxmlformats.org/officeDocument/2006/relationships/hyperlink" Target="https://www.fantasypros.com/nfl/players/terry-mclaurin.php" TargetMode="External"/><Relationship Id="rId61" Type="http://schemas.openxmlformats.org/officeDocument/2006/relationships/hyperlink" Target="https://www.fantasypros.com/nfl/players/cj-stroud.php" TargetMode="External"/><Relationship Id="rId64" Type="http://schemas.openxmlformats.org/officeDocument/2006/relationships/hyperlink" Target="https://www.fantasypros.com/nfl/players/josh-jacobs.php" TargetMode="External"/><Relationship Id="rId63" Type="http://schemas.openxmlformats.org/officeDocument/2006/relationships/hyperlink" Target="https://www.fantasypros.com/nfl/players/sam-darnold.php" TargetMode="External"/><Relationship Id="rId66" Type="http://schemas.openxmlformats.org/officeDocument/2006/relationships/hyperlink" Target="https://www.fantasypros.com/nfl/players/javonte-williams.php" TargetMode="External"/><Relationship Id="rId65" Type="http://schemas.openxmlformats.org/officeDocument/2006/relationships/hyperlink" Target="https://www.fantasypros.com/nfl/players/luther-burden-iii.php" TargetMode="External"/><Relationship Id="rId68" Type="http://schemas.openxmlformats.org/officeDocument/2006/relationships/hyperlink" Target="https://www.fantasypros.com/nfl/players/davante-adams.php" TargetMode="External"/><Relationship Id="rId67" Type="http://schemas.openxmlformats.org/officeDocument/2006/relationships/hyperlink" Target="https://www.fantasypros.com/nfl/players/cam-ward.php" TargetMode="External"/><Relationship Id="rId60" Type="http://schemas.openxmlformats.org/officeDocument/2006/relationships/hyperlink" Target="https://www.fantasypros.com/nfl/players/kyren-williams.php" TargetMode="External"/><Relationship Id="rId69" Type="http://schemas.openxmlformats.org/officeDocument/2006/relationships/hyperlink" Target="https://www.fantasypros.com/nfl/players/travis-etienne.php" TargetMode="External"/><Relationship Id="rId51" Type="http://schemas.openxmlformats.org/officeDocument/2006/relationships/hyperlink" Target="https://www.fantasypros.com/nfl/players/tee-higgins.php" TargetMode="External"/><Relationship Id="rId50" Type="http://schemas.openxmlformats.org/officeDocument/2006/relationships/hyperlink" Target="https://www.fantasypros.com/nfl/players/malik-nabers.php" TargetMode="External"/><Relationship Id="rId53" Type="http://schemas.openxmlformats.org/officeDocument/2006/relationships/hyperlink" Target="https://www.fantasypros.com/nfl/players/malik-willis.php" TargetMode="External"/><Relationship Id="rId52" Type="http://schemas.openxmlformats.org/officeDocument/2006/relationships/hyperlink" Target="https://www.fantasypros.com/nfl/players/ladd-mcconkey.php" TargetMode="External"/><Relationship Id="rId55" Type="http://schemas.openxmlformats.org/officeDocument/2006/relationships/hyperlink" Target="https://www.fantasypros.com/nfl/players/emeka-egbuka.php" TargetMode="External"/><Relationship Id="rId54" Type="http://schemas.openxmlformats.org/officeDocument/2006/relationships/hyperlink" Target="https://www.fantasypros.com/nfl/players/colston-loveland.php" TargetMode="External"/><Relationship Id="rId57" Type="http://schemas.openxmlformats.org/officeDocument/2006/relationships/hyperlink" Target="https://www.fantasypros.com/nfl/players/jeremiyah-love.php" TargetMode="External"/><Relationship Id="rId56" Type="http://schemas.openxmlformats.org/officeDocument/2006/relationships/hyperlink" Target="https://www.fantasypros.com/nfl/players/jaylen-waddle.php" TargetMode="External"/><Relationship Id="rId59" Type="http://schemas.openxmlformats.org/officeDocument/2006/relationships/hyperlink" Target="https://www.fantasypros.com/nfl/players/breece-hall.php" TargetMode="External"/><Relationship Id="rId58" Type="http://schemas.openxmlformats.org/officeDocument/2006/relationships/hyperlink" Target="https://www.fantasypros.com/nfl/players/derrick-henry.php" TargetMode="External"/><Relationship Id="rId107" Type="http://schemas.openxmlformats.org/officeDocument/2006/relationships/hyperlink" Target="https://www.fantasypros.com/nfl/players/jordyn-tyson.php" TargetMode="External"/><Relationship Id="rId228" Type="http://schemas.openxmlformats.org/officeDocument/2006/relationships/hyperlink" Target="https://www.fantasypros.com/nfl/players/george-holani.php" TargetMode="External"/><Relationship Id="rId349" Type="http://schemas.openxmlformats.org/officeDocument/2006/relationships/hyperlink" Target="https://www.fantasypros.com/nfl/players/charlie-kolar.php" TargetMode="External"/><Relationship Id="rId106" Type="http://schemas.openxmlformats.org/officeDocument/2006/relationships/hyperlink" Target="https://www.fantasypros.com/nfl/players/josh-downs.php" TargetMode="External"/><Relationship Id="rId227" Type="http://schemas.openxmlformats.org/officeDocument/2006/relationships/hyperlink" Target="https://www.fantasypros.com/nfl/players/chris-bell.php" TargetMode="External"/><Relationship Id="rId348" Type="http://schemas.openxmlformats.org/officeDocument/2006/relationships/hyperlink" Target="https://www.fantasypros.com/nfl/players/deion-burks.php" TargetMode="External"/><Relationship Id="rId469" Type="http://schemas.openxmlformats.org/officeDocument/2006/relationships/hyperlink" Target="https://www.fantasypros.com/nfl/players/ben-skowronek.php" TargetMode="External"/><Relationship Id="rId105" Type="http://schemas.openxmlformats.org/officeDocument/2006/relationships/hyperlink" Target="https://www.fantasypros.com/nfl/players/wandale-robinson.php" TargetMode="External"/><Relationship Id="rId226" Type="http://schemas.openxmlformats.org/officeDocument/2006/relationships/hyperlink" Target="https://www.fantasypros.com/nfl/players/tory-horton.php" TargetMode="External"/><Relationship Id="rId347" Type="http://schemas.openxmlformats.org/officeDocument/2006/relationships/hyperlink" Target="https://www.fantasypros.com/nfl/players/dyami-brown.php" TargetMode="External"/><Relationship Id="rId468" Type="http://schemas.openxmlformats.org/officeDocument/2006/relationships/hyperlink" Target="https://www.fantasypros.com/nfl/players/mason-tipton.php" TargetMode="External"/><Relationship Id="rId104" Type="http://schemas.openxmlformats.org/officeDocument/2006/relationships/hyperlink" Target="https://www.fantasypros.com/nfl/players/chuba-hubbard.php" TargetMode="External"/><Relationship Id="rId225" Type="http://schemas.openxmlformats.org/officeDocument/2006/relationships/hyperlink" Target="https://www.fantasypros.com/nfl/players/isaiah-davis.php" TargetMode="External"/><Relationship Id="rId346" Type="http://schemas.openxmlformats.org/officeDocument/2006/relationships/hyperlink" Target="https://www.fantasypros.com/nfl/players/greg-dortch.php" TargetMode="External"/><Relationship Id="rId467" Type="http://schemas.openxmlformats.org/officeDocument/2006/relationships/hyperlink" Target="https://www.fantasypros.com/nfl/players/bub-means.php" TargetMode="External"/><Relationship Id="rId109" Type="http://schemas.openxmlformats.org/officeDocument/2006/relationships/hyperlink" Target="https://www.fantasypros.com/nfl/players/michael-wilson.php" TargetMode="External"/><Relationship Id="rId108" Type="http://schemas.openxmlformats.org/officeDocument/2006/relationships/hyperlink" Target="https://www.fantasypros.com/nfl/players/rico-dowdle.php" TargetMode="External"/><Relationship Id="rId229" Type="http://schemas.openxmlformats.org/officeDocument/2006/relationships/hyperlink" Target="https://www.fantasypros.com/nfl/players/christian-kirk.php" TargetMode="External"/><Relationship Id="rId220" Type="http://schemas.openxmlformats.org/officeDocument/2006/relationships/hyperlink" Target="https://www.fantasypros.com/nfl/players/jack-bech.php" TargetMode="External"/><Relationship Id="rId341" Type="http://schemas.openxmlformats.org/officeDocument/2006/relationships/hyperlink" Target="https://www.fantasypros.com/nfl/players/ben-sinnott.php" TargetMode="External"/><Relationship Id="rId462" Type="http://schemas.openxmlformats.org/officeDocument/2006/relationships/hyperlink" Target="https://www.fantasypros.com/nfl/players/josh-reynolds.php" TargetMode="External"/><Relationship Id="rId340" Type="http://schemas.openxmlformats.org/officeDocument/2006/relationships/hyperlink" Target="https://www.fantasypros.com/nfl/players/zavion-thomas.php" TargetMode="External"/><Relationship Id="rId461" Type="http://schemas.openxmlformats.org/officeDocument/2006/relationships/hyperlink" Target="https://www.fantasypros.com/nfl/players/jabari-small.php" TargetMode="External"/><Relationship Id="rId460" Type="http://schemas.openxmlformats.org/officeDocument/2006/relationships/hyperlink" Target="https://www.fantasypros.com/nfl/players/tanner-hudson.php" TargetMode="External"/><Relationship Id="rId103" Type="http://schemas.openxmlformats.org/officeDocument/2006/relationships/hyperlink" Target="https://www.fantasypros.com/nfl/players/sam-laporta.php" TargetMode="External"/><Relationship Id="rId224" Type="http://schemas.openxmlformats.org/officeDocument/2006/relationships/hyperlink" Target="https://www.fantasypros.com/nfl/players/colby-parkinson.php" TargetMode="External"/><Relationship Id="rId345" Type="http://schemas.openxmlformats.org/officeDocument/2006/relationships/hyperlink" Target="https://www.fantasypros.com/nfl/players/austin-ekeler.php" TargetMode="External"/><Relationship Id="rId466" Type="http://schemas.openxmlformats.org/officeDocument/2006/relationships/hyperlink" Target="https://www.fantasypros.com/nfl/players/jaheim-bell.php" TargetMode="External"/><Relationship Id="rId102" Type="http://schemas.openxmlformats.org/officeDocument/2006/relationships/hyperlink" Target="https://www.fantasypros.com/nfl/players/geno-smith.php" TargetMode="External"/><Relationship Id="rId223" Type="http://schemas.openxmlformats.org/officeDocument/2006/relationships/hyperlink" Target="https://www.fantasypros.com/nfl/players/elic-ayomanor.php" TargetMode="External"/><Relationship Id="rId344" Type="http://schemas.openxmlformats.org/officeDocument/2006/relationships/hyperlink" Target="https://www.fantasypros.com/nfl/players/jam-miller.php" TargetMode="External"/><Relationship Id="rId465" Type="http://schemas.openxmlformats.org/officeDocument/2006/relationships/hyperlink" Target="https://www.fantasypros.com/nfl/players/van-jefferson.php" TargetMode="External"/><Relationship Id="rId101" Type="http://schemas.openxmlformats.org/officeDocument/2006/relationships/hyperlink" Target="https://www.fantasypros.com/nfl/players/tony-pollard.php" TargetMode="External"/><Relationship Id="rId222" Type="http://schemas.openxmlformats.org/officeDocument/2006/relationships/hyperlink" Target="https://www.fantasypros.com/nfl/players/keon-coleman.php" TargetMode="External"/><Relationship Id="rId343" Type="http://schemas.openxmlformats.org/officeDocument/2006/relationships/hyperlink" Target="https://www.fantasypros.com/nfl/players/ty-simpson.php" TargetMode="External"/><Relationship Id="rId464" Type="http://schemas.openxmlformats.org/officeDocument/2006/relationships/hyperlink" Target="https://www.fantasypros.com/nfl/players/kendrick-law.php" TargetMode="External"/><Relationship Id="rId100" Type="http://schemas.openxmlformats.org/officeDocument/2006/relationships/hyperlink" Target="https://www.fantasypros.com/nfl/players/rhamondre-stevenson.php" TargetMode="External"/><Relationship Id="rId221" Type="http://schemas.openxmlformats.org/officeDocument/2006/relationships/hyperlink" Target="https://www.fantasypros.com/nfl/players/justice-hill.php" TargetMode="External"/><Relationship Id="rId342" Type="http://schemas.openxmlformats.org/officeDocument/2006/relationships/hyperlink" Target="https://www.fantasypros.com/nfl/players/john-bates.php" TargetMode="External"/><Relationship Id="rId463" Type="http://schemas.openxmlformats.org/officeDocument/2006/relationships/hyperlink" Target="https://www.fantasypros.com/nfl/players/jeremy-ruckert.php" TargetMode="External"/><Relationship Id="rId217" Type="http://schemas.openxmlformats.org/officeDocument/2006/relationships/hyperlink" Target="https://www.fantasypros.com/nfl/players/evan-engram.php" TargetMode="External"/><Relationship Id="rId338" Type="http://schemas.openxmlformats.org/officeDocument/2006/relationships/hyperlink" Target="https://www.fantasypros.com/nfl/players/tommy-tremble.php" TargetMode="External"/><Relationship Id="rId459" Type="http://schemas.openxmlformats.org/officeDocument/2006/relationships/hyperlink" Target="https://www.fantasypros.com/nfl/players/moliki-matavao.php" TargetMode="External"/><Relationship Id="rId216" Type="http://schemas.openxmlformats.org/officeDocument/2006/relationships/hyperlink" Target="https://www.fantasypros.com/nfl/players/david-njoku.php" TargetMode="External"/><Relationship Id="rId337" Type="http://schemas.openxmlformats.org/officeDocument/2006/relationships/hyperlink" Target="https://www.fantasypros.com/nfl/players/jordan-whittington.php" TargetMode="External"/><Relationship Id="rId458" Type="http://schemas.openxmlformats.org/officeDocument/2006/relationships/hyperlink" Target="https://www.fantasypros.com/nfl/players/isaiah-williams.php" TargetMode="External"/><Relationship Id="rId215" Type="http://schemas.openxmlformats.org/officeDocument/2006/relationships/hyperlink" Target="https://www.fantasypros.com/nfl/players/jaydon-blue.php" TargetMode="External"/><Relationship Id="rId336" Type="http://schemas.openxmlformats.org/officeDocument/2006/relationships/hyperlink" Target="https://www.fantasypros.com/nfl/players/phil-mafah.php" TargetMode="External"/><Relationship Id="rId457" Type="http://schemas.openxmlformats.org/officeDocument/2006/relationships/hyperlink" Target="https://www.fantasypros.com/nfl/players/tyler-conklin.php" TargetMode="External"/><Relationship Id="rId214" Type="http://schemas.openxmlformats.org/officeDocument/2006/relationships/hyperlink" Target="https://www.fantasypros.com/nfl/players/terrance-ferguson.php" TargetMode="External"/><Relationship Id="rId335" Type="http://schemas.openxmlformats.org/officeDocument/2006/relationships/hyperlink" Target="https://www.fantasypros.com/nfl/players/mac-jones.php" TargetMode="External"/><Relationship Id="rId456" Type="http://schemas.openxmlformats.org/officeDocument/2006/relationships/hyperlink" Target="https://www.fantasypros.com/nfl/players/max-bredeson.php" TargetMode="External"/><Relationship Id="rId219" Type="http://schemas.openxmlformats.org/officeDocument/2006/relationships/hyperlink" Target="https://www.fantasypros.com/nfl/players/greg-dulcich.php" TargetMode="External"/><Relationship Id="rId218" Type="http://schemas.openxmlformats.org/officeDocument/2006/relationships/hyperlink" Target="https://www.fantasypros.com/nfl/players/ollie-gordon.php" TargetMode="External"/><Relationship Id="rId339" Type="http://schemas.openxmlformats.org/officeDocument/2006/relationships/hyperlink" Target="https://www.fantasypros.com/nfl/players/devontez-walker.php" TargetMode="External"/><Relationship Id="rId330" Type="http://schemas.openxmlformats.org/officeDocument/2006/relationships/hyperlink" Target="https://www.fantasypros.com/nfl/players/kavontae-turpin.php" TargetMode="External"/><Relationship Id="rId451" Type="http://schemas.openxmlformats.org/officeDocument/2006/relationships/hyperlink" Target="https://www.fantasypros.com/nfl/players/sincere-mccormick.php" TargetMode="External"/><Relationship Id="rId450" Type="http://schemas.openxmlformats.org/officeDocument/2006/relationships/hyperlink" Target="https://www.fantasypros.com/nfl/players/aj-dillon.php" TargetMode="External"/><Relationship Id="rId213" Type="http://schemas.openxmlformats.org/officeDocument/2006/relationships/hyperlink" Target="https://www.fantasypros.com/nfl/players/germie-bernard.php" TargetMode="External"/><Relationship Id="rId334" Type="http://schemas.openxmlformats.org/officeDocument/2006/relationships/hyperlink" Target="https://www.fantasypros.com/nfl/players/savion-williams.php" TargetMode="External"/><Relationship Id="rId455" Type="http://schemas.openxmlformats.org/officeDocument/2006/relationships/hyperlink" Target="https://www.fantasypros.com/nfl/players/theo-wease-jr.php" TargetMode="External"/><Relationship Id="rId212" Type="http://schemas.openxmlformats.org/officeDocument/2006/relationships/hyperlink" Target="https://www.fantasypros.com/nfl/players/jaylen-wright.php" TargetMode="External"/><Relationship Id="rId333" Type="http://schemas.openxmlformats.org/officeDocument/2006/relationships/hyperlink" Target="https://www.fantasypros.com/nfl/players/kevin-coleman-jr.php" TargetMode="External"/><Relationship Id="rId454" Type="http://schemas.openxmlformats.org/officeDocument/2006/relationships/hyperlink" Target="https://www.fantasypros.com/nfl/players/elijah-moore.php" TargetMode="External"/><Relationship Id="rId211" Type="http://schemas.openxmlformats.org/officeDocument/2006/relationships/hyperlink" Target="https://www.fantasypros.com/nfl/players/chimere-dike.php" TargetMode="External"/><Relationship Id="rId332" Type="http://schemas.openxmlformats.org/officeDocument/2006/relationships/hyperlink" Target="https://www.fantasypros.com/nfl/players/nick-westbrook.php" TargetMode="External"/><Relationship Id="rId453" Type="http://schemas.openxmlformats.org/officeDocument/2006/relationships/hyperlink" Target="https://www.fantasypros.com/nfl/players/russell-gage.php" TargetMode="External"/><Relationship Id="rId210" Type="http://schemas.openxmlformats.org/officeDocument/2006/relationships/hyperlink" Target="https://www.fantasypros.com/nfl/players/marshawn-lloyd.php" TargetMode="External"/><Relationship Id="rId331" Type="http://schemas.openxmlformats.org/officeDocument/2006/relationships/hyperlink" Target="https://www.fantasypros.com/nfl/players/luke-musgrave.php" TargetMode="External"/><Relationship Id="rId452" Type="http://schemas.openxmlformats.org/officeDocument/2006/relationships/hyperlink" Target="https://www.fantasypros.com/nfl/players/isaiah-williams-wr.php" TargetMode="External"/><Relationship Id="rId370" Type="http://schemas.openxmlformats.org/officeDocument/2006/relationships/hyperlink" Target="https://www.fantasypros.com/nfl/players/cj-daniels.php" TargetMode="External"/><Relationship Id="rId491" Type="http://schemas.openxmlformats.org/officeDocument/2006/relationships/hyperlink" Target="https://www.fantasypros.com/nfl/players/montorie-foster-jr.php" TargetMode="External"/><Relationship Id="rId490" Type="http://schemas.openxmlformats.org/officeDocument/2006/relationships/hyperlink" Target="https://www.fantasypros.com/nfl/players/brock-wright.php" TargetMode="External"/><Relationship Id="rId129" Type="http://schemas.openxmlformats.org/officeDocument/2006/relationships/hyperlink" Target="https://www.fantasypros.com/nfl/players/khalil-shakir.php" TargetMode="External"/><Relationship Id="rId128" Type="http://schemas.openxmlformats.org/officeDocument/2006/relationships/hyperlink" Target="https://www.fantasypros.com/nfl/players/jayden-higgins.php" TargetMode="External"/><Relationship Id="rId249" Type="http://schemas.openxmlformats.org/officeDocument/2006/relationships/hyperlink" Target="https://www.fantasypros.com/nfl/players/devaughn-vele.php" TargetMode="External"/><Relationship Id="rId127" Type="http://schemas.openxmlformats.org/officeDocument/2006/relationships/hyperlink" Target="https://www.fantasypros.com/nfl/players/dalton-kincaid.php" TargetMode="External"/><Relationship Id="rId248" Type="http://schemas.openxmlformats.org/officeDocument/2006/relationships/hyperlink" Target="https://www.fantasypros.com/nfl/players/trey-benson.php" TargetMode="External"/><Relationship Id="rId369" Type="http://schemas.openxmlformats.org/officeDocument/2006/relationships/hyperlink" Target="https://www.fantasypros.com/nfl/players/marlin-klein.php" TargetMode="External"/><Relationship Id="rId126" Type="http://schemas.openxmlformats.org/officeDocument/2006/relationships/hyperlink" Target="https://www.fantasypros.com/nfl/players/jonathon-brooks.php" TargetMode="External"/><Relationship Id="rId247" Type="http://schemas.openxmlformats.org/officeDocument/2006/relationships/hyperlink" Target="https://www.fantasypros.com/nfl/players/lequint-allen-jr.php" TargetMode="External"/><Relationship Id="rId368" Type="http://schemas.openxmlformats.org/officeDocument/2006/relationships/hyperlink" Target="https://www.fantasypros.com/nfl/players/demarcus-robinson.php" TargetMode="External"/><Relationship Id="rId489" Type="http://schemas.openxmlformats.org/officeDocument/2006/relationships/hyperlink" Target="https://www.fantasypros.com/nfl/players/david-sills.php" TargetMode="External"/><Relationship Id="rId121" Type="http://schemas.openxmlformats.org/officeDocument/2006/relationships/hyperlink" Target="https://www.fantasypros.com/nfl/players/george-kittle.php" TargetMode="External"/><Relationship Id="rId242" Type="http://schemas.openxmlformats.org/officeDocument/2006/relationships/hyperlink" Target="https://www.fantasypros.com/nfl/players/xavier-legette.php" TargetMode="External"/><Relationship Id="rId363" Type="http://schemas.openxmlformats.org/officeDocument/2006/relationships/hyperlink" Target="https://www.fantasypros.com/nfl/players/roschon-johnson.php" TargetMode="External"/><Relationship Id="rId484" Type="http://schemas.openxmlformats.org/officeDocument/2006/relationships/hyperlink" Target="https://www.fantasypros.com/nfl/players/will-dissly.php" TargetMode="External"/><Relationship Id="rId120" Type="http://schemas.openxmlformats.org/officeDocument/2006/relationships/hyperlink" Target="https://www.fantasypros.com/nfl/players/rachaad-white.php" TargetMode="External"/><Relationship Id="rId241" Type="http://schemas.openxmlformats.org/officeDocument/2006/relationships/hyperlink" Target="https://www.fantasypros.com/nfl/players/mason-taylor.php" TargetMode="External"/><Relationship Id="rId362" Type="http://schemas.openxmlformats.org/officeDocument/2006/relationships/hyperlink" Target="https://www.fantasypros.com/nfl/players/darren-waller.php" TargetMode="External"/><Relationship Id="rId483" Type="http://schemas.openxmlformats.org/officeDocument/2006/relationships/hyperlink" Target="https://www.fantasypros.com/nfl/players/dontae-mcmillan.php" TargetMode="External"/><Relationship Id="rId240" Type="http://schemas.openxmlformats.org/officeDocument/2006/relationships/hyperlink" Target="https://www.fantasypros.com/nfl/players/tyquan-thornton.php" TargetMode="External"/><Relationship Id="rId361" Type="http://schemas.openxmlformats.org/officeDocument/2006/relationships/hyperlink" Target="https://www.fantasypros.com/nfl/players/zach-ertz.php" TargetMode="External"/><Relationship Id="rId482" Type="http://schemas.openxmlformats.org/officeDocument/2006/relationships/hyperlink" Target="https://www.fantasypros.com/nfl/players/ronnie-bell.php" TargetMode="External"/><Relationship Id="rId360" Type="http://schemas.openxmlformats.org/officeDocument/2006/relationships/hyperlink" Target="https://www.fantasypros.com/nfl/players/justin-fields.php" TargetMode="External"/><Relationship Id="rId481" Type="http://schemas.openxmlformats.org/officeDocument/2006/relationships/hyperlink" Target="https://www.fantasypros.com/nfl/players/dean-connors.php" TargetMode="External"/><Relationship Id="rId125" Type="http://schemas.openxmlformats.org/officeDocument/2006/relationships/hyperlink" Target="https://www.fantasypros.com/nfl/players/aaron-jones.php" TargetMode="External"/><Relationship Id="rId246" Type="http://schemas.openxmlformats.org/officeDocument/2006/relationships/hyperlink" Target="https://www.fantasypros.com/nfl/players/samaje-perine.php" TargetMode="External"/><Relationship Id="rId367" Type="http://schemas.openxmlformats.org/officeDocument/2006/relationships/hyperlink" Target="https://www.fantasypros.com/nfl/players/mitchell-tinsley.php" TargetMode="External"/><Relationship Id="rId488" Type="http://schemas.openxmlformats.org/officeDocument/2006/relationships/hyperlink" Target="https://www.fantasypros.com/nfl/players/jameis-winston.php" TargetMode="External"/><Relationship Id="rId124" Type="http://schemas.openxmlformats.org/officeDocument/2006/relationships/hyperlink" Target="https://www.fantasypros.com/nfl/players/jake-ferguson.php" TargetMode="External"/><Relationship Id="rId245" Type="http://schemas.openxmlformats.org/officeDocument/2006/relationships/hyperlink" Target="https://www.fantasypros.com/nfl/players/theo-johnson.php" TargetMode="External"/><Relationship Id="rId366" Type="http://schemas.openxmlformats.org/officeDocument/2006/relationships/hyperlink" Target="https://www.fantasypros.com/nfl/players/jonnu-smith.php" TargetMode="External"/><Relationship Id="rId487" Type="http://schemas.openxmlformats.org/officeDocument/2006/relationships/hyperlink" Target="https://www.fantasypros.com/nfl/players/myles-price.php" TargetMode="External"/><Relationship Id="rId123" Type="http://schemas.openxmlformats.org/officeDocument/2006/relationships/hyperlink" Target="https://www.fantasypros.com/nfl/players/blake-corum.php" TargetMode="External"/><Relationship Id="rId244" Type="http://schemas.openxmlformats.org/officeDocument/2006/relationships/hyperlink" Target="https://www.fantasypros.com/nfl/players/brandon-aiyuk.php" TargetMode="External"/><Relationship Id="rId365" Type="http://schemas.openxmlformats.org/officeDocument/2006/relationships/hyperlink" Target="https://www.fantasypros.com/nfl/players/marcus-mariota.php" TargetMode="External"/><Relationship Id="rId486" Type="http://schemas.openxmlformats.org/officeDocument/2006/relationships/hyperlink" Target="https://www.fantasypros.com/nfl/players/tahj-washington.php" TargetMode="External"/><Relationship Id="rId122" Type="http://schemas.openxmlformats.org/officeDocument/2006/relationships/hyperlink" Target="https://www.fantasypros.com/nfl/players/jayden-reed.php" TargetMode="External"/><Relationship Id="rId243" Type="http://schemas.openxmlformats.org/officeDocument/2006/relationships/hyperlink" Target="https://www.fantasypros.com/nfl/players/dj-giddens.php" TargetMode="External"/><Relationship Id="rId364" Type="http://schemas.openxmlformats.org/officeDocument/2006/relationships/hyperlink" Target="https://www.fantasypros.com/nfl/players/hunter-luepke.php" TargetMode="External"/><Relationship Id="rId485" Type="http://schemas.openxmlformats.org/officeDocument/2006/relationships/hyperlink" Target="https://www.fantasypros.com/nfl/players/jimmy-horn-jr.php" TargetMode="External"/><Relationship Id="rId95" Type="http://schemas.openxmlformats.org/officeDocument/2006/relationships/hyperlink" Target="https://www.fantasypros.com/nfl/players/chris-godwin.php" TargetMode="External"/><Relationship Id="rId94" Type="http://schemas.openxmlformats.org/officeDocument/2006/relationships/hyperlink" Target="https://www.fantasypros.com/nfl/players/parker-washington.php" TargetMode="External"/><Relationship Id="rId97" Type="http://schemas.openxmlformats.org/officeDocument/2006/relationships/hyperlink" Target="https://www.fantasypros.com/nfl/players/michael-pittman.php" TargetMode="External"/><Relationship Id="rId96" Type="http://schemas.openxmlformats.org/officeDocument/2006/relationships/hyperlink" Target="https://www.fantasypros.com/nfl/players/kyle-pitts.php" TargetMode="External"/><Relationship Id="rId99" Type="http://schemas.openxmlformats.org/officeDocument/2006/relationships/hyperlink" Target="https://www.fantasypros.com/nfl/players/alec-pierce.php" TargetMode="External"/><Relationship Id="rId480" Type="http://schemas.openxmlformats.org/officeDocument/2006/relationships/hyperlink" Target="https://www.fantasypros.com/nfl/players/kye-robichaux.php" TargetMode="External"/><Relationship Id="rId98" Type="http://schemas.openxmlformats.org/officeDocument/2006/relationships/hyperlink" Target="https://www.fantasypros.com/nfl/players/courtland-sutton.php" TargetMode="External"/><Relationship Id="rId91" Type="http://schemas.openxmlformats.org/officeDocument/2006/relationships/hyperlink" Target="https://www.fantasypros.com/nfl/players/brian-thomas-jr.php" TargetMode="External"/><Relationship Id="rId90" Type="http://schemas.openxmlformats.org/officeDocument/2006/relationships/hyperlink" Target="https://www.fantasypros.com/nfl/players/jaylen-warren.php" TargetMode="External"/><Relationship Id="rId93" Type="http://schemas.openxmlformats.org/officeDocument/2006/relationships/hyperlink" Target="https://www.fantasypros.com/nfl/players/dk-metcalf.php" TargetMode="External"/><Relationship Id="rId92" Type="http://schemas.openxmlformats.org/officeDocument/2006/relationships/hyperlink" Target="https://www.fantasypros.com/nfl/players/jadarian-price.php" TargetMode="External"/><Relationship Id="rId118" Type="http://schemas.openxmlformats.org/officeDocument/2006/relationships/hyperlink" Target="https://www.fantasypros.com/nfl/players/kyle-monangai.php" TargetMode="External"/><Relationship Id="rId239" Type="http://schemas.openxmlformats.org/officeDocument/2006/relationships/hyperlink" Target="https://www.fantasypros.com/nfl/players/marvin-mims.php" TargetMode="External"/><Relationship Id="rId117" Type="http://schemas.openxmlformats.org/officeDocument/2006/relationships/hyperlink" Target="https://www.fantasypros.com/nfl/players/makai-lemon.php" TargetMode="External"/><Relationship Id="rId238" Type="http://schemas.openxmlformats.org/officeDocument/2006/relationships/hyperlink" Target="https://www.fantasypros.com/nfl/players/jordan-james.php" TargetMode="External"/><Relationship Id="rId359" Type="http://schemas.openxmlformats.org/officeDocument/2006/relationships/hyperlink" Target="https://www.fantasypros.com/nfl/players/terrell-jennings.php" TargetMode="External"/><Relationship Id="rId116" Type="http://schemas.openxmlformats.org/officeDocument/2006/relationships/hyperlink" Target="https://www.fantasypros.com/nfl/players/jk-dobbins.php" TargetMode="External"/><Relationship Id="rId237" Type="http://schemas.openxmlformats.org/officeDocument/2006/relationships/hyperlink" Target="https://www.fantasypros.com/nfl/players/christopher-brooks.php" TargetMode="External"/><Relationship Id="rId358" Type="http://schemas.openxmlformats.org/officeDocument/2006/relationships/hyperlink" Target="https://www.fantasypros.com/nfl/players/anthony-richardson.php" TargetMode="External"/><Relationship Id="rId479" Type="http://schemas.openxmlformats.org/officeDocument/2006/relationships/hyperlink" Target="https://www.fantasypros.com/nfl/players/kalel-mullings.php" TargetMode="External"/><Relationship Id="rId115" Type="http://schemas.openxmlformats.org/officeDocument/2006/relationships/hyperlink" Target="https://www.fantasypros.com/nfl/players/kenneth-gainwell.php" TargetMode="External"/><Relationship Id="rId236" Type="http://schemas.openxmlformats.org/officeDocument/2006/relationships/hyperlink" Target="https://www.fantasypros.com/nfl/players/ted-hurst.php" TargetMode="External"/><Relationship Id="rId357" Type="http://schemas.openxmlformats.org/officeDocument/2006/relationships/hyperlink" Target="https://www.fantasypros.com/nfl/players/dameon-pierce.php" TargetMode="External"/><Relationship Id="rId478" Type="http://schemas.openxmlformats.org/officeDocument/2006/relationships/hyperlink" Target="https://www.fantasypros.com/nfl/players/quez-watkins.php" TargetMode="External"/><Relationship Id="rId119" Type="http://schemas.openxmlformats.org/officeDocument/2006/relationships/hyperlink" Target="https://www.fantasypros.com/nfl/players/jordan-addison.php" TargetMode="External"/><Relationship Id="rId110" Type="http://schemas.openxmlformats.org/officeDocument/2006/relationships/hyperlink" Target="https://www.fantasypros.com/nfl/players/rj-harvey.php" TargetMode="External"/><Relationship Id="rId231" Type="http://schemas.openxmlformats.org/officeDocument/2006/relationships/hyperlink" Target="https://www.fantasypros.com/nfl/players/elijah-sarratt.php" TargetMode="External"/><Relationship Id="rId352" Type="http://schemas.openxmlformats.org/officeDocument/2006/relationships/hyperlink" Target="https://www.fantasypros.com/nfl/players/sione-vaki.php" TargetMode="External"/><Relationship Id="rId473" Type="http://schemas.openxmlformats.org/officeDocument/2006/relationships/hyperlink" Target="https://www.fantasypros.com/nfl/players/coleman-owen.php" TargetMode="External"/><Relationship Id="rId230" Type="http://schemas.openxmlformats.org/officeDocument/2006/relationships/hyperlink" Target="https://www.fantasypros.com/nfl/players/ty-johnson.php" TargetMode="External"/><Relationship Id="rId351" Type="http://schemas.openxmlformats.org/officeDocument/2006/relationships/hyperlink" Target="https://www.fantasypros.com/nfl/players/ashton-dulin.php" TargetMode="External"/><Relationship Id="rId472" Type="http://schemas.openxmlformats.org/officeDocument/2006/relationships/hyperlink" Target="https://www.fantasypros.com/nfl/players/nate-carter.php" TargetMode="External"/><Relationship Id="rId350" Type="http://schemas.openxmlformats.org/officeDocument/2006/relationships/hyperlink" Target="https://www.fantasypros.com/nfl/players/rasheen-ali.php" TargetMode="External"/><Relationship Id="rId471" Type="http://schemas.openxmlformats.org/officeDocument/2006/relationships/hyperlink" Target="https://www.fantasypros.com/nfl/players/terrace-marshall.php" TargetMode="External"/><Relationship Id="rId470" Type="http://schemas.openxmlformats.org/officeDocument/2006/relationships/hyperlink" Target="https://www.fantasypros.com/nfl/players/adam-prentice.php" TargetMode="External"/><Relationship Id="rId114" Type="http://schemas.openxmlformats.org/officeDocument/2006/relationships/hyperlink" Target="https://www.fantasypros.com/nfl/players/quentin-johnston.php" TargetMode="External"/><Relationship Id="rId235" Type="http://schemas.openxmlformats.org/officeDocument/2006/relationships/hyperlink" Target="https://www.fantasypros.com/nfl/players/darius-slayton.php" TargetMode="External"/><Relationship Id="rId356" Type="http://schemas.openxmlformats.org/officeDocument/2006/relationships/hyperlink" Target="https://www.fantasypros.com/nfl/players/austin-hooper.php" TargetMode="External"/><Relationship Id="rId477" Type="http://schemas.openxmlformats.org/officeDocument/2006/relationships/hyperlink" Target="https://www.fantasypros.com/nfl/players/alexander-mattison.php" TargetMode="External"/><Relationship Id="rId113" Type="http://schemas.openxmlformats.org/officeDocument/2006/relationships/hyperlink" Target="https://www.fantasypros.com/nfl/players/jakobi-meyers.php" TargetMode="External"/><Relationship Id="rId234" Type="http://schemas.openxmlformats.org/officeDocument/2006/relationships/hyperlink" Target="https://www.fantasypros.com/nfl/players/malachi-fields.php" TargetMode="External"/><Relationship Id="rId355" Type="http://schemas.openxmlformats.org/officeDocument/2006/relationships/hyperlink" Target="https://www.fantasypros.com/nfl/players/jeremy-mcnichols.php" TargetMode="External"/><Relationship Id="rId476" Type="http://schemas.openxmlformats.org/officeDocument/2006/relationships/hyperlink" Target="https://www.fantasypros.com/nfl/players/cade-stover.php" TargetMode="External"/><Relationship Id="rId112" Type="http://schemas.openxmlformats.org/officeDocument/2006/relationships/hyperlink" Target="https://www.fantasypros.com/nfl/players/travis-kelce.php" TargetMode="External"/><Relationship Id="rId233" Type="http://schemas.openxmlformats.org/officeDocument/2006/relationships/hyperlink" Target="https://www.fantasypros.com/nfl/players/demond-claiborne.php" TargetMode="External"/><Relationship Id="rId354" Type="http://schemas.openxmlformats.org/officeDocument/2006/relationships/hyperlink" Target="https://www.fantasypros.com/nfl/players/mitchell-evans.php" TargetMode="External"/><Relationship Id="rId475" Type="http://schemas.openxmlformats.org/officeDocument/2006/relationships/hyperlink" Target="https://www.fantasypros.com/nfl/players/evan-hull.php" TargetMode="External"/><Relationship Id="rId111" Type="http://schemas.openxmlformats.org/officeDocument/2006/relationships/hyperlink" Target="https://www.fantasypros.com/nfl/players/aaron-rodgers.php" TargetMode="External"/><Relationship Id="rId232" Type="http://schemas.openxmlformats.org/officeDocument/2006/relationships/hyperlink" Target="https://www.fantasypros.com/nfl/players/eli-stowers.php" TargetMode="External"/><Relationship Id="rId353" Type="http://schemas.openxmlformats.org/officeDocument/2006/relationships/hyperlink" Target="https://www.fantasypros.com/nfl/players/daniel-bellinger.php" TargetMode="External"/><Relationship Id="rId474" Type="http://schemas.openxmlformats.org/officeDocument/2006/relationships/hyperlink" Target="https://www.fantasypros.com/nfl/players/jeshaun-jones.php" TargetMode="External"/><Relationship Id="rId305" Type="http://schemas.openxmlformats.org/officeDocument/2006/relationships/hyperlink" Target="https://www.fantasypros.com/nfl/players/josh-palmer.php" TargetMode="External"/><Relationship Id="rId426" Type="http://schemas.openxmlformats.org/officeDocument/2006/relationships/hyperlink" Target="https://www.fantasypros.com/nfl/players/elijah-mitchell-rb.php" TargetMode="External"/><Relationship Id="rId304" Type="http://schemas.openxmlformats.org/officeDocument/2006/relationships/hyperlink" Target="https://www.fantasypros.com/nfl/players/noah-gray.php" TargetMode="External"/><Relationship Id="rId425" Type="http://schemas.openxmlformats.org/officeDocument/2006/relationships/hyperlink" Target="https://www.fantasypros.com/nfl/players/mecole-hardman.php" TargetMode="External"/><Relationship Id="rId303" Type="http://schemas.openxmlformats.org/officeDocument/2006/relationships/hyperlink" Target="https://www.fantasypros.com/nfl/players/jj-mccarthy.php" TargetMode="External"/><Relationship Id="rId424" Type="http://schemas.openxmlformats.org/officeDocument/2006/relationships/hyperlink" Target="https://www.fantasypros.com/nfl/players/derius-davis.php" TargetMode="External"/><Relationship Id="rId302" Type="http://schemas.openxmlformats.org/officeDocument/2006/relationships/hyperlink" Target="https://www.fantasypros.com/nfl/players/cole-kmet.php" TargetMode="External"/><Relationship Id="rId423" Type="http://schemas.openxmlformats.org/officeDocument/2006/relationships/hyperlink" Target="https://www.fantasypros.com/nfl/players/taysom-hill.php" TargetMode="External"/><Relationship Id="rId309" Type="http://schemas.openxmlformats.org/officeDocument/2006/relationships/hyperlink" Target="https://www.fantasypros.com/nfl/players/zonovan-bam-knight.php" TargetMode="External"/><Relationship Id="rId308" Type="http://schemas.openxmlformats.org/officeDocument/2006/relationships/hyperlink" Target="https://www.fantasypros.com/nfl/players/dawson-knox.php" TargetMode="External"/><Relationship Id="rId429" Type="http://schemas.openxmlformats.org/officeDocument/2006/relationships/hyperlink" Target="https://www.fantasypros.com/nfl/players/alec-ingold.php" TargetMode="External"/><Relationship Id="rId307" Type="http://schemas.openxmlformats.org/officeDocument/2006/relationships/hyperlink" Target="https://www.fantasypros.com/nfl/players/eli-heidenreich.php" TargetMode="External"/><Relationship Id="rId428" Type="http://schemas.openxmlformats.org/officeDocument/2006/relationships/hyperlink" Target="https://www.fantasypros.com/nfl/players/reggie-gilliam.php" TargetMode="External"/><Relationship Id="rId306" Type="http://schemas.openxmlformats.org/officeDocument/2006/relationships/hyperlink" Target="https://www.fantasypros.com/nfl/players/treylon-burks.php" TargetMode="External"/><Relationship Id="rId427" Type="http://schemas.openxmlformats.org/officeDocument/2006/relationships/hyperlink" Target="https://www.fantasypros.com/nfl/players/salvon-ahmed.php" TargetMode="External"/><Relationship Id="rId301" Type="http://schemas.openxmlformats.org/officeDocument/2006/relationships/hyperlink" Target="https://www.fantasypros.com/nfl/players/jatavion-sanders.php" TargetMode="External"/><Relationship Id="rId422" Type="http://schemas.openxmlformats.org/officeDocument/2006/relationships/hyperlink" Target="https://www.fantasypros.com/nfl/players/drew-sample.php" TargetMode="External"/><Relationship Id="rId300" Type="http://schemas.openxmlformats.org/officeDocument/2006/relationships/hyperlink" Target="https://www.fantasypros.com/nfl/players/demario-douglas.php" TargetMode="External"/><Relationship Id="rId421" Type="http://schemas.openxmlformats.org/officeDocument/2006/relationships/hyperlink" Target="https://www.fantasypros.com/nfl/players/odell-beckham.php" TargetMode="External"/><Relationship Id="rId542" Type="http://schemas.openxmlformats.org/officeDocument/2006/relationships/drawing" Target="../drawings/drawing1.xml"/><Relationship Id="rId420" Type="http://schemas.openxmlformats.org/officeDocument/2006/relationships/hyperlink" Target="https://www.fantasypros.com/nfl/players/frank-gore-jr.php" TargetMode="External"/><Relationship Id="rId541" Type="http://schemas.openxmlformats.org/officeDocument/2006/relationships/hyperlink" Target="https://www.fantasypros.com/nfl/players/jaquinden-jackson.php" TargetMode="External"/><Relationship Id="rId540" Type="http://schemas.openxmlformats.org/officeDocument/2006/relationships/hyperlink" Target="https://www.fantasypros.com/nfl/players/trey-sermon.php" TargetMode="External"/><Relationship Id="rId415" Type="http://schemas.openxmlformats.org/officeDocument/2006/relationships/hyperlink" Target="https://www.fantasypros.com/nfl/players/raheem-mostert.php" TargetMode="External"/><Relationship Id="rId536" Type="http://schemas.openxmlformats.org/officeDocument/2006/relationships/hyperlink" Target="https://www.fantasypros.com/nfl/players/cam-akers.php" TargetMode="External"/><Relationship Id="rId414" Type="http://schemas.openxmlformats.org/officeDocument/2006/relationships/hyperlink" Target="https://www.fantasypros.com/nfl/players/xavier-smith.php" TargetMode="External"/><Relationship Id="rId535" Type="http://schemas.openxmlformats.org/officeDocument/2006/relationships/hyperlink" Target="https://www.fantasypros.com/nfl/players/gus-edwards.php" TargetMode="External"/><Relationship Id="rId413" Type="http://schemas.openxmlformats.org/officeDocument/2006/relationships/hyperlink" Target="https://www.fantasypros.com/nfl/players/riley-leonard.php" TargetMode="External"/><Relationship Id="rId534" Type="http://schemas.openxmlformats.org/officeDocument/2006/relationships/hyperlink" Target="https://www.fantasypros.com/nfl/players/khalil-dinkins.php" TargetMode="External"/><Relationship Id="rId412" Type="http://schemas.openxmlformats.org/officeDocument/2006/relationships/hyperlink" Target="https://www.fantasypros.com/nfl/players/sterling-shepard.php" TargetMode="External"/><Relationship Id="rId533" Type="http://schemas.openxmlformats.org/officeDocument/2006/relationships/hyperlink" Target="https://www.fantasypros.com/nfl/players/josh-pitsenberger.php" TargetMode="External"/><Relationship Id="rId419" Type="http://schemas.openxmlformats.org/officeDocument/2006/relationships/hyperlink" Target="https://www.fantasypros.com/nfl/players/graig-cooper.php" TargetMode="External"/><Relationship Id="rId418" Type="http://schemas.openxmlformats.org/officeDocument/2006/relationships/hyperlink" Target="https://www.fantasypros.com/nfl/players/zay-jones.php" TargetMode="External"/><Relationship Id="rId539" Type="http://schemas.openxmlformats.org/officeDocument/2006/relationships/hyperlink" Target="https://www.fantasypros.com/nfl/players/antwane-wells-jr.php" TargetMode="External"/><Relationship Id="rId417" Type="http://schemas.openxmlformats.org/officeDocument/2006/relationships/hyperlink" Target="https://www.fantasypros.com/nfl/players/sam-roush.php" TargetMode="External"/><Relationship Id="rId538" Type="http://schemas.openxmlformats.org/officeDocument/2006/relationships/hyperlink" Target="https://www.fantasypros.com/nfl/players/gabriel-davis.php" TargetMode="External"/><Relationship Id="rId416" Type="http://schemas.openxmlformats.org/officeDocument/2006/relationships/hyperlink" Target="https://www.fantasypros.com/nfl/players/donovan-edwards.php" TargetMode="External"/><Relationship Id="rId537" Type="http://schemas.openxmlformats.org/officeDocument/2006/relationships/hyperlink" Target="https://www.fantasypros.com/nfl/players/curtis-samuel.php" TargetMode="External"/><Relationship Id="rId411" Type="http://schemas.openxmlformats.org/officeDocument/2006/relationships/hyperlink" Target="https://www.fantasypros.com/nfl/players/nate-boerkircher.php" TargetMode="External"/><Relationship Id="rId532" Type="http://schemas.openxmlformats.org/officeDocument/2006/relationships/hyperlink" Target="https://www.fantasypros.com/nfl/players/kendall-milton.php" TargetMode="External"/><Relationship Id="rId410" Type="http://schemas.openxmlformats.org/officeDocument/2006/relationships/hyperlink" Target="https://www.fantasypros.com/nfl/players/elijah-tau-tolliver.php" TargetMode="External"/><Relationship Id="rId531" Type="http://schemas.openxmlformats.org/officeDocument/2006/relationships/hyperlink" Target="https://www.fantasypros.com/nfl/players/anthony-hankerson.php" TargetMode="External"/><Relationship Id="rId530" Type="http://schemas.openxmlformats.org/officeDocument/2006/relationships/hyperlink" Target="https://www.fantasypros.com/nfl/players/corey-kiner.php" TargetMode="External"/><Relationship Id="rId206" Type="http://schemas.openxmlformats.org/officeDocument/2006/relationships/hyperlink" Target="https://www.fantasypros.com/nfl/players/kaytron-allen.php" TargetMode="External"/><Relationship Id="rId327" Type="http://schemas.openxmlformats.org/officeDocument/2006/relationships/hyperlink" Target="https://www.fantasypros.com/nfl/players/carson-beck.php" TargetMode="External"/><Relationship Id="rId448" Type="http://schemas.openxmlformats.org/officeDocument/2006/relationships/hyperlink" Target="https://www.fantasypros.com/nfl/players/noah-whittington.php" TargetMode="External"/><Relationship Id="rId205" Type="http://schemas.openxmlformats.org/officeDocument/2006/relationships/hyperlink" Target="https://www.fantasypros.com/nfl/players/shedeur-sanders.php" TargetMode="External"/><Relationship Id="rId326" Type="http://schemas.openxmlformats.org/officeDocument/2006/relationships/hyperlink" Target="https://www.fantasypros.com/nfl/players/kalif-raymond.php" TargetMode="External"/><Relationship Id="rId447" Type="http://schemas.openxmlformats.org/officeDocument/2006/relationships/hyperlink" Target="https://www.fantasypros.com/nfl/players/anthony-gould.php" TargetMode="External"/><Relationship Id="rId204" Type="http://schemas.openxmlformats.org/officeDocument/2006/relationships/hyperlink" Target="https://www.fantasypros.com/nfl/players/nathaniel-dell.php" TargetMode="External"/><Relationship Id="rId325" Type="http://schemas.openxmlformats.org/officeDocument/2006/relationships/hyperlink" Target="https://www.fantasypros.com/nfl/players/nick-chubb.php" TargetMode="External"/><Relationship Id="rId446" Type="http://schemas.openxmlformats.org/officeDocument/2006/relationships/hyperlink" Target="https://www.fantasypros.com/nfl/players/jacardia-wright.php" TargetMode="External"/><Relationship Id="rId203" Type="http://schemas.openxmlformats.org/officeDocument/2006/relationships/hyperlink" Target="https://www.fantasypros.com/nfl/players/rashod-bateman.php" TargetMode="External"/><Relationship Id="rId324" Type="http://schemas.openxmlformats.org/officeDocument/2006/relationships/hyperlink" Target="https://www.fantasypros.com/nfl/players/tutu-atwell.php" TargetMode="External"/><Relationship Id="rId445" Type="http://schemas.openxmlformats.org/officeDocument/2006/relationships/hyperlink" Target="https://www.fantasypros.com/nfl/players/keandre-lambert-smith.php" TargetMode="External"/><Relationship Id="rId209" Type="http://schemas.openxmlformats.org/officeDocument/2006/relationships/hyperlink" Target="https://www.fantasypros.com/nfl/players/cade-otton.php" TargetMode="External"/><Relationship Id="rId208" Type="http://schemas.openxmlformats.org/officeDocument/2006/relationships/hyperlink" Target="https://www.fantasypros.com/nfl/players/zachariah-branch.php" TargetMode="External"/><Relationship Id="rId329" Type="http://schemas.openxmlformats.org/officeDocument/2006/relationships/hyperlink" Target="https://www.fantasypros.com/nfl/players/kyle-juszczyk.php" TargetMode="External"/><Relationship Id="rId207" Type="http://schemas.openxmlformats.org/officeDocument/2006/relationships/hyperlink" Target="https://www.fantasypros.com/nfl/players/pat-freiermuth.php" TargetMode="External"/><Relationship Id="rId328" Type="http://schemas.openxmlformats.org/officeDocument/2006/relationships/hyperlink" Target="https://www.fantasypros.com/nfl/players/jaylin-lane.php" TargetMode="External"/><Relationship Id="rId449" Type="http://schemas.openxmlformats.org/officeDocument/2006/relationships/hyperlink" Target="https://www.fantasypros.com/nfl/players/ameer-abdullah.php" TargetMode="External"/><Relationship Id="rId440" Type="http://schemas.openxmlformats.org/officeDocument/2006/relationships/hyperlink" Target="https://www.fantasypros.com/nfl/players/michael-trigg.php" TargetMode="External"/><Relationship Id="rId202" Type="http://schemas.openxmlformats.org/officeDocument/2006/relationships/hyperlink" Target="https://www.fantasypros.com/nfl/players/nick-singleton.php" TargetMode="External"/><Relationship Id="rId323" Type="http://schemas.openxmlformats.org/officeDocument/2006/relationships/hyperlink" Target="https://www.fantasypros.com/nfl/players/noah-fant.php" TargetMode="External"/><Relationship Id="rId444" Type="http://schemas.openxmlformats.org/officeDocument/2006/relationships/hyperlink" Target="https://www.fantasypros.com/nfl/players/thomas-fidone.php" TargetMode="External"/><Relationship Id="rId201" Type="http://schemas.openxmlformats.org/officeDocument/2006/relationships/hyperlink" Target="https://www.fantasypros.com/nfl/players/cooper-kupp.php" TargetMode="External"/><Relationship Id="rId322" Type="http://schemas.openxmlformats.org/officeDocument/2006/relationships/hyperlink" Target="https://www.fantasypros.com/nfl/players/raheim-sanders.php" TargetMode="External"/><Relationship Id="rId443" Type="http://schemas.openxmlformats.org/officeDocument/2006/relationships/hyperlink" Target="https://www.fantasypros.com/nfl/players/brandin-cooks.php" TargetMode="External"/><Relationship Id="rId200" Type="http://schemas.openxmlformats.org/officeDocument/2006/relationships/hyperlink" Target="https://www.fantasypros.com/nfl/players/emanuel-wilson.php" TargetMode="External"/><Relationship Id="rId321" Type="http://schemas.openxmlformats.org/officeDocument/2006/relationships/hyperlink" Target="https://www.fantasypros.com/nfl/players/xavier-hutchinson.php" TargetMode="External"/><Relationship Id="rId442" Type="http://schemas.openxmlformats.org/officeDocument/2006/relationships/hyperlink" Target="https://www.fantasypros.com/nfl/players/durham-smythe.php" TargetMode="External"/><Relationship Id="rId320" Type="http://schemas.openxmlformats.org/officeDocument/2006/relationships/hyperlink" Target="https://www.fantasypros.com/nfl/players/jawhar-jordan.php" TargetMode="External"/><Relationship Id="rId441" Type="http://schemas.openxmlformats.org/officeDocument/2006/relationships/hyperlink" Target="https://www.fantasypros.com/nfl/players/patrick-ricard.php" TargetMode="External"/><Relationship Id="rId316" Type="http://schemas.openxmlformats.org/officeDocument/2006/relationships/hyperlink" Target="https://www.fantasypros.com/nfl/players/justin-joly.php" TargetMode="External"/><Relationship Id="rId437" Type="http://schemas.openxmlformats.org/officeDocument/2006/relationships/hyperlink" Target="https://www.fantasypros.com/nfl/players/kendric-pryor.php" TargetMode="External"/><Relationship Id="rId315" Type="http://schemas.openxmlformats.org/officeDocument/2006/relationships/hyperlink" Target="https://www.fantasypros.com/nfl/players/eli-raridon.php" TargetMode="External"/><Relationship Id="rId436" Type="http://schemas.openxmlformats.org/officeDocument/2006/relationships/hyperlink" Target="https://www.fantasypros.com/nfl/players/dohnte-meyers.php" TargetMode="External"/><Relationship Id="rId314" Type="http://schemas.openxmlformats.org/officeDocument/2006/relationships/hyperlink" Target="https://www.fantasypros.com/nfl/players/michael-carter-rb.php" TargetMode="External"/><Relationship Id="rId435" Type="http://schemas.openxmlformats.org/officeDocument/2006/relationships/hyperlink" Target="https://www.fantasypros.com/nfl/players/albert-okwuegbunam.php" TargetMode="External"/><Relationship Id="rId313" Type="http://schemas.openxmlformats.org/officeDocument/2006/relationships/hyperlink" Target="https://www.fantasypros.com/nfl/players/erick-all.php" TargetMode="External"/><Relationship Id="rId434" Type="http://schemas.openxmlformats.org/officeDocument/2006/relationships/hyperlink" Target="https://www.fantasypros.com/nfl/players/jackson-hawes.php" TargetMode="External"/><Relationship Id="rId319" Type="http://schemas.openxmlformats.org/officeDocument/2006/relationships/hyperlink" Target="https://www.fantasypros.com/nfl/players/donte-thornton-jr.php" TargetMode="External"/><Relationship Id="rId318" Type="http://schemas.openxmlformats.org/officeDocument/2006/relationships/hyperlink" Target="https://www.fantasypros.com/nfl/players/jmari-taylor.php" TargetMode="External"/><Relationship Id="rId439" Type="http://schemas.openxmlformats.org/officeDocument/2006/relationships/hyperlink" Target="https://www.fantasypros.com/nfl/players/reggie-virgil.php" TargetMode="External"/><Relationship Id="rId317" Type="http://schemas.openxmlformats.org/officeDocument/2006/relationships/hyperlink" Target="https://www.fantasypros.com/nfl/players/john-metchie.php" TargetMode="External"/><Relationship Id="rId438" Type="http://schemas.openxmlformats.org/officeDocument/2006/relationships/hyperlink" Target="https://www.fantasypros.com/nfl/players/jared-wiley.php" TargetMode="External"/><Relationship Id="rId312" Type="http://schemas.openxmlformats.org/officeDocument/2006/relationships/hyperlink" Target="https://www.fantasypros.com/nfl/players/brenen-thompson.php" TargetMode="External"/><Relationship Id="rId433" Type="http://schemas.openxmlformats.org/officeDocument/2006/relationships/hyperlink" Target="https://www.fantasypros.com/nfl/players/jack-endries.php" TargetMode="External"/><Relationship Id="rId311" Type="http://schemas.openxmlformats.org/officeDocument/2006/relationships/hyperlink" Target="https://www.fantasypros.com/nfl/players/bryce-lance.php" TargetMode="External"/><Relationship Id="rId432" Type="http://schemas.openxmlformats.org/officeDocument/2006/relationships/hyperlink" Target="https://www.fantasypros.com/nfl/players/michael-woods.php" TargetMode="External"/><Relationship Id="rId310" Type="http://schemas.openxmlformats.org/officeDocument/2006/relationships/hyperlink" Target="https://www.fantasypros.com/nfl/players/kendrick-bourne.php" TargetMode="External"/><Relationship Id="rId431" Type="http://schemas.openxmlformats.org/officeDocument/2006/relationships/hyperlink" Target="https://www.fantasypros.com/nfl/players/will-kacmarek.php" TargetMode="External"/><Relationship Id="rId430" Type="http://schemas.openxmlformats.org/officeDocument/2006/relationships/hyperlink" Target="https://www.fantasypros.com/nfl/players/xavier-restrepo.php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aftsharks.com/fantasy/points-outlook/kenyon-sadiq/35973" TargetMode="External"/><Relationship Id="rId194" Type="http://schemas.openxmlformats.org/officeDocument/2006/relationships/hyperlink" Target="https://www.draftsharks.com/fantasy/points-outlook/ryan-flournoy/35132" TargetMode="External"/><Relationship Id="rId193" Type="http://schemas.openxmlformats.org/officeDocument/2006/relationships/hyperlink" Target="https://www.draftsharks.com/fantasy/points-outlook/kayshon-boutte/13582" TargetMode="External"/><Relationship Id="rId192" Type="http://schemas.openxmlformats.org/officeDocument/2006/relationships/hyperlink" Target="https://www.draftsharks.com/fantasy/points-outlook/juwan-johnson/12426" TargetMode="External"/><Relationship Id="rId191" Type="http://schemas.openxmlformats.org/officeDocument/2006/relationships/hyperlink" Target="https://www.draftsharks.com/fantasy/points-outlook/philadelphia-eagles/1197" TargetMode="External"/><Relationship Id="rId187" Type="http://schemas.openxmlformats.org/officeDocument/2006/relationships/hyperlink" Target="https://www.draftsharks.com/fantasy/points-outlook/harrison-mevis/35864" TargetMode="External"/><Relationship Id="rId186" Type="http://schemas.openxmlformats.org/officeDocument/2006/relationships/hyperlink" Target="https://www.draftsharks.com/fantasy/points-outlook/isiah-pacheco/12735" TargetMode="External"/><Relationship Id="rId185" Type="http://schemas.openxmlformats.org/officeDocument/2006/relationships/hyperlink" Target="https://www.draftsharks.com/fantasy/points-outlook/dylan-sampson/35390" TargetMode="External"/><Relationship Id="rId184" Type="http://schemas.openxmlformats.org/officeDocument/2006/relationships/hyperlink" Target="https://www.draftsharks.com/fantasy/points-outlook/jake-bates/35159" TargetMode="External"/><Relationship Id="rId189" Type="http://schemas.openxmlformats.org/officeDocument/2006/relationships/hyperlink" Target="https://www.draftsharks.com/fantasy/points-outlook/jaylin-noel/35357" TargetMode="External"/><Relationship Id="rId188" Type="http://schemas.openxmlformats.org/officeDocument/2006/relationships/hyperlink" Target="https://www.draftsharks.com/fantasy/points-outlook/cooper-kupp/7761" TargetMode="External"/><Relationship Id="rId183" Type="http://schemas.openxmlformats.org/officeDocument/2006/relationships/hyperlink" Target="https://www.draftsharks.com/fantasy/points-outlook/hunter-henry/7470" TargetMode="External"/><Relationship Id="rId182" Type="http://schemas.openxmlformats.org/officeDocument/2006/relationships/hyperlink" Target="https://www.draftsharks.com/fantasy/points-outlook/new-england-patriots/2430" TargetMode="External"/><Relationship Id="rId181" Type="http://schemas.openxmlformats.org/officeDocument/2006/relationships/hyperlink" Target="https://www.draftsharks.com/fantasy/points-outlook/tre-harris/35339" TargetMode="External"/><Relationship Id="rId180" Type="http://schemas.openxmlformats.org/officeDocument/2006/relationships/hyperlink" Target="https://www.draftsharks.com/fantasy/points-outlook/isaiah-likely/12589" TargetMode="External"/><Relationship Id="rId176" Type="http://schemas.openxmlformats.org/officeDocument/2006/relationships/hyperlink" Target="https://www.draftsharks.com/fantasy/points-outlook/woody-marks/35328" TargetMode="External"/><Relationship Id="rId297" Type="http://schemas.openxmlformats.org/officeDocument/2006/relationships/hyperlink" Target="https://www.draftsharks.com/fantasy/points-outlook/quinn-ewers/35314" TargetMode="External"/><Relationship Id="rId175" Type="http://schemas.openxmlformats.org/officeDocument/2006/relationships/hyperlink" Target="https://www.draftsharks.com/fantasy/points-outlook/cam-little/35130" TargetMode="External"/><Relationship Id="rId296" Type="http://schemas.openxmlformats.org/officeDocument/2006/relationships/hyperlink" Target="https://www.draftsharks.com/fantasy/points-outlook/jalen-milroe/35311" TargetMode="External"/><Relationship Id="rId174" Type="http://schemas.openxmlformats.org/officeDocument/2006/relationships/hyperlink" Target="https://www.draftsharks.com/fantasy/points-outlook/eddy-pineiro/10134" TargetMode="External"/><Relationship Id="rId295" Type="http://schemas.openxmlformats.org/officeDocument/2006/relationships/hyperlink" Target="https://www.draftsharks.com/fantasy/points-outlook/anthony-richardson/13544" TargetMode="External"/><Relationship Id="rId173" Type="http://schemas.openxmlformats.org/officeDocument/2006/relationships/hyperlink" Target="https://www.draftsharks.com/fantasy/points-outlook/cairo-santos/7126" TargetMode="External"/><Relationship Id="rId294" Type="http://schemas.openxmlformats.org/officeDocument/2006/relationships/hyperlink" Target="https://www.draftsharks.com/fantasy/points-outlook/mac-jones/10756" TargetMode="External"/><Relationship Id="rId179" Type="http://schemas.openxmlformats.org/officeDocument/2006/relationships/hyperlink" Target="https://www.draftsharks.com/fantasy/points-outlook/minnesota-vikings/3086" TargetMode="External"/><Relationship Id="rId178" Type="http://schemas.openxmlformats.org/officeDocument/2006/relationships/hyperlink" Target="https://www.draftsharks.com/fantasy/points-outlook/rashod-bateman/10776" TargetMode="External"/><Relationship Id="rId299" Type="http://schemas.openxmlformats.org/officeDocument/2006/relationships/hyperlink" Target="https://www.draftsharks.com/fantasy/points-outlook/will-howard/35527" TargetMode="External"/><Relationship Id="rId177" Type="http://schemas.openxmlformats.org/officeDocument/2006/relationships/hyperlink" Target="https://www.draftsharks.com/fantasy/points-outlook/pittsburgh-steelers/2897" TargetMode="External"/><Relationship Id="rId298" Type="http://schemas.openxmlformats.org/officeDocument/2006/relationships/hyperlink" Target="https://www.draftsharks.com/fantasy/points-outlook/riley-leonard/35316" TargetMode="External"/><Relationship Id="rId198" Type="http://schemas.openxmlformats.org/officeDocument/2006/relationships/hyperlink" Target="https://www.draftsharks.com/fantasy/points-outlook/tyrone-tracy-jr-/34997" TargetMode="External"/><Relationship Id="rId197" Type="http://schemas.openxmlformats.org/officeDocument/2006/relationships/hyperlink" Target="https://www.draftsharks.com/fantasy/points-outlook/los-angeles-rams/2551" TargetMode="External"/><Relationship Id="rId196" Type="http://schemas.openxmlformats.org/officeDocument/2006/relationships/hyperlink" Target="https://www.draftsharks.com/fantasy/points-outlook/zachariah-branch/35993" TargetMode="External"/><Relationship Id="rId195" Type="http://schemas.openxmlformats.org/officeDocument/2006/relationships/hyperlink" Target="https://www.draftsharks.com/fantasy/points-outlook/chris-rodriguez/13677" TargetMode="External"/><Relationship Id="rId199" Type="http://schemas.openxmlformats.org/officeDocument/2006/relationships/hyperlink" Target="https://www.draftsharks.com/fantasy/points-outlook/wil-lutz/7650" TargetMode="External"/><Relationship Id="rId150" Type="http://schemas.openxmlformats.org/officeDocument/2006/relationships/hyperlink" Target="https://www.draftsharks.com/fantasy/points-outlook/tre-tucker/13739" TargetMode="External"/><Relationship Id="rId271" Type="http://schemas.openxmlformats.org/officeDocument/2006/relationships/hyperlink" Target="https://www.draftsharks.com/fantasy/points-outlook/emanuel-wilson/14231" TargetMode="External"/><Relationship Id="rId270" Type="http://schemas.openxmlformats.org/officeDocument/2006/relationships/hyperlink" Target="https://www.draftsharks.com/fantasy/points-outlook/christian-kirk/9969" TargetMode="External"/><Relationship Id="rId1" Type="http://schemas.openxmlformats.org/officeDocument/2006/relationships/hyperlink" Target="https://www.draftsharks.com/fantasy/points-outlook/josh-allen/9962" TargetMode="External"/><Relationship Id="rId2" Type="http://schemas.openxmlformats.org/officeDocument/2006/relationships/hyperlink" Target="https://www.draftsharks.com/fantasy/points-outlook/puka-nacua/13680" TargetMode="External"/><Relationship Id="rId3" Type="http://schemas.openxmlformats.org/officeDocument/2006/relationships/hyperlink" Target="https://www.draftsharks.com/fantasy/points-outlook/jamarr-chase/10771" TargetMode="External"/><Relationship Id="rId149" Type="http://schemas.openxmlformats.org/officeDocument/2006/relationships/hyperlink" Target="https://www.draftsharks.com/fantasy/points-outlook/adonai-mitchell/35018" TargetMode="External"/><Relationship Id="rId4" Type="http://schemas.openxmlformats.org/officeDocument/2006/relationships/hyperlink" Target="https://www.draftsharks.com/fantasy/points-outlook/jahmyr-gibbs/13542" TargetMode="External"/><Relationship Id="rId148" Type="http://schemas.openxmlformats.org/officeDocument/2006/relationships/hyperlink" Target="https://www.draftsharks.com/fantasy/points-outlook/rachaad-white/12583" TargetMode="External"/><Relationship Id="rId269" Type="http://schemas.openxmlformats.org/officeDocument/2006/relationships/hyperlink" Target="https://www.draftsharks.com/fantasy/points-outlook/colby-parkinson/10622" TargetMode="External"/><Relationship Id="rId9" Type="http://schemas.openxmlformats.org/officeDocument/2006/relationships/hyperlink" Target="https://www.draftsharks.com/fantasy/points-outlook/lamar-jackson/9964" TargetMode="External"/><Relationship Id="rId143" Type="http://schemas.openxmlformats.org/officeDocument/2006/relationships/hyperlink" Target="https://www.draftsharks.com/fantasy/points-outlook/jacory-croskey-merritt/35720" TargetMode="External"/><Relationship Id="rId264" Type="http://schemas.openxmlformats.org/officeDocument/2006/relationships/hyperlink" Target="https://www.draftsharks.com/fantasy/points-outlook/tank-bigsby/13565" TargetMode="External"/><Relationship Id="rId142" Type="http://schemas.openxmlformats.org/officeDocument/2006/relationships/hyperlink" Target="https://www.draftsharks.com/fantasy/points-outlook/kenneth-gainwell/10761" TargetMode="External"/><Relationship Id="rId263" Type="http://schemas.openxmlformats.org/officeDocument/2006/relationships/hyperlink" Target="https://www.draftsharks.com/fantasy/points-outlook/tory-horton/35349" TargetMode="External"/><Relationship Id="rId141" Type="http://schemas.openxmlformats.org/officeDocument/2006/relationships/hyperlink" Target="https://www.draftsharks.com/fantasy/points-outlook/kyle-monangai/35326" TargetMode="External"/><Relationship Id="rId262" Type="http://schemas.openxmlformats.org/officeDocument/2006/relationships/hyperlink" Target="https://www.draftsharks.com/fantasy/points-outlook/trey-benson/34989" TargetMode="External"/><Relationship Id="rId140" Type="http://schemas.openxmlformats.org/officeDocument/2006/relationships/hyperlink" Target="https://www.draftsharks.com/fantasy/points-outlook/jalen-coker/35137" TargetMode="External"/><Relationship Id="rId261" Type="http://schemas.openxmlformats.org/officeDocument/2006/relationships/hyperlink" Target="https://www.draftsharks.com/fantasy/points-outlook/ted-hurst/35963" TargetMode="External"/><Relationship Id="rId5" Type="http://schemas.openxmlformats.org/officeDocument/2006/relationships/hyperlink" Target="https://www.draftsharks.com/fantasy/points-outlook/bijan-robinson/13541" TargetMode="External"/><Relationship Id="rId147" Type="http://schemas.openxmlformats.org/officeDocument/2006/relationships/hyperlink" Target="https://www.draftsharks.com/fantasy/points-outlook/blake-corum/34990" TargetMode="External"/><Relationship Id="rId268" Type="http://schemas.openxmlformats.org/officeDocument/2006/relationships/hyperlink" Target="https://www.draftsharks.com/fantasy/points-outlook/kyle-williams/35557" TargetMode="External"/><Relationship Id="rId6" Type="http://schemas.openxmlformats.org/officeDocument/2006/relationships/hyperlink" Target="https://www.draftsharks.com/fantasy/points-outlook/christian-mccaffrey/7750" TargetMode="External"/><Relationship Id="rId146" Type="http://schemas.openxmlformats.org/officeDocument/2006/relationships/hyperlink" Target="https://www.draftsharks.com/fantasy/points-outlook/cameron-dicker/13243" TargetMode="External"/><Relationship Id="rId267" Type="http://schemas.openxmlformats.org/officeDocument/2006/relationships/hyperlink" Target="https://www.draftsharks.com/fantasy/points-outlook/najee-harris/10758" TargetMode="External"/><Relationship Id="rId7" Type="http://schemas.openxmlformats.org/officeDocument/2006/relationships/hyperlink" Target="https://www.draftsharks.com/fantasy/points-outlook/jaxon-smith-njigba/13547" TargetMode="External"/><Relationship Id="rId145" Type="http://schemas.openxmlformats.org/officeDocument/2006/relationships/hyperlink" Target="https://www.draftsharks.com/fantasy/points-outlook/denzel-boston/35949" TargetMode="External"/><Relationship Id="rId266" Type="http://schemas.openxmlformats.org/officeDocument/2006/relationships/hyperlink" Target="https://www.draftsharks.com/fantasy/points-outlook/malachi-fields/35961" TargetMode="External"/><Relationship Id="rId8" Type="http://schemas.openxmlformats.org/officeDocument/2006/relationships/hyperlink" Target="https://www.draftsharks.com/fantasy/points-outlook/amon-ra-st-brown/10783" TargetMode="External"/><Relationship Id="rId144" Type="http://schemas.openxmlformats.org/officeDocument/2006/relationships/hyperlink" Target="https://www.draftsharks.com/fantasy/points-outlook/omar-cooper-jr-/35970" TargetMode="External"/><Relationship Id="rId265" Type="http://schemas.openxmlformats.org/officeDocument/2006/relationships/hyperlink" Target="https://www.draftsharks.com/fantasy/points-outlook/brashard-smith/35522" TargetMode="External"/><Relationship Id="rId260" Type="http://schemas.openxmlformats.org/officeDocument/2006/relationships/hyperlink" Target="https://www.draftsharks.com/fantasy/points-outlook/sean-tucker/13568" TargetMode="External"/><Relationship Id="rId139" Type="http://schemas.openxmlformats.org/officeDocument/2006/relationships/hyperlink" Target="https://www.draftsharks.com/fantasy/points-outlook/jalen-mcmillan/35026" TargetMode="External"/><Relationship Id="rId138" Type="http://schemas.openxmlformats.org/officeDocument/2006/relationships/hyperlink" Target="https://www.draftsharks.com/fantasy/points-outlook/rashid-shaheed/13347" TargetMode="External"/><Relationship Id="rId259" Type="http://schemas.openxmlformats.org/officeDocument/2006/relationships/hyperlink" Target="https://www.draftsharks.com/fantasy/points-outlook/kaytron-allen/35930" TargetMode="External"/><Relationship Id="rId137" Type="http://schemas.openxmlformats.org/officeDocument/2006/relationships/hyperlink" Target="https://www.draftsharks.com/fantasy/points-outlook/jordan-mason/13153" TargetMode="External"/><Relationship Id="rId258" Type="http://schemas.openxmlformats.org/officeDocument/2006/relationships/hyperlink" Target="https://www.draftsharks.com/fantasy/points-outlook/elic-ayomanor/35338" TargetMode="External"/><Relationship Id="rId132" Type="http://schemas.openxmlformats.org/officeDocument/2006/relationships/hyperlink" Target="https://www.draftsharks.com/fantasy/points-outlook/rj-harvey/35325" TargetMode="External"/><Relationship Id="rId253" Type="http://schemas.openxmlformats.org/officeDocument/2006/relationships/hyperlink" Target="https://www.draftsharks.com/fantasy/points-outlook/james-conner/7778" TargetMode="External"/><Relationship Id="rId131" Type="http://schemas.openxmlformats.org/officeDocument/2006/relationships/hyperlink" Target="https://www.draftsharks.com/fantasy/points-outlook/jonathon-brooks/34987" TargetMode="External"/><Relationship Id="rId252" Type="http://schemas.openxmlformats.org/officeDocument/2006/relationships/hyperlink" Target="https://www.draftsharks.com/fantasy/points-outlook/braelon-allen/34996" TargetMode="External"/><Relationship Id="rId130" Type="http://schemas.openxmlformats.org/officeDocument/2006/relationships/hyperlink" Target="https://www.draftsharks.com/fantasy/points-outlook/khalil-shakir/12603" TargetMode="External"/><Relationship Id="rId251" Type="http://schemas.openxmlformats.org/officeDocument/2006/relationships/hyperlink" Target="https://www.draftsharks.com/fantasy/points-outlook/jack-bech/35352" TargetMode="External"/><Relationship Id="rId250" Type="http://schemas.openxmlformats.org/officeDocument/2006/relationships/hyperlink" Target="https://www.draftsharks.com/fantasy/points-outlook/nicholas-singleton/35929" TargetMode="External"/><Relationship Id="rId136" Type="http://schemas.openxmlformats.org/officeDocument/2006/relationships/hyperlink" Target="https://www.draftsharks.com/fantasy/points-outlook/kirk-cousins/5105" TargetMode="External"/><Relationship Id="rId257" Type="http://schemas.openxmlformats.org/officeDocument/2006/relationships/hyperlink" Target="https://www.draftsharks.com/fantasy/points-outlook/antonio-williams/35957" TargetMode="External"/><Relationship Id="rId135" Type="http://schemas.openxmlformats.org/officeDocument/2006/relationships/hyperlink" Target="https://www.draftsharks.com/fantasy/points-outlook/brandon-aubrey/16247" TargetMode="External"/><Relationship Id="rId256" Type="http://schemas.openxmlformats.org/officeDocument/2006/relationships/hyperlink" Target="https://www.draftsharks.com/fantasy/points-outlook/carolina-panthers/2415" TargetMode="External"/><Relationship Id="rId134" Type="http://schemas.openxmlformats.org/officeDocument/2006/relationships/hyperlink" Target="https://www.draftsharks.com/fantasy/points-outlook/carson-beck/35924" TargetMode="External"/><Relationship Id="rId255" Type="http://schemas.openxmlformats.org/officeDocument/2006/relationships/hyperlink" Target="https://www.draftsharks.com/fantasy/points-outlook/atlanta-falcons/1266" TargetMode="External"/><Relationship Id="rId133" Type="http://schemas.openxmlformats.org/officeDocument/2006/relationships/hyperlink" Target="https://www.draftsharks.com/fantasy/points-outlook/shedeur-sanders/35309" TargetMode="External"/><Relationship Id="rId254" Type="http://schemas.openxmlformats.org/officeDocument/2006/relationships/hyperlink" Target="https://www.draftsharks.com/fantasy/points-outlook/mike-washington-jr-/35935" TargetMode="External"/><Relationship Id="rId172" Type="http://schemas.openxmlformats.org/officeDocument/2006/relationships/hyperlink" Target="https://www.draftsharks.com/fantasy/points-outlook/baltimore-ravens/2564" TargetMode="External"/><Relationship Id="rId293" Type="http://schemas.openxmlformats.org/officeDocument/2006/relationships/hyperlink" Target="https://www.draftsharks.com/fantasy/points-outlook/justin-fields/10754" TargetMode="External"/><Relationship Id="rId171" Type="http://schemas.openxmlformats.org/officeDocument/2006/relationships/hyperlink" Target="https://www.draftsharks.com/fantasy/points-outlook/green-bay-packers/2408" TargetMode="External"/><Relationship Id="rId292" Type="http://schemas.openxmlformats.org/officeDocument/2006/relationships/hyperlink" Target="https://www.draftsharks.com/fantasy/points-outlook/marcus-mariota/7204" TargetMode="External"/><Relationship Id="rId170" Type="http://schemas.openxmlformats.org/officeDocument/2006/relationships/hyperlink" Target="https://www.draftsharks.com/fantasy/points-outlook/tyler-loop/35591" TargetMode="External"/><Relationship Id="rId291" Type="http://schemas.openxmlformats.org/officeDocument/2006/relationships/hyperlink" Target="https://www.draftsharks.com/fantasy/points-outlook/jameis-winston/7203" TargetMode="External"/><Relationship Id="rId290" Type="http://schemas.openxmlformats.org/officeDocument/2006/relationships/hyperlink" Target="https://www.draftsharks.com/fantasy/points-outlook/joe-mixon/7774" TargetMode="External"/><Relationship Id="rId165" Type="http://schemas.openxmlformats.org/officeDocument/2006/relationships/hyperlink" Target="https://www.draftsharks.com/fantasy/points-outlook/denver-broncos/778" TargetMode="External"/><Relationship Id="rId286" Type="http://schemas.openxmlformats.org/officeDocument/2006/relationships/hyperlink" Target="https://www.draftsharks.com/fantasy/points-outlook/ty-simpson/35918" TargetMode="External"/><Relationship Id="rId164" Type="http://schemas.openxmlformats.org/officeDocument/2006/relationships/hyperlink" Target="https://www.draftsharks.com/fantasy/points-outlook/germie-bernard/35953" TargetMode="External"/><Relationship Id="rId285" Type="http://schemas.openxmlformats.org/officeDocument/2006/relationships/hyperlink" Target="https://www.draftsharks.com/fantasy/points-outlook/mason-taylor/35362" TargetMode="External"/><Relationship Id="rId163" Type="http://schemas.openxmlformats.org/officeDocument/2006/relationships/hyperlink" Target="https://www.draftsharks.com/fantasy/points-outlook/calvin-ridley/9966" TargetMode="External"/><Relationship Id="rId284" Type="http://schemas.openxmlformats.org/officeDocument/2006/relationships/hyperlink" Target="https://www.draftsharks.com/fantasy/points-outlook/j-j-mccarthy/34985" TargetMode="External"/><Relationship Id="rId162" Type="http://schemas.openxmlformats.org/officeDocument/2006/relationships/hyperlink" Target="https://www.draftsharks.com/fantasy/points-outlook/kaimi-fairbairn/9931" TargetMode="External"/><Relationship Id="rId283" Type="http://schemas.openxmlformats.org/officeDocument/2006/relationships/hyperlink" Target="https://www.draftsharks.com/fantasy/points-outlook/audric-estime/34992" TargetMode="External"/><Relationship Id="rId169" Type="http://schemas.openxmlformats.org/officeDocument/2006/relationships/hyperlink" Target="https://www.draftsharks.com/fantasy/points-outlook/seattle-seahawks/2739" TargetMode="External"/><Relationship Id="rId168" Type="http://schemas.openxmlformats.org/officeDocument/2006/relationships/hyperlink" Target="https://www.draftsharks.com/fantasy/points-outlook/brenton-strange/13686" TargetMode="External"/><Relationship Id="rId289" Type="http://schemas.openxmlformats.org/officeDocument/2006/relationships/hyperlink" Target="https://www.draftsharks.com/fantasy/points-outlook/theo-johnson/35010" TargetMode="External"/><Relationship Id="rId167" Type="http://schemas.openxmlformats.org/officeDocument/2006/relationships/hyperlink" Target="https://www.draftsharks.com/fantasy/points-outlook/zach-charbonnet/13564" TargetMode="External"/><Relationship Id="rId288" Type="http://schemas.openxmlformats.org/officeDocument/2006/relationships/hyperlink" Target="https://www.draftsharks.com/fantasy/points-outlook/max-klare/35975" TargetMode="External"/><Relationship Id="rId166" Type="http://schemas.openxmlformats.org/officeDocument/2006/relationships/hyperlink" Target="https://www.draftsharks.com/fantasy/points-outlook/jalen-nailor/12720" TargetMode="External"/><Relationship Id="rId287" Type="http://schemas.openxmlformats.org/officeDocument/2006/relationships/hyperlink" Target="https://www.draftsharks.com/fantasy/points-outlook/cade-klubnik/35923" TargetMode="External"/><Relationship Id="rId161" Type="http://schemas.openxmlformats.org/officeDocument/2006/relationships/hyperlink" Target="https://www.draftsharks.com/fantasy/points-outlook/jerry-jeudy/10598" TargetMode="External"/><Relationship Id="rId282" Type="http://schemas.openxmlformats.org/officeDocument/2006/relationships/hyperlink" Target="https://www.draftsharks.com/fantasy/points-outlook/devin-neal/35392" TargetMode="External"/><Relationship Id="rId160" Type="http://schemas.openxmlformats.org/officeDocument/2006/relationships/hyperlink" Target="https://www.draftsharks.com/fantasy/points-outlook/jauan-jennings/12430" TargetMode="External"/><Relationship Id="rId281" Type="http://schemas.openxmlformats.org/officeDocument/2006/relationships/hyperlink" Target="https://www.draftsharks.com/fantasy/points-outlook/eli-stowers/35974" TargetMode="External"/><Relationship Id="rId280" Type="http://schemas.openxmlformats.org/officeDocument/2006/relationships/hyperlink" Target="https://www.draftsharks.com/fantasy/points-outlook/jarquez-hunter/35331" TargetMode="External"/><Relationship Id="rId159" Type="http://schemas.openxmlformats.org/officeDocument/2006/relationships/hyperlink" Target="https://www.draftsharks.com/fantasy/points-outlook/dallas-goedert/9997" TargetMode="External"/><Relationship Id="rId154" Type="http://schemas.openxmlformats.org/officeDocument/2006/relationships/hyperlink" Target="https://www.draftsharks.com/fantasy/points-outlook/mark-andrews/10009" TargetMode="External"/><Relationship Id="rId275" Type="http://schemas.openxmlformats.org/officeDocument/2006/relationships/hyperlink" Target="https://www.draftsharks.com/fantasy/points-outlook/chimere-dike/35563" TargetMode="External"/><Relationship Id="rId153" Type="http://schemas.openxmlformats.org/officeDocument/2006/relationships/hyperlink" Target="https://www.draftsharks.com/fantasy/points-outlook/tyjae-spears/13569" TargetMode="External"/><Relationship Id="rId274" Type="http://schemas.openxmlformats.org/officeDocument/2006/relationships/hyperlink" Target="https://www.draftsharks.com/fantasy/points-outlook/demond-claiborne/35933" TargetMode="External"/><Relationship Id="rId152" Type="http://schemas.openxmlformats.org/officeDocument/2006/relationships/hyperlink" Target="https://www.draftsharks.com/fantasy/points-outlook/houston-texans/2969" TargetMode="External"/><Relationship Id="rId273" Type="http://schemas.openxmlformats.org/officeDocument/2006/relationships/hyperlink" Target="https://www.draftsharks.com/fantasy/points-outlook/kendre-miller/13570" TargetMode="External"/><Relationship Id="rId151" Type="http://schemas.openxmlformats.org/officeDocument/2006/relationships/hyperlink" Target="https://www.draftsharks.com/fantasy/points-outlook/keenan-allen/6678" TargetMode="External"/><Relationship Id="rId272" Type="http://schemas.openxmlformats.org/officeDocument/2006/relationships/hyperlink" Target="https://www.draftsharks.com/fantasy/points-outlook/jaylen-wright/34988" TargetMode="External"/><Relationship Id="rId158" Type="http://schemas.openxmlformats.org/officeDocument/2006/relationships/hyperlink" Target="https://www.draftsharks.com/fantasy/points-outlook/jake-ferguson/12708" TargetMode="External"/><Relationship Id="rId279" Type="http://schemas.openxmlformats.org/officeDocument/2006/relationships/hyperlink" Target="https://www.draftsharks.com/fantasy/points-outlook/ray-davis/34993" TargetMode="External"/><Relationship Id="rId157" Type="http://schemas.openxmlformats.org/officeDocument/2006/relationships/hyperlink" Target="https://www.draftsharks.com/fantasy/points-outlook/aaron-jones/9550" TargetMode="External"/><Relationship Id="rId278" Type="http://schemas.openxmlformats.org/officeDocument/2006/relationships/hyperlink" Target="https://www.draftsharks.com/fantasy/points-outlook/kaleb-johnson/35319" TargetMode="External"/><Relationship Id="rId156" Type="http://schemas.openxmlformats.org/officeDocument/2006/relationships/hyperlink" Target="https://www.draftsharks.com/fantasy/points-outlook/dalton-kincaid/13573" TargetMode="External"/><Relationship Id="rId277" Type="http://schemas.openxmlformats.org/officeDocument/2006/relationships/hyperlink" Target="https://www.draftsharks.com/fantasy/points-outlook/kimani-vidal/34998" TargetMode="External"/><Relationship Id="rId155" Type="http://schemas.openxmlformats.org/officeDocument/2006/relationships/hyperlink" Target="https://www.draftsharks.com/fantasy/points-outlook/dezhaun-stribling/36057" TargetMode="External"/><Relationship Id="rId276" Type="http://schemas.openxmlformats.org/officeDocument/2006/relationships/hyperlink" Target="https://www.draftsharks.com/fantasy/points-outlook/david-njoku/7770" TargetMode="External"/><Relationship Id="rId40" Type="http://schemas.openxmlformats.org/officeDocument/2006/relationships/hyperlink" Target="https://www.draftsharks.com/fantasy/points-outlook/malik-nabers/34977" TargetMode="External"/><Relationship Id="rId42" Type="http://schemas.openxmlformats.org/officeDocument/2006/relationships/hyperlink" Target="https://www.draftsharks.com/fantasy/points-outlook/jeremiyah-love/35925" TargetMode="External"/><Relationship Id="rId41" Type="http://schemas.openxmlformats.org/officeDocument/2006/relationships/hyperlink" Target="https://www.draftsharks.com/fantasy/points-outlook/zay-flowers/13550" TargetMode="External"/><Relationship Id="rId44" Type="http://schemas.openxmlformats.org/officeDocument/2006/relationships/hyperlink" Target="https://www.draftsharks.com/fantasy/points-outlook/chris-olave/12596" TargetMode="External"/><Relationship Id="rId43" Type="http://schemas.openxmlformats.org/officeDocument/2006/relationships/hyperlink" Target="https://www.draftsharks.com/fantasy/points-outlook/patrick-mahomes/7746" TargetMode="External"/><Relationship Id="rId46" Type="http://schemas.openxmlformats.org/officeDocument/2006/relationships/hyperlink" Target="https://www.draftsharks.com/fantasy/points-outlook/devonta-smith/10773" TargetMode="External"/><Relationship Id="rId45" Type="http://schemas.openxmlformats.org/officeDocument/2006/relationships/hyperlink" Target="https://www.draftsharks.com/fantasy/points-outlook/colston-loveland/35360" TargetMode="External"/><Relationship Id="rId48" Type="http://schemas.openxmlformats.org/officeDocument/2006/relationships/hyperlink" Target="https://www.draftsharks.com/fantasy/points-outlook/josh-jacobs/10195" TargetMode="External"/><Relationship Id="rId47" Type="http://schemas.openxmlformats.org/officeDocument/2006/relationships/hyperlink" Target="https://www.draftsharks.com/fantasy/points-outlook/tee-higgins/10607" TargetMode="External"/><Relationship Id="rId49" Type="http://schemas.openxmlformats.org/officeDocument/2006/relationships/hyperlink" Target="https://www.draftsharks.com/fantasy/points-outlook/garrett-wilson/12592" TargetMode="External"/><Relationship Id="rId31" Type="http://schemas.openxmlformats.org/officeDocument/2006/relationships/hyperlink" Target="https://www.draftsharks.com/fantasy/points-outlook/devon-achane/13563" TargetMode="External"/><Relationship Id="rId30" Type="http://schemas.openxmlformats.org/officeDocument/2006/relationships/hyperlink" Target="https://www.draftsharks.com/fantasy/points-outlook/kenneth-walker-iii/12579" TargetMode="External"/><Relationship Id="rId33" Type="http://schemas.openxmlformats.org/officeDocument/2006/relationships/hyperlink" Target="https://www.draftsharks.com/fantasy/points-outlook/brock-bowers/35006" TargetMode="External"/><Relationship Id="rId32" Type="http://schemas.openxmlformats.org/officeDocument/2006/relationships/hyperlink" Target="https://www.draftsharks.com/fantasy/points-outlook/george-pickens/12599" TargetMode="External"/><Relationship Id="rId35" Type="http://schemas.openxmlformats.org/officeDocument/2006/relationships/hyperlink" Target="https://www.draftsharks.com/fantasy/points-outlook/omarion-hampton/35318" TargetMode="External"/><Relationship Id="rId34" Type="http://schemas.openxmlformats.org/officeDocument/2006/relationships/hyperlink" Target="https://www.draftsharks.com/fantasy/points-outlook/chase-brown/13586" TargetMode="External"/><Relationship Id="rId37" Type="http://schemas.openxmlformats.org/officeDocument/2006/relationships/hyperlink" Target="https://www.draftsharks.com/fantasy/points-outlook/trey-mcbride/12587" TargetMode="External"/><Relationship Id="rId36" Type="http://schemas.openxmlformats.org/officeDocument/2006/relationships/hyperlink" Target="https://www.draftsharks.com/fantasy/points-outlook/jaxson-dart/35312" TargetMode="External"/><Relationship Id="rId39" Type="http://schemas.openxmlformats.org/officeDocument/2006/relationships/hyperlink" Target="https://www.draftsharks.com/fantasy/points-outlook/bo-nix/34984" TargetMode="External"/><Relationship Id="rId38" Type="http://schemas.openxmlformats.org/officeDocument/2006/relationships/hyperlink" Target="https://www.draftsharks.com/fantasy/points-outlook/derrick-henry/7461" TargetMode="External"/><Relationship Id="rId20" Type="http://schemas.openxmlformats.org/officeDocument/2006/relationships/hyperlink" Target="https://www.draftsharks.com/fantasy/points-outlook/drake-london/12594" TargetMode="External"/><Relationship Id="rId22" Type="http://schemas.openxmlformats.org/officeDocument/2006/relationships/hyperlink" Target="https://www.draftsharks.com/fantasy/points-outlook/rashee-rice/13553" TargetMode="External"/><Relationship Id="rId21" Type="http://schemas.openxmlformats.org/officeDocument/2006/relationships/hyperlink" Target="https://www.draftsharks.com/fantasy/points-outlook/nico-collins/10796" TargetMode="External"/><Relationship Id="rId24" Type="http://schemas.openxmlformats.org/officeDocument/2006/relationships/hyperlink" Target="https://www.draftsharks.com/fantasy/points-outlook/justin-herbert/10488" TargetMode="External"/><Relationship Id="rId23" Type="http://schemas.openxmlformats.org/officeDocument/2006/relationships/hyperlink" Target="https://www.draftsharks.com/fantasy/points-outlook/trevor-lawrence/10748" TargetMode="External"/><Relationship Id="rId26" Type="http://schemas.openxmlformats.org/officeDocument/2006/relationships/hyperlink" Target="https://www.draftsharks.com/fantasy/points-outlook/brock-purdy/12737" TargetMode="External"/><Relationship Id="rId25" Type="http://schemas.openxmlformats.org/officeDocument/2006/relationships/hyperlink" Target="https://www.draftsharks.com/fantasy/points-outlook/saquon-barkley/9994" TargetMode="External"/><Relationship Id="rId28" Type="http://schemas.openxmlformats.org/officeDocument/2006/relationships/hyperlink" Target="https://www.draftsharks.com/fantasy/points-outlook/kyler-murray/10217" TargetMode="External"/><Relationship Id="rId27" Type="http://schemas.openxmlformats.org/officeDocument/2006/relationships/hyperlink" Target="https://www.draftsharks.com/fantasy/points-outlook/caleb-williams/34974" TargetMode="External"/><Relationship Id="rId29" Type="http://schemas.openxmlformats.org/officeDocument/2006/relationships/hyperlink" Target="https://www.draftsharks.com/fantasy/points-outlook/dak-prescott/7453" TargetMode="External"/><Relationship Id="rId11" Type="http://schemas.openxmlformats.org/officeDocument/2006/relationships/hyperlink" Target="https://www.draftsharks.com/fantasy/points-outlook/drake-maye/15318" TargetMode="External"/><Relationship Id="rId10" Type="http://schemas.openxmlformats.org/officeDocument/2006/relationships/hyperlink" Target="https://www.draftsharks.com/fantasy/points-outlook/ceedee-lamb/10590" TargetMode="External"/><Relationship Id="rId13" Type="http://schemas.openxmlformats.org/officeDocument/2006/relationships/hyperlink" Target="https://www.draftsharks.com/fantasy/points-outlook/jayden-daniels/34982" TargetMode="External"/><Relationship Id="rId12" Type="http://schemas.openxmlformats.org/officeDocument/2006/relationships/hyperlink" Target="https://www.draftsharks.com/fantasy/points-outlook/justin-jefferson/10586" TargetMode="External"/><Relationship Id="rId15" Type="http://schemas.openxmlformats.org/officeDocument/2006/relationships/hyperlink" Target="https://www.draftsharks.com/fantasy/points-outlook/joe-burrow/10482" TargetMode="External"/><Relationship Id="rId14" Type="http://schemas.openxmlformats.org/officeDocument/2006/relationships/hyperlink" Target="https://www.draftsharks.com/fantasy/points-outlook/jonathan-taylor/10500" TargetMode="External"/><Relationship Id="rId17" Type="http://schemas.openxmlformats.org/officeDocument/2006/relationships/hyperlink" Target="https://www.draftsharks.com/fantasy/points-outlook/jalen-hurts/10490" TargetMode="External"/><Relationship Id="rId16" Type="http://schemas.openxmlformats.org/officeDocument/2006/relationships/hyperlink" Target="https://www.draftsharks.com/fantasy/points-outlook/ashton-jeanty/35317" TargetMode="External"/><Relationship Id="rId19" Type="http://schemas.openxmlformats.org/officeDocument/2006/relationships/hyperlink" Target="https://www.draftsharks.com/fantasy/points-outlook/a-j-brown/10198" TargetMode="External"/><Relationship Id="rId18" Type="http://schemas.openxmlformats.org/officeDocument/2006/relationships/hyperlink" Target="https://www.draftsharks.com/fantasy/points-outlook/james-cook/12585" TargetMode="External"/><Relationship Id="rId84" Type="http://schemas.openxmlformats.org/officeDocument/2006/relationships/hyperlink" Target="https://www.draftsharks.com/fantasy/points-outlook/treveyon-henderson/35323" TargetMode="External"/><Relationship Id="rId83" Type="http://schemas.openxmlformats.org/officeDocument/2006/relationships/hyperlink" Target="https://www.draftsharks.com/fantasy/points-outlook/sam-laporta/13576" TargetMode="External"/><Relationship Id="rId86" Type="http://schemas.openxmlformats.org/officeDocument/2006/relationships/hyperlink" Target="https://www.draftsharks.com/fantasy/points-outlook/aaron-rodgers/2636" TargetMode="External"/><Relationship Id="rId85" Type="http://schemas.openxmlformats.org/officeDocument/2006/relationships/hyperlink" Target="https://www.draftsharks.com/fantasy/points-outlook/harold-fannin-jr-/35361" TargetMode="External"/><Relationship Id="rId88" Type="http://schemas.openxmlformats.org/officeDocument/2006/relationships/hyperlink" Target="https://www.draftsharks.com/fantasy/points-outlook/carnell-tate/35950" TargetMode="External"/><Relationship Id="rId87" Type="http://schemas.openxmlformats.org/officeDocument/2006/relationships/hyperlink" Target="https://www.draftsharks.com/fantasy/points-outlook/d-k-metcalf/10197" TargetMode="External"/><Relationship Id="rId89" Type="http://schemas.openxmlformats.org/officeDocument/2006/relationships/hyperlink" Target="https://www.draftsharks.com/fantasy/points-outlook/quinshon-judkins/35320" TargetMode="External"/><Relationship Id="rId80" Type="http://schemas.openxmlformats.org/officeDocument/2006/relationships/hyperlink" Target="https://www.draftsharks.com/fantasy/points-outlook/parker-washington/13551" TargetMode="External"/><Relationship Id="rId82" Type="http://schemas.openxmlformats.org/officeDocument/2006/relationships/hyperlink" Target="https://www.draftsharks.com/fantasy/points-outlook/sam-darnold/9963" TargetMode="External"/><Relationship Id="rId81" Type="http://schemas.openxmlformats.org/officeDocument/2006/relationships/hyperlink" Target="https://www.draftsharks.com/fantasy/points-outlook/bucky-irving/34991" TargetMode="External"/><Relationship Id="rId73" Type="http://schemas.openxmlformats.org/officeDocument/2006/relationships/hyperlink" Target="https://www.draftsharks.com/fantasy/points-outlook/dandre-swift/10476" TargetMode="External"/><Relationship Id="rId72" Type="http://schemas.openxmlformats.org/officeDocument/2006/relationships/hyperlink" Target="https://www.draftsharks.com/fantasy/points-outlook/c-j-stroud/13539" TargetMode="External"/><Relationship Id="rId75" Type="http://schemas.openxmlformats.org/officeDocument/2006/relationships/hyperlink" Target="https://www.draftsharks.com/fantasy/points-outlook/rome-odunze/34980" TargetMode="External"/><Relationship Id="rId74" Type="http://schemas.openxmlformats.org/officeDocument/2006/relationships/hyperlink" Target="https://www.draftsharks.com/fantasy/points-outlook/jameson-williams/12595" TargetMode="External"/><Relationship Id="rId77" Type="http://schemas.openxmlformats.org/officeDocument/2006/relationships/hyperlink" Target="https://www.draftsharks.com/fantasy/points-outlook/tucker-kraft/13575" TargetMode="External"/><Relationship Id="rId76" Type="http://schemas.openxmlformats.org/officeDocument/2006/relationships/hyperlink" Target="https://www.draftsharks.com/fantasy/points-outlook/d-j-moore/9970" TargetMode="External"/><Relationship Id="rId79" Type="http://schemas.openxmlformats.org/officeDocument/2006/relationships/hyperlink" Target="https://www.draftsharks.com/fantasy/points-outlook/cameron-ward/35310" TargetMode="External"/><Relationship Id="rId78" Type="http://schemas.openxmlformats.org/officeDocument/2006/relationships/hyperlink" Target="https://www.draftsharks.com/fantasy/points-outlook/david-montgomery/10194" TargetMode="External"/><Relationship Id="rId71" Type="http://schemas.openxmlformats.org/officeDocument/2006/relationships/hyperlink" Target="https://www.draftsharks.com/fantasy/points-outlook/daniel-jones/10225" TargetMode="External"/><Relationship Id="rId70" Type="http://schemas.openxmlformats.org/officeDocument/2006/relationships/hyperlink" Target="https://www.draftsharks.com/fantasy/points-outlook/malik-willis/12572" TargetMode="External"/><Relationship Id="rId62" Type="http://schemas.openxmlformats.org/officeDocument/2006/relationships/hyperlink" Target="https://www.draftsharks.com/fantasy/points-outlook/luther-burden-iii/35334" TargetMode="External"/><Relationship Id="rId61" Type="http://schemas.openxmlformats.org/officeDocument/2006/relationships/hyperlink" Target="https://www.draftsharks.com/fantasy/points-outlook/emeka-egbuka/35335" TargetMode="External"/><Relationship Id="rId64" Type="http://schemas.openxmlformats.org/officeDocument/2006/relationships/hyperlink" Target="https://www.draftsharks.com/fantasy/points-outlook/christian-watson/12607" TargetMode="External"/><Relationship Id="rId63" Type="http://schemas.openxmlformats.org/officeDocument/2006/relationships/hyperlink" Target="https://www.draftsharks.com/fantasy/points-outlook/tetairoa-mcmillan/35333" TargetMode="External"/><Relationship Id="rId66" Type="http://schemas.openxmlformats.org/officeDocument/2006/relationships/hyperlink" Target="https://www.draftsharks.com/fantasy/points-outlook/ladd-mcconkey/35015" TargetMode="External"/><Relationship Id="rId65" Type="http://schemas.openxmlformats.org/officeDocument/2006/relationships/hyperlink" Target="https://www.draftsharks.com/fantasy/points-outlook/baker-mayfield/9960" TargetMode="External"/><Relationship Id="rId68" Type="http://schemas.openxmlformats.org/officeDocument/2006/relationships/hyperlink" Target="https://www.draftsharks.com/fantasy/points-outlook/cameron-skattebo/35382" TargetMode="External"/><Relationship Id="rId67" Type="http://schemas.openxmlformats.org/officeDocument/2006/relationships/hyperlink" Target="https://www.draftsharks.com/fantasy/points-outlook/terry-mclaurin/10269" TargetMode="External"/><Relationship Id="rId60" Type="http://schemas.openxmlformats.org/officeDocument/2006/relationships/hyperlink" Target="https://www.draftsharks.com/fantasy/points-outlook/kyren-williams/12580" TargetMode="External"/><Relationship Id="rId69" Type="http://schemas.openxmlformats.org/officeDocument/2006/relationships/hyperlink" Target="https://www.draftsharks.com/fantasy/points-outlook/mike-evans/6938" TargetMode="External"/><Relationship Id="rId51" Type="http://schemas.openxmlformats.org/officeDocument/2006/relationships/hyperlink" Target="https://www.draftsharks.com/fantasy/points-outlook/tyler-warren/35359" TargetMode="External"/><Relationship Id="rId50" Type="http://schemas.openxmlformats.org/officeDocument/2006/relationships/hyperlink" Target="https://www.draftsharks.com/fantasy/points-outlook/breece-hall/12577" TargetMode="External"/><Relationship Id="rId53" Type="http://schemas.openxmlformats.org/officeDocument/2006/relationships/hyperlink" Target="https://www.draftsharks.com/fantasy/points-outlook/jared-goff/7449" TargetMode="External"/><Relationship Id="rId52" Type="http://schemas.openxmlformats.org/officeDocument/2006/relationships/hyperlink" Target="https://www.draftsharks.com/fantasy/points-outlook/jaylen-waddle/10772" TargetMode="External"/><Relationship Id="rId55" Type="http://schemas.openxmlformats.org/officeDocument/2006/relationships/hyperlink" Target="https://www.draftsharks.com/fantasy/points-outlook/matthew-stafford/2" TargetMode="External"/><Relationship Id="rId54" Type="http://schemas.openxmlformats.org/officeDocument/2006/relationships/hyperlink" Target="https://www.draftsharks.com/fantasy/points-outlook/javonte-williams/10759" TargetMode="External"/><Relationship Id="rId57" Type="http://schemas.openxmlformats.org/officeDocument/2006/relationships/hyperlink" Target="https://www.draftsharks.com/fantasy/points-outlook/tyler-shough/35510" TargetMode="External"/><Relationship Id="rId56" Type="http://schemas.openxmlformats.org/officeDocument/2006/relationships/hyperlink" Target="https://www.draftsharks.com/fantasy/points-outlook/travis-etienne/10757" TargetMode="External"/><Relationship Id="rId59" Type="http://schemas.openxmlformats.org/officeDocument/2006/relationships/hyperlink" Target="https://www.draftsharks.com/fantasy/points-outlook/jordan-love/10489" TargetMode="External"/><Relationship Id="rId58" Type="http://schemas.openxmlformats.org/officeDocument/2006/relationships/hyperlink" Target="https://www.draftsharks.com/fantasy/points-outlook/davante-adams/6973" TargetMode="External"/><Relationship Id="rId107" Type="http://schemas.openxmlformats.org/officeDocument/2006/relationships/hyperlink" Target="https://www.draftsharks.com/fantasy/points-outlook/chris-godwin/7783" TargetMode="External"/><Relationship Id="rId228" Type="http://schemas.openxmlformats.org/officeDocument/2006/relationships/hyperlink" Target="https://www.draftsharks.com/fantasy/points-outlook/san-francisco-49ers/309" TargetMode="External"/><Relationship Id="rId106" Type="http://schemas.openxmlformats.org/officeDocument/2006/relationships/hyperlink" Target="https://www.draftsharks.com/fantasy/points-outlook/josh-downs/13548" TargetMode="External"/><Relationship Id="rId227" Type="http://schemas.openxmlformats.org/officeDocument/2006/relationships/hyperlink" Target="https://www.draftsharks.com/fantasy/points-outlook/jaydon-blue/35533" TargetMode="External"/><Relationship Id="rId105" Type="http://schemas.openxmlformats.org/officeDocument/2006/relationships/hyperlink" Target="https://www.draftsharks.com/fantasy/points-outlook/bhayshul-tuten/35322" TargetMode="External"/><Relationship Id="rId226" Type="http://schemas.openxmlformats.org/officeDocument/2006/relationships/hyperlink" Target="https://www.draftsharks.com/fantasy/points-outlook/will-reichard/35128" TargetMode="External"/><Relationship Id="rId104" Type="http://schemas.openxmlformats.org/officeDocument/2006/relationships/hyperlink" Target="https://www.draftsharks.com/fantasy/points-outlook/quentin-johnston/13545" TargetMode="External"/><Relationship Id="rId225" Type="http://schemas.openxmlformats.org/officeDocument/2006/relationships/hyperlink" Target="https://www.draftsharks.com/fantasy/points-outlook/tyler-allgeier/12582" TargetMode="External"/><Relationship Id="rId109" Type="http://schemas.openxmlformats.org/officeDocument/2006/relationships/hyperlink" Target="https://www.draftsharks.com/fantasy/points-outlook/kyle-pitts/10747" TargetMode="External"/><Relationship Id="rId108" Type="http://schemas.openxmlformats.org/officeDocument/2006/relationships/hyperlink" Target="https://www.draftsharks.com/fantasy/points-outlook/rhamondre-stevenson/10763" TargetMode="External"/><Relationship Id="rId229" Type="http://schemas.openxmlformats.org/officeDocument/2006/relationships/hyperlink" Target="https://www.draftsharks.com/fantasy/points-outlook/brian-robinson-jr-/12581" TargetMode="External"/><Relationship Id="rId220" Type="http://schemas.openxmlformats.org/officeDocument/2006/relationships/hyperlink" Target="https://www.draftsharks.com/fantasy/points-outlook/kansas-city-chiefs/951" TargetMode="External"/><Relationship Id="rId103" Type="http://schemas.openxmlformats.org/officeDocument/2006/relationships/hyperlink" Target="https://www.draftsharks.com/fantasy/points-outlook/jakobi-meyers/10364" TargetMode="External"/><Relationship Id="rId224" Type="http://schemas.openxmlformats.org/officeDocument/2006/relationships/hyperlink" Target="https://www.draftsharks.com/fantasy/points-outlook/tampa-bay-buccaneers/834" TargetMode="External"/><Relationship Id="rId102" Type="http://schemas.openxmlformats.org/officeDocument/2006/relationships/hyperlink" Target="https://www.draftsharks.com/fantasy/points-outlook/geno-smith/6653" TargetMode="External"/><Relationship Id="rId223" Type="http://schemas.openxmlformats.org/officeDocument/2006/relationships/hyperlink" Target="https://www.draftsharks.com/fantasy/points-outlook/chase-mclaughlin/10436" TargetMode="External"/><Relationship Id="rId101" Type="http://schemas.openxmlformats.org/officeDocument/2006/relationships/hyperlink" Target="https://www.draftsharks.com/fantasy/points-outlook/jaylen-warren/13199" TargetMode="External"/><Relationship Id="rId222" Type="http://schemas.openxmlformats.org/officeDocument/2006/relationships/hyperlink" Target="https://www.draftsharks.com/fantasy/points-outlook/devaughn-vele/35134" TargetMode="External"/><Relationship Id="rId100" Type="http://schemas.openxmlformats.org/officeDocument/2006/relationships/hyperlink" Target="https://www.draftsharks.com/fantasy/points-outlook/jordan-addison/13546" TargetMode="External"/><Relationship Id="rId221" Type="http://schemas.openxmlformats.org/officeDocument/2006/relationships/hyperlink" Target="https://www.draftsharks.com/fantasy/points-outlook/chris-boswell/7396" TargetMode="External"/><Relationship Id="rId217" Type="http://schemas.openxmlformats.org/officeDocument/2006/relationships/hyperlink" Target="https://www.draftsharks.com/fantasy/points-outlook/jason-myers/7374" TargetMode="External"/><Relationship Id="rId216" Type="http://schemas.openxmlformats.org/officeDocument/2006/relationships/hyperlink" Target="https://www.draftsharks.com/fantasy/points-outlook/darnell-mooney/10628" TargetMode="External"/><Relationship Id="rId215" Type="http://schemas.openxmlformats.org/officeDocument/2006/relationships/hyperlink" Target="https://www.draftsharks.com/fantasy/points-outlook/andres-borregales/35588" TargetMode="External"/><Relationship Id="rId214" Type="http://schemas.openxmlformats.org/officeDocument/2006/relationships/hyperlink" Target="https://www.draftsharks.com/fantasy/points-outlook/buffalo-bills/841" TargetMode="External"/><Relationship Id="rId219" Type="http://schemas.openxmlformats.org/officeDocument/2006/relationships/hyperlink" Target="https://www.draftsharks.com/fantasy/points-outlook/tyreek-hill/7572" TargetMode="External"/><Relationship Id="rId218" Type="http://schemas.openxmlformats.org/officeDocument/2006/relationships/hyperlink" Target="https://www.draftsharks.com/fantasy/points-outlook/oronde-gadsden-ii/35532" TargetMode="External"/><Relationship Id="rId213" Type="http://schemas.openxmlformats.org/officeDocument/2006/relationships/hyperlink" Target="https://www.draftsharks.com/fantasy/points-outlook/chicago-bears/646" TargetMode="External"/><Relationship Id="rId212" Type="http://schemas.openxmlformats.org/officeDocument/2006/relationships/hyperlink" Target="https://www.draftsharks.com/fantasy/points-outlook/t-j-hockenson/10223" TargetMode="External"/><Relationship Id="rId211" Type="http://schemas.openxmlformats.org/officeDocument/2006/relationships/hyperlink" Target="https://www.draftsharks.com/fantasy/points-outlook/pat-bryant/35355" TargetMode="External"/><Relationship Id="rId210" Type="http://schemas.openxmlformats.org/officeDocument/2006/relationships/hyperlink" Target="https://www.draftsharks.com/fantasy/points-outlook/dalton-schultz/10059" TargetMode="External"/><Relationship Id="rId129" Type="http://schemas.openxmlformats.org/officeDocument/2006/relationships/hyperlink" Target="https://www.draftsharks.com/fantasy/points-outlook/deshaun-watson/7744" TargetMode="External"/><Relationship Id="rId128" Type="http://schemas.openxmlformats.org/officeDocument/2006/relationships/hyperlink" Target="https://www.draftsharks.com/fantasy/points-outlook/j-k-dobbins/10478" TargetMode="External"/><Relationship Id="rId249" Type="http://schemas.openxmlformats.org/officeDocument/2006/relationships/hyperlink" Target="https://www.draftsharks.com/fantasy/points-outlook/evan-mcpherson/10871" TargetMode="External"/><Relationship Id="rId127" Type="http://schemas.openxmlformats.org/officeDocument/2006/relationships/hyperlink" Target="https://www.draftsharks.com/fantasy/points-outlook/travis-kelce/6709" TargetMode="External"/><Relationship Id="rId248" Type="http://schemas.openxmlformats.org/officeDocument/2006/relationships/hyperlink" Target="https://www.draftsharks.com/fantasy/points-outlook/chris-bell/35952" TargetMode="External"/><Relationship Id="rId126" Type="http://schemas.openxmlformats.org/officeDocument/2006/relationships/hyperlink" Target="https://www.draftsharks.com/fantasy/points-outlook/matthew-golden/35515" TargetMode="External"/><Relationship Id="rId247" Type="http://schemas.openxmlformats.org/officeDocument/2006/relationships/hyperlink" Target="https://www.draftsharks.com/fantasy/points-outlook/marvin-mims-jr-/13554" TargetMode="External"/><Relationship Id="rId121" Type="http://schemas.openxmlformats.org/officeDocument/2006/relationships/hyperlink" Target="https://www.draftsharks.com/fantasy/points-outlook/michael-penix-jr-/34983" TargetMode="External"/><Relationship Id="rId242" Type="http://schemas.openxmlformats.org/officeDocument/2006/relationships/hyperlink" Target="https://www.draftsharks.com/fantasy/points-outlook/troy-franklin/34981" TargetMode="External"/><Relationship Id="rId120" Type="http://schemas.openxmlformats.org/officeDocument/2006/relationships/hyperlink" Target="https://www.draftsharks.com/fantasy/points-outlook/tua-tagovailoa/10483" TargetMode="External"/><Relationship Id="rId241" Type="http://schemas.openxmlformats.org/officeDocument/2006/relationships/hyperlink" Target="https://www.draftsharks.com/fantasy/points-outlook/cincinnati-bengals/665" TargetMode="External"/><Relationship Id="rId240" Type="http://schemas.openxmlformats.org/officeDocument/2006/relationships/hyperlink" Target="https://www.draftsharks.com/fantasy/points-outlook/aj-barner/35009" TargetMode="External"/><Relationship Id="rId125" Type="http://schemas.openxmlformats.org/officeDocument/2006/relationships/hyperlink" Target="https://www.draftsharks.com/fantasy/points-outlook/michael-wilson/13558" TargetMode="External"/><Relationship Id="rId246" Type="http://schemas.openxmlformats.org/officeDocument/2006/relationships/hyperlink" Target="https://www.draftsharks.com/fantasy/points-outlook/terrance-ferguson/35364" TargetMode="External"/><Relationship Id="rId124" Type="http://schemas.openxmlformats.org/officeDocument/2006/relationships/hyperlink" Target="https://www.draftsharks.com/fantasy/points-outlook/wandale-robinson/12600" TargetMode="External"/><Relationship Id="rId245" Type="http://schemas.openxmlformats.org/officeDocument/2006/relationships/hyperlink" Target="https://www.draftsharks.com/fantasy/points-outlook/emmett-johnson/35932" TargetMode="External"/><Relationship Id="rId123" Type="http://schemas.openxmlformats.org/officeDocument/2006/relationships/hyperlink" Target="https://www.draftsharks.com/fantasy/points-outlook/kc-concepcion/35951" TargetMode="External"/><Relationship Id="rId244" Type="http://schemas.openxmlformats.org/officeDocument/2006/relationships/hyperlink" Target="https://www.draftsharks.com/fantasy/points-outlook/dallas-cowboys/1040" TargetMode="External"/><Relationship Id="rId122" Type="http://schemas.openxmlformats.org/officeDocument/2006/relationships/hyperlink" Target="https://www.draftsharks.com/fantasy/points-outlook/deebo-samuel/10205" TargetMode="External"/><Relationship Id="rId243" Type="http://schemas.openxmlformats.org/officeDocument/2006/relationships/hyperlink" Target="https://www.draftsharks.com/fantasy/points-outlook/gunnar-helm/35365" TargetMode="External"/><Relationship Id="rId95" Type="http://schemas.openxmlformats.org/officeDocument/2006/relationships/hyperlink" Target="https://www.draftsharks.com/fantasy/points-outlook/jayden-reed/13557" TargetMode="External"/><Relationship Id="rId94" Type="http://schemas.openxmlformats.org/officeDocument/2006/relationships/hyperlink" Target="https://www.draftsharks.com/fantasy/points-outlook/courtland-sutton/9968" TargetMode="External"/><Relationship Id="rId97" Type="http://schemas.openxmlformats.org/officeDocument/2006/relationships/hyperlink" Target="https://www.draftsharks.com/fantasy/points-outlook/jacoby-brissett/7555" TargetMode="External"/><Relationship Id="rId96" Type="http://schemas.openxmlformats.org/officeDocument/2006/relationships/hyperlink" Target="https://www.draftsharks.com/fantasy/points-outlook/fernando-mendoza/35915" TargetMode="External"/><Relationship Id="rId99" Type="http://schemas.openxmlformats.org/officeDocument/2006/relationships/hyperlink" Target="https://www.draftsharks.com/fantasy/points-outlook/brian-thomas-jr-/35014" TargetMode="External"/><Relationship Id="rId98" Type="http://schemas.openxmlformats.org/officeDocument/2006/relationships/hyperlink" Target="https://www.draftsharks.com/fantasy/points-outlook/alec-pierce/12605" TargetMode="External"/><Relationship Id="rId91" Type="http://schemas.openxmlformats.org/officeDocument/2006/relationships/hyperlink" Target="https://www.draftsharks.com/fantasy/points-outlook/marvin-harrison-jr-/34975" TargetMode="External"/><Relationship Id="rId90" Type="http://schemas.openxmlformats.org/officeDocument/2006/relationships/hyperlink" Target="https://www.draftsharks.com/fantasy/points-outlook/bryce-young/13540" TargetMode="External"/><Relationship Id="rId93" Type="http://schemas.openxmlformats.org/officeDocument/2006/relationships/hyperlink" Target="https://www.draftsharks.com/fantasy/points-outlook/michael-pittman-jr-/10584" TargetMode="External"/><Relationship Id="rId92" Type="http://schemas.openxmlformats.org/officeDocument/2006/relationships/hyperlink" Target="https://www.draftsharks.com/fantasy/points-outlook/jordyn-tyson/35947" TargetMode="External"/><Relationship Id="rId118" Type="http://schemas.openxmlformats.org/officeDocument/2006/relationships/hyperlink" Target="https://www.draftsharks.com/fantasy/points-outlook/jadarian-price/35926" TargetMode="External"/><Relationship Id="rId239" Type="http://schemas.openxmlformats.org/officeDocument/2006/relationships/hyperlink" Target="https://www.draftsharks.com/fantasy/points-outlook/elijah-sarratt/35954" TargetMode="External"/><Relationship Id="rId117" Type="http://schemas.openxmlformats.org/officeDocument/2006/relationships/hyperlink" Target="https://www.draftsharks.com/fantasy/points-outlook/makai-lemon/35948" TargetMode="External"/><Relationship Id="rId238" Type="http://schemas.openxmlformats.org/officeDocument/2006/relationships/hyperlink" Target="https://www.draftsharks.com/fantasy/points-outlook/nathaniel-dell/13552" TargetMode="External"/><Relationship Id="rId116" Type="http://schemas.openxmlformats.org/officeDocument/2006/relationships/hyperlink" Target="https://www.draftsharks.com/fantasy/points-outlook/chuba-hubbard/10766" TargetMode="External"/><Relationship Id="rId237" Type="http://schemas.openxmlformats.org/officeDocument/2006/relationships/hyperlink" Target="https://www.draftsharks.com/fantasy/points-outlook/new-orleans-saints/2688" TargetMode="External"/><Relationship Id="rId115" Type="http://schemas.openxmlformats.org/officeDocument/2006/relationships/hyperlink" Target="https://www.draftsharks.com/fantasy/points-outlook/romeo-doubs/12606" TargetMode="External"/><Relationship Id="rId236" Type="http://schemas.openxmlformats.org/officeDocument/2006/relationships/hyperlink" Target="https://www.draftsharks.com/fantasy/points-outlook/jonah-coleman/35927" TargetMode="External"/><Relationship Id="rId119" Type="http://schemas.openxmlformats.org/officeDocument/2006/relationships/hyperlink" Target="https://www.draftsharks.com/fantasy/points-outlook/jayden-higgins/35345" TargetMode="External"/><Relationship Id="rId110" Type="http://schemas.openxmlformats.org/officeDocument/2006/relationships/hyperlink" Target="https://www.draftsharks.com/fantasy/points-outlook/xavier-worthy/35021" TargetMode="External"/><Relationship Id="rId231" Type="http://schemas.openxmlformats.org/officeDocument/2006/relationships/hyperlink" Target="https://www.draftsharks.com/fantasy/points-outlook/jakobi-lane/35955" TargetMode="External"/><Relationship Id="rId230" Type="http://schemas.openxmlformats.org/officeDocument/2006/relationships/hyperlink" Target="https://www.draftsharks.com/fantasy/points-outlook/keon-coleman/35017" TargetMode="External"/><Relationship Id="rId114" Type="http://schemas.openxmlformats.org/officeDocument/2006/relationships/hyperlink" Target="https://www.draftsharks.com/fantasy/points-outlook/tony-pollard/10305" TargetMode="External"/><Relationship Id="rId235" Type="http://schemas.openxmlformats.org/officeDocument/2006/relationships/hyperlink" Target="https://www.draftsharks.com/fantasy/points-outlook/isaac-teslaa/35572" TargetMode="External"/><Relationship Id="rId113" Type="http://schemas.openxmlformats.org/officeDocument/2006/relationships/hyperlink" Target="https://www.draftsharks.com/fantasy/points-outlook/george-kittle/9540" TargetMode="External"/><Relationship Id="rId234" Type="http://schemas.openxmlformats.org/officeDocument/2006/relationships/hyperlink" Target="https://www.draftsharks.com/fantasy/points-outlook/cade-otton/12705" TargetMode="External"/><Relationship Id="rId112" Type="http://schemas.openxmlformats.org/officeDocument/2006/relationships/hyperlink" Target="https://www.draftsharks.com/fantasy/points-outlook/rico-dowdle/12103" TargetMode="External"/><Relationship Id="rId233" Type="http://schemas.openxmlformats.org/officeDocument/2006/relationships/hyperlink" Target="https://www.draftsharks.com/fantasy/points-outlook/jake-elliott/9541" TargetMode="External"/><Relationship Id="rId111" Type="http://schemas.openxmlformats.org/officeDocument/2006/relationships/hyperlink" Target="https://www.draftsharks.com/fantasy/points-outlook/stefon-diggs/7280" TargetMode="External"/><Relationship Id="rId232" Type="http://schemas.openxmlformats.org/officeDocument/2006/relationships/hyperlink" Target="https://www.draftsharks.com/fantasy/points-outlook/indianapolis-colts/1013" TargetMode="External"/><Relationship Id="rId304" Type="http://schemas.openxmlformats.org/officeDocument/2006/relationships/drawing" Target="../drawings/drawing3.xml"/><Relationship Id="rId303" Type="http://schemas.openxmlformats.org/officeDocument/2006/relationships/hyperlink" Target="https://www.draftsharks.com/fantasy/points-outlook/michael-trigg/35979" TargetMode="External"/><Relationship Id="rId302" Type="http://schemas.openxmlformats.org/officeDocument/2006/relationships/hyperlink" Target="https://www.draftsharks.com/fantasy/points-outlook/chris-brazzell-ii/35956" TargetMode="External"/><Relationship Id="rId301" Type="http://schemas.openxmlformats.org/officeDocument/2006/relationships/hyperlink" Target="https://www.draftsharks.com/fantasy/points-outlook/jake-tonges/35877" TargetMode="External"/><Relationship Id="rId300" Type="http://schemas.openxmlformats.org/officeDocument/2006/relationships/hyperlink" Target="https://www.draftsharks.com/fantasy/points-outlook/garrett-nussmeier/35921" TargetMode="External"/><Relationship Id="rId206" Type="http://schemas.openxmlformats.org/officeDocument/2006/relationships/hyperlink" Target="https://www.draftsharks.com/fantasy/points-outlook/alvin-kamara/7751" TargetMode="External"/><Relationship Id="rId205" Type="http://schemas.openxmlformats.org/officeDocument/2006/relationships/hyperlink" Target="https://www.draftsharks.com/fantasy/points-outlook/travis-hunter/35371" TargetMode="External"/><Relationship Id="rId204" Type="http://schemas.openxmlformats.org/officeDocument/2006/relationships/hyperlink" Target="https://www.draftsharks.com/fantasy/points-outlook/new-york-giants/1402" TargetMode="External"/><Relationship Id="rId203" Type="http://schemas.openxmlformats.org/officeDocument/2006/relationships/hyperlink" Target="https://www.draftsharks.com/fantasy/points-outlook/los-angeles-chargers/943" TargetMode="External"/><Relationship Id="rId209" Type="http://schemas.openxmlformats.org/officeDocument/2006/relationships/hyperlink" Target="https://www.draftsharks.com/fantasy/points-outlook/brandon-aiyuk/10582" TargetMode="External"/><Relationship Id="rId208" Type="http://schemas.openxmlformats.org/officeDocument/2006/relationships/hyperlink" Target="https://www.draftsharks.com/fantasy/points-outlook/jacksonville-jaguars/1780" TargetMode="External"/><Relationship Id="rId207" Type="http://schemas.openxmlformats.org/officeDocument/2006/relationships/hyperlink" Target="https://www.draftsharks.com/fantasy/points-outlook/keaton-mitchell/13674" TargetMode="External"/><Relationship Id="rId202" Type="http://schemas.openxmlformats.org/officeDocument/2006/relationships/hyperlink" Target="https://www.draftsharks.com/fantasy/points-outlook/chigoziem-okonkwo/12711" TargetMode="External"/><Relationship Id="rId201" Type="http://schemas.openxmlformats.org/officeDocument/2006/relationships/hyperlink" Target="https://www.draftsharks.com/fantasy/points-outlook/harrison-butker/9930" TargetMode="External"/><Relationship Id="rId200" Type="http://schemas.openxmlformats.org/officeDocument/2006/relationships/hyperlink" Target="https://www.draftsharks.com/fantasy/points-outlook/detroit-lions/20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6" t="s">
        <v>20</v>
      </c>
      <c r="C1" s="4" t="s">
        <v>43</v>
      </c>
      <c r="D1" s="4" t="s">
        <v>44</v>
      </c>
      <c r="E1" s="4" t="s">
        <v>45</v>
      </c>
    </row>
    <row r="2">
      <c r="A2" s="9" t="s">
        <v>49</v>
      </c>
      <c r="B2" s="11"/>
      <c r="E2" s="13" t="s">
        <v>69</v>
      </c>
    </row>
    <row r="3">
      <c r="A3" s="14">
        <v>1.0</v>
      </c>
      <c r="B3" s="17" t="s">
        <v>79</v>
      </c>
      <c r="C3" s="14" t="s">
        <v>91</v>
      </c>
      <c r="D3" s="14">
        <v>7.0</v>
      </c>
      <c r="E3" s="18" t="s">
        <v>96</v>
      </c>
    </row>
    <row r="4">
      <c r="A4" s="19">
        <v>2.0</v>
      </c>
      <c r="B4" s="17" t="s">
        <v>103</v>
      </c>
      <c r="C4" s="19" t="s">
        <v>109</v>
      </c>
      <c r="D4" s="19">
        <v>13.0</v>
      </c>
      <c r="E4" s="21" t="s">
        <v>96</v>
      </c>
    </row>
    <row r="5">
      <c r="A5" s="14">
        <v>3.0</v>
      </c>
      <c r="B5" s="17" t="s">
        <v>116</v>
      </c>
      <c r="C5" s="14" t="s">
        <v>122</v>
      </c>
      <c r="D5" s="14">
        <v>11.0</v>
      </c>
      <c r="E5" s="18" t="s">
        <v>96</v>
      </c>
    </row>
    <row r="6">
      <c r="A6" s="19">
        <v>4.0</v>
      </c>
      <c r="B6" s="17" t="s">
        <v>124</v>
      </c>
      <c r="C6" s="19" t="s">
        <v>129</v>
      </c>
      <c r="D6" s="19">
        <v>6.0</v>
      </c>
      <c r="E6" s="21" t="s">
        <v>96</v>
      </c>
    </row>
    <row r="7">
      <c r="A7" s="24" t="s">
        <v>133</v>
      </c>
      <c r="B7" s="25"/>
      <c r="E7" s="13" t="s">
        <v>145</v>
      </c>
    </row>
    <row r="8">
      <c r="A8" s="19">
        <v>5.0</v>
      </c>
      <c r="B8" s="17" t="s">
        <v>150</v>
      </c>
      <c r="C8" s="19" t="s">
        <v>156</v>
      </c>
      <c r="D8" s="19">
        <v>7.0</v>
      </c>
      <c r="E8" s="21" t="s">
        <v>96</v>
      </c>
    </row>
    <row r="9">
      <c r="A9" s="14">
        <v>6.0</v>
      </c>
      <c r="B9" s="17" t="s">
        <v>160</v>
      </c>
      <c r="C9" s="14" t="s">
        <v>164</v>
      </c>
      <c r="D9" s="14">
        <v>10.0</v>
      </c>
      <c r="E9" s="18" t="s">
        <v>96</v>
      </c>
    </row>
    <row r="10">
      <c r="A10" s="19">
        <v>7.0</v>
      </c>
      <c r="B10" s="17" t="s">
        <v>167</v>
      </c>
      <c r="C10" s="19" t="s">
        <v>153</v>
      </c>
      <c r="D10" s="19">
        <v>6.0</v>
      </c>
      <c r="E10" s="21" t="s">
        <v>96</v>
      </c>
    </row>
    <row r="11">
      <c r="A11" s="14">
        <v>8.0</v>
      </c>
      <c r="B11" s="17" t="s">
        <v>172</v>
      </c>
      <c r="C11" s="14" t="s">
        <v>139</v>
      </c>
      <c r="D11" s="14">
        <v>11.0</v>
      </c>
      <c r="E11" s="18" t="s">
        <v>96</v>
      </c>
    </row>
    <row r="12">
      <c r="A12" s="19">
        <v>9.0</v>
      </c>
      <c r="B12" s="17" t="s">
        <v>175</v>
      </c>
      <c r="C12" s="19" t="s">
        <v>179</v>
      </c>
      <c r="D12" s="19">
        <v>10.0</v>
      </c>
      <c r="E12" s="21" t="s">
        <v>96</v>
      </c>
    </row>
    <row r="13">
      <c r="A13" s="14">
        <v>10.0</v>
      </c>
      <c r="B13" s="17" t="s">
        <v>182</v>
      </c>
      <c r="C13" s="14" t="s">
        <v>184</v>
      </c>
      <c r="D13" s="14">
        <v>7.0</v>
      </c>
      <c r="E13" s="18" t="s">
        <v>96</v>
      </c>
    </row>
    <row r="14">
      <c r="A14" s="19">
        <v>11.0</v>
      </c>
      <c r="B14" s="17" t="s">
        <v>186</v>
      </c>
      <c r="C14" s="19" t="s">
        <v>183</v>
      </c>
      <c r="D14" s="19">
        <v>6.0</v>
      </c>
      <c r="E14" s="21" t="s">
        <v>96</v>
      </c>
    </row>
    <row r="15">
      <c r="A15" s="14">
        <v>12.0</v>
      </c>
      <c r="B15" s="17" t="s">
        <v>187</v>
      </c>
      <c r="C15" s="14" t="s">
        <v>169</v>
      </c>
      <c r="D15" s="14">
        <v>11.0</v>
      </c>
      <c r="E15" s="18" t="s">
        <v>96</v>
      </c>
    </row>
    <row r="16">
      <c r="A16" s="9" t="s">
        <v>189</v>
      </c>
      <c r="B16" s="11"/>
      <c r="E16" s="13" t="s">
        <v>190</v>
      </c>
    </row>
    <row r="17">
      <c r="A17" s="14">
        <v>13.0</v>
      </c>
      <c r="B17" s="17" t="s">
        <v>192</v>
      </c>
      <c r="C17" s="14" t="s">
        <v>193</v>
      </c>
      <c r="D17" s="14">
        <v>11.0</v>
      </c>
      <c r="E17" s="18" t="s">
        <v>96</v>
      </c>
    </row>
    <row r="18">
      <c r="A18" s="19">
        <v>14.0</v>
      </c>
      <c r="B18" s="17" t="s">
        <v>194</v>
      </c>
      <c r="C18" s="19" t="s">
        <v>196</v>
      </c>
      <c r="D18" s="19">
        <v>6.0</v>
      </c>
      <c r="E18" s="21" t="s">
        <v>96</v>
      </c>
    </row>
    <row r="19">
      <c r="A19" s="14">
        <v>15.0</v>
      </c>
      <c r="B19" s="17" t="s">
        <v>197</v>
      </c>
      <c r="C19" s="14" t="s">
        <v>199</v>
      </c>
      <c r="D19" s="14">
        <v>7.0</v>
      </c>
      <c r="E19" s="18" t="s">
        <v>96</v>
      </c>
    </row>
    <row r="20">
      <c r="A20" s="19">
        <v>16.0</v>
      </c>
      <c r="B20" s="17" t="s">
        <v>200</v>
      </c>
      <c r="C20" s="19" t="s">
        <v>201</v>
      </c>
      <c r="D20" s="19">
        <v>14.0</v>
      </c>
      <c r="E20" s="21" t="s">
        <v>96</v>
      </c>
    </row>
    <row r="21">
      <c r="A21" s="14">
        <v>17.0</v>
      </c>
      <c r="B21" s="17" t="s">
        <v>203</v>
      </c>
      <c r="C21" s="14" t="s">
        <v>188</v>
      </c>
      <c r="D21" s="14">
        <v>8.0</v>
      </c>
      <c r="E21" s="18" t="s">
        <v>96</v>
      </c>
    </row>
    <row r="22">
      <c r="A22" s="19">
        <v>18.0</v>
      </c>
      <c r="B22" s="17" t="s">
        <v>204</v>
      </c>
      <c r="C22" s="19" t="s">
        <v>198</v>
      </c>
      <c r="D22" s="19">
        <v>14.0</v>
      </c>
      <c r="E22" s="21" t="s">
        <v>96</v>
      </c>
    </row>
    <row r="23">
      <c r="A23" s="14">
        <v>19.0</v>
      </c>
      <c r="B23" s="17" t="s">
        <v>205</v>
      </c>
      <c r="C23" s="14" t="s">
        <v>207</v>
      </c>
      <c r="D23" s="14">
        <v>6.0</v>
      </c>
      <c r="E23" s="18" t="s">
        <v>96</v>
      </c>
    </row>
    <row r="24">
      <c r="A24" s="19">
        <v>20.0</v>
      </c>
      <c r="B24" s="17" t="s">
        <v>208</v>
      </c>
      <c r="C24" s="19" t="s">
        <v>209</v>
      </c>
      <c r="D24" s="19">
        <v>8.0</v>
      </c>
      <c r="E24" s="21" t="s">
        <v>96</v>
      </c>
    </row>
    <row r="25">
      <c r="A25" s="14">
        <v>21.0</v>
      </c>
      <c r="B25" s="17" t="s">
        <v>211</v>
      </c>
      <c r="C25" s="14" t="s">
        <v>212</v>
      </c>
      <c r="D25" s="14">
        <v>8.0</v>
      </c>
      <c r="E25" s="18" t="s">
        <v>96</v>
      </c>
    </row>
    <row r="26">
      <c r="A26" s="9" t="s">
        <v>213</v>
      </c>
      <c r="B26" s="11"/>
      <c r="E26" s="13" t="s">
        <v>214</v>
      </c>
    </row>
    <row r="27">
      <c r="A27" s="14">
        <v>22.0</v>
      </c>
      <c r="B27" s="17" t="s">
        <v>215</v>
      </c>
      <c r="C27" s="14" t="s">
        <v>217</v>
      </c>
      <c r="D27" s="14">
        <v>13.0</v>
      </c>
      <c r="E27" s="18" t="s">
        <v>96</v>
      </c>
    </row>
    <row r="28">
      <c r="A28" s="19">
        <v>23.0</v>
      </c>
      <c r="B28" s="17" t="s">
        <v>218</v>
      </c>
      <c r="C28" s="19" t="s">
        <v>219</v>
      </c>
      <c r="D28" s="19">
        <v>10.0</v>
      </c>
      <c r="E28" s="21" t="s">
        <v>96</v>
      </c>
    </row>
    <row r="29">
      <c r="A29" s="14">
        <v>24.0</v>
      </c>
      <c r="B29" s="17" t="s">
        <v>221</v>
      </c>
      <c r="C29" s="14" t="s">
        <v>222</v>
      </c>
      <c r="D29" s="14">
        <v>11.0</v>
      </c>
      <c r="E29" s="18" t="s">
        <v>96</v>
      </c>
    </row>
    <row r="30">
      <c r="A30" s="19">
        <v>25.0</v>
      </c>
      <c r="B30" s="17" t="s">
        <v>223</v>
      </c>
      <c r="C30" s="19" t="s">
        <v>225</v>
      </c>
      <c r="D30" s="19">
        <v>5.0</v>
      </c>
      <c r="E30" s="21" t="s">
        <v>96</v>
      </c>
    </row>
    <row r="31">
      <c r="A31" s="14">
        <v>26.0</v>
      </c>
      <c r="B31" s="17" t="s">
        <v>226</v>
      </c>
      <c r="C31" s="14" t="s">
        <v>227</v>
      </c>
      <c r="D31" s="14">
        <v>11.0</v>
      </c>
      <c r="E31" s="18" t="s">
        <v>96</v>
      </c>
    </row>
    <row r="32">
      <c r="A32" s="27"/>
    </row>
    <row r="33">
      <c r="A33" s="14">
        <v>27.0</v>
      </c>
      <c r="B33" s="17" t="s">
        <v>229</v>
      </c>
      <c r="C33" s="14" t="s">
        <v>231</v>
      </c>
      <c r="D33" s="14">
        <v>11.0</v>
      </c>
      <c r="E33" s="18" t="s">
        <v>96</v>
      </c>
    </row>
    <row r="34">
      <c r="A34" s="19">
        <v>28.0</v>
      </c>
      <c r="B34" s="17" t="s">
        <v>233</v>
      </c>
      <c r="C34" s="19" t="s">
        <v>235</v>
      </c>
      <c r="D34" s="19">
        <v>8.0</v>
      </c>
      <c r="E34" s="21" t="s">
        <v>96</v>
      </c>
    </row>
    <row r="35">
      <c r="A35" s="14">
        <v>29.0</v>
      </c>
      <c r="B35" s="17" t="s">
        <v>236</v>
      </c>
      <c r="C35" s="14" t="s">
        <v>237</v>
      </c>
      <c r="D35" s="14">
        <v>13.0</v>
      </c>
      <c r="E35" s="18" t="s">
        <v>96</v>
      </c>
    </row>
    <row r="36">
      <c r="A36" s="19">
        <v>30.0</v>
      </c>
      <c r="B36" s="17" t="s">
        <v>238</v>
      </c>
      <c r="C36" s="19" t="s">
        <v>232</v>
      </c>
      <c r="D36" s="19">
        <v>6.0</v>
      </c>
      <c r="E36" s="21" t="s">
        <v>96</v>
      </c>
    </row>
    <row r="37">
      <c r="A37" s="24" t="s">
        <v>240</v>
      </c>
      <c r="B37" s="25"/>
      <c r="E37" s="13" t="s">
        <v>241</v>
      </c>
    </row>
    <row r="38">
      <c r="A38" s="19">
        <v>31.0</v>
      </c>
      <c r="B38" s="17" t="s">
        <v>242</v>
      </c>
      <c r="C38" s="19" t="s">
        <v>243</v>
      </c>
      <c r="D38" s="19">
        <v>6.0</v>
      </c>
      <c r="E38" s="21" t="s">
        <v>96</v>
      </c>
    </row>
    <row r="39">
      <c r="A39" s="14">
        <v>32.0</v>
      </c>
      <c r="B39" s="17" t="s">
        <v>244</v>
      </c>
      <c r="C39" s="14" t="s">
        <v>245</v>
      </c>
      <c r="D39" s="14">
        <v>7.0</v>
      </c>
      <c r="E39" s="18" t="s">
        <v>96</v>
      </c>
    </row>
    <row r="40">
      <c r="A40" s="19">
        <v>33.0</v>
      </c>
      <c r="B40" s="17" t="s">
        <v>247</v>
      </c>
      <c r="C40" s="19" t="s">
        <v>248</v>
      </c>
      <c r="D40" s="19">
        <v>14.0</v>
      </c>
      <c r="E40" s="21" t="s">
        <v>96</v>
      </c>
    </row>
    <row r="41">
      <c r="A41" s="14">
        <v>34.0</v>
      </c>
      <c r="B41" s="17" t="s">
        <v>249</v>
      </c>
      <c r="C41" s="14" t="s">
        <v>250</v>
      </c>
      <c r="D41" s="14">
        <v>14.0</v>
      </c>
      <c r="E41" s="18" t="s">
        <v>96</v>
      </c>
    </row>
    <row r="42">
      <c r="A42" s="19">
        <v>35.0</v>
      </c>
      <c r="B42" s="17" t="s">
        <v>251</v>
      </c>
      <c r="C42" s="19" t="s">
        <v>252</v>
      </c>
      <c r="D42" s="19">
        <v>5.0</v>
      </c>
      <c r="E42" s="21" t="s">
        <v>96</v>
      </c>
    </row>
    <row r="43">
      <c r="A43" s="14">
        <v>36.0</v>
      </c>
      <c r="B43" s="17" t="s">
        <v>254</v>
      </c>
      <c r="C43" s="14" t="s">
        <v>255</v>
      </c>
      <c r="D43" s="14">
        <v>6.0</v>
      </c>
      <c r="E43" s="18" t="s">
        <v>96</v>
      </c>
    </row>
    <row r="44">
      <c r="A44" s="19">
        <v>37.0</v>
      </c>
      <c r="B44" s="17" t="s">
        <v>256</v>
      </c>
      <c r="C44" s="19" t="s">
        <v>257</v>
      </c>
      <c r="D44" s="19">
        <v>13.0</v>
      </c>
      <c r="E44" s="21" t="s">
        <v>96</v>
      </c>
    </row>
    <row r="45">
      <c r="A45" s="14">
        <v>38.0</v>
      </c>
      <c r="B45" s="17" t="s">
        <v>258</v>
      </c>
      <c r="C45" s="14" t="s">
        <v>260</v>
      </c>
      <c r="D45" s="14">
        <v>8.0</v>
      </c>
      <c r="E45" s="18" t="s">
        <v>96</v>
      </c>
    </row>
    <row r="46">
      <c r="A46" s="19">
        <v>39.0</v>
      </c>
      <c r="B46" s="17" t="s">
        <v>261</v>
      </c>
      <c r="C46" s="19" t="s">
        <v>262</v>
      </c>
      <c r="D46" s="19">
        <v>6.0</v>
      </c>
      <c r="E46" s="21" t="s">
        <v>96</v>
      </c>
    </row>
    <row r="47">
      <c r="A47" s="14">
        <v>40.0</v>
      </c>
      <c r="B47" s="17" t="s">
        <v>263</v>
      </c>
      <c r="C47" s="14" t="s">
        <v>264</v>
      </c>
      <c r="D47" s="14">
        <v>10.0</v>
      </c>
      <c r="E47" s="18" t="s">
        <v>96</v>
      </c>
    </row>
    <row r="48">
      <c r="A48" s="19">
        <v>41.0</v>
      </c>
      <c r="B48" s="17" t="s">
        <v>266</v>
      </c>
      <c r="C48" s="19" t="s">
        <v>267</v>
      </c>
      <c r="D48" s="19">
        <v>7.0</v>
      </c>
      <c r="E48" s="21" t="s">
        <v>96</v>
      </c>
    </row>
    <row r="49">
      <c r="A49" s="14">
        <v>42.0</v>
      </c>
      <c r="B49" s="17" t="s">
        <v>268</v>
      </c>
      <c r="C49" s="14" t="s">
        <v>269</v>
      </c>
      <c r="D49" s="14">
        <v>10.0</v>
      </c>
      <c r="E49" s="18" t="s">
        <v>96</v>
      </c>
    </row>
    <row r="50">
      <c r="A50" s="19">
        <v>43.0</v>
      </c>
      <c r="B50" s="17" t="s">
        <v>270</v>
      </c>
      <c r="C50" s="19" t="s">
        <v>271</v>
      </c>
      <c r="D50" s="19">
        <v>10.0</v>
      </c>
      <c r="E50" s="21" t="s">
        <v>96</v>
      </c>
    </row>
    <row r="51">
      <c r="A51" s="14">
        <v>44.0</v>
      </c>
      <c r="B51" s="17" t="s">
        <v>273</v>
      </c>
      <c r="C51" s="14" t="s">
        <v>274</v>
      </c>
      <c r="D51" s="14">
        <v>5.0</v>
      </c>
      <c r="E51" s="18" t="s">
        <v>96</v>
      </c>
    </row>
    <row r="52">
      <c r="A52" s="19">
        <v>45.0</v>
      </c>
      <c r="B52" s="17" t="s">
        <v>275</v>
      </c>
      <c r="C52" s="19" t="s">
        <v>276</v>
      </c>
      <c r="D52" s="19">
        <v>13.0</v>
      </c>
      <c r="E52" s="21" t="s">
        <v>96</v>
      </c>
    </row>
    <row r="53">
      <c r="A53" s="14">
        <v>46.0</v>
      </c>
      <c r="B53" s="17" t="s">
        <v>277</v>
      </c>
      <c r="C53" s="14" t="s">
        <v>279</v>
      </c>
      <c r="D53" s="14">
        <v>11.0</v>
      </c>
      <c r="E53" s="18" t="s">
        <v>96</v>
      </c>
    </row>
    <row r="54">
      <c r="A54" s="19">
        <v>47.0</v>
      </c>
      <c r="B54" s="17" t="s">
        <v>280</v>
      </c>
      <c r="C54" s="19" t="s">
        <v>281</v>
      </c>
      <c r="D54" s="19">
        <v>8.0</v>
      </c>
      <c r="E54" s="21" t="s">
        <v>96</v>
      </c>
    </row>
    <row r="55">
      <c r="A55" s="14">
        <v>48.0</v>
      </c>
      <c r="B55" s="17" t="s">
        <v>282</v>
      </c>
      <c r="C55" s="14" t="s">
        <v>283</v>
      </c>
      <c r="D55" s="14">
        <v>13.0</v>
      </c>
      <c r="E55" s="18" t="s">
        <v>96</v>
      </c>
    </row>
    <row r="56">
      <c r="A56" s="9" t="s">
        <v>284</v>
      </c>
      <c r="B56" s="11"/>
      <c r="E56" s="13" t="s">
        <v>285</v>
      </c>
    </row>
    <row r="57">
      <c r="A57" s="14">
        <v>49.0</v>
      </c>
      <c r="B57" s="17" t="s">
        <v>286</v>
      </c>
      <c r="C57" s="14" t="s">
        <v>288</v>
      </c>
      <c r="D57" s="14">
        <v>5.0</v>
      </c>
      <c r="E57" s="18" t="s">
        <v>96</v>
      </c>
    </row>
    <row r="58">
      <c r="A58" s="19">
        <v>50.0</v>
      </c>
      <c r="B58" s="17" t="s">
        <v>289</v>
      </c>
      <c r="C58" s="19" t="s">
        <v>290</v>
      </c>
      <c r="D58" s="19">
        <v>8.0</v>
      </c>
      <c r="E58" s="21" t="s">
        <v>96</v>
      </c>
    </row>
    <row r="59">
      <c r="A59" s="14">
        <v>51.0</v>
      </c>
      <c r="B59" s="17" t="s">
        <v>291</v>
      </c>
      <c r="C59" s="14" t="s">
        <v>292</v>
      </c>
      <c r="D59" s="14">
        <v>6.0</v>
      </c>
      <c r="E59" s="18" t="s">
        <v>96</v>
      </c>
    </row>
    <row r="60">
      <c r="A60" s="19">
        <v>52.0</v>
      </c>
      <c r="B60" s="17" t="s">
        <v>294</v>
      </c>
      <c r="C60" s="19" t="s">
        <v>295</v>
      </c>
      <c r="D60" s="19">
        <v>7.0</v>
      </c>
      <c r="E60" s="21" t="s">
        <v>96</v>
      </c>
    </row>
    <row r="61">
      <c r="A61" s="14">
        <v>53.0</v>
      </c>
      <c r="B61" s="17" t="s">
        <v>296</v>
      </c>
      <c r="C61" s="14" t="s">
        <v>297</v>
      </c>
      <c r="D61" s="14">
        <v>6.0</v>
      </c>
      <c r="E61" s="18" t="s">
        <v>96</v>
      </c>
    </row>
    <row r="62">
      <c r="A62" s="19">
        <v>54.0</v>
      </c>
      <c r="B62" s="17" t="s">
        <v>298</v>
      </c>
      <c r="C62" s="19" t="s">
        <v>300</v>
      </c>
      <c r="D62" s="19">
        <v>10.0</v>
      </c>
      <c r="E62" s="21" t="s">
        <v>96</v>
      </c>
    </row>
    <row r="63">
      <c r="A63" s="14">
        <v>55.0</v>
      </c>
      <c r="B63" s="17" t="s">
        <v>301</v>
      </c>
      <c r="C63" s="14" t="s">
        <v>303</v>
      </c>
      <c r="D63" s="14">
        <v>10.0</v>
      </c>
      <c r="E63" s="18" t="s">
        <v>96</v>
      </c>
    </row>
    <row r="64">
      <c r="A64" s="19">
        <v>56.0</v>
      </c>
      <c r="B64" s="17" t="s">
        <v>304</v>
      </c>
      <c r="C64" s="19" t="s">
        <v>307</v>
      </c>
      <c r="D64" s="19">
        <v>10.0</v>
      </c>
      <c r="E64" s="21" t="s">
        <v>96</v>
      </c>
    </row>
    <row r="65">
      <c r="A65" s="14">
        <v>57.0</v>
      </c>
      <c r="B65" s="17" t="s">
        <v>308</v>
      </c>
      <c r="C65" s="14" t="s">
        <v>309</v>
      </c>
      <c r="D65" s="14">
        <v>14.0</v>
      </c>
      <c r="E65" s="18" t="s">
        <v>96</v>
      </c>
    </row>
    <row r="66">
      <c r="A66" s="19">
        <v>58.0</v>
      </c>
      <c r="B66" s="17" t="s">
        <v>310</v>
      </c>
      <c r="C66" s="19" t="s">
        <v>312</v>
      </c>
      <c r="D66" s="19">
        <v>13.0</v>
      </c>
      <c r="E66" s="21" t="s">
        <v>96</v>
      </c>
    </row>
    <row r="67">
      <c r="A67" s="14">
        <v>59.0</v>
      </c>
      <c r="B67" s="17" t="s">
        <v>313</v>
      </c>
      <c r="C67" s="14" t="s">
        <v>314</v>
      </c>
      <c r="D67" s="14">
        <v>13.0</v>
      </c>
      <c r="E67" s="18" t="s">
        <v>96</v>
      </c>
    </row>
    <row r="68">
      <c r="A68" s="19">
        <v>60.0</v>
      </c>
      <c r="B68" s="17" t="s">
        <v>315</v>
      </c>
      <c r="C68" s="19" t="s">
        <v>317</v>
      </c>
      <c r="D68" s="19">
        <v>11.0</v>
      </c>
      <c r="E68" s="21" t="s">
        <v>96</v>
      </c>
    </row>
    <row r="69">
      <c r="A69" s="14">
        <v>61.0</v>
      </c>
      <c r="B69" s="17" t="s">
        <v>318</v>
      </c>
      <c r="C69" s="14" t="s">
        <v>319</v>
      </c>
      <c r="D69" s="14">
        <v>8.0</v>
      </c>
      <c r="E69" s="18" t="s">
        <v>96</v>
      </c>
    </row>
    <row r="70">
      <c r="A70" s="19">
        <v>62.0</v>
      </c>
      <c r="B70" s="17" t="s">
        <v>320</v>
      </c>
      <c r="C70" s="19" t="s">
        <v>322</v>
      </c>
      <c r="D70" s="19">
        <v>7.0</v>
      </c>
      <c r="E70" s="21" t="s">
        <v>96</v>
      </c>
    </row>
    <row r="71">
      <c r="A71" s="14">
        <v>63.0</v>
      </c>
      <c r="B71" s="17" t="s">
        <v>323</v>
      </c>
      <c r="C71" s="14" t="s">
        <v>305</v>
      </c>
      <c r="D71" s="14">
        <v>11.0</v>
      </c>
      <c r="E71" s="18" t="s">
        <v>96</v>
      </c>
    </row>
    <row r="72">
      <c r="A72" s="19">
        <v>64.0</v>
      </c>
      <c r="B72" s="17" t="s">
        <v>324</v>
      </c>
      <c r="C72" s="19" t="s">
        <v>325</v>
      </c>
      <c r="D72" s="19">
        <v>11.0</v>
      </c>
      <c r="E72" s="21" t="s">
        <v>96</v>
      </c>
    </row>
    <row r="73">
      <c r="A73" s="14">
        <v>65.0</v>
      </c>
      <c r="B73" s="17" t="s">
        <v>327</v>
      </c>
      <c r="C73" s="14" t="s">
        <v>328</v>
      </c>
      <c r="D73" s="14">
        <v>10.0</v>
      </c>
      <c r="E73" s="18" t="s">
        <v>96</v>
      </c>
    </row>
    <row r="74">
      <c r="A74" s="19">
        <v>66.0</v>
      </c>
      <c r="B74" s="17" t="s">
        <v>329</v>
      </c>
      <c r="C74" s="19" t="s">
        <v>330</v>
      </c>
      <c r="D74" s="19">
        <v>14.0</v>
      </c>
      <c r="E74" s="21" t="s">
        <v>96</v>
      </c>
    </row>
    <row r="75">
      <c r="A75" s="24" t="s">
        <v>331</v>
      </c>
      <c r="B75" s="25"/>
      <c r="E75" s="13" t="s">
        <v>332</v>
      </c>
    </row>
    <row r="76">
      <c r="A76" s="19">
        <v>67.0</v>
      </c>
      <c r="B76" s="17" t="s">
        <v>333</v>
      </c>
      <c r="C76" s="19" t="s">
        <v>335</v>
      </c>
      <c r="D76" s="19">
        <v>9.0</v>
      </c>
      <c r="E76" s="21" t="s">
        <v>96</v>
      </c>
    </row>
    <row r="77">
      <c r="A77" s="14">
        <v>68.0</v>
      </c>
      <c r="B77" s="17" t="s">
        <v>336</v>
      </c>
      <c r="C77" s="14" t="s">
        <v>337</v>
      </c>
      <c r="D77" s="14">
        <v>11.0</v>
      </c>
      <c r="E77" s="18" t="s">
        <v>96</v>
      </c>
    </row>
    <row r="78">
      <c r="A78" s="19">
        <v>69.0</v>
      </c>
      <c r="B78" s="17" t="s">
        <v>338</v>
      </c>
      <c r="C78" s="19" t="s">
        <v>339</v>
      </c>
      <c r="D78" s="19">
        <v>8.0</v>
      </c>
      <c r="E78" s="21" t="s">
        <v>96</v>
      </c>
    </row>
    <row r="79">
      <c r="A79" s="14">
        <v>70.0</v>
      </c>
      <c r="B79" s="17" t="s">
        <v>341</v>
      </c>
      <c r="C79" s="14" t="s">
        <v>342</v>
      </c>
      <c r="D79" s="14">
        <v>13.0</v>
      </c>
      <c r="E79" s="18" t="s">
        <v>96</v>
      </c>
    </row>
    <row r="80">
      <c r="A80" s="19">
        <v>71.0</v>
      </c>
      <c r="B80" s="17" t="s">
        <v>343</v>
      </c>
      <c r="C80" s="19" t="s">
        <v>344</v>
      </c>
      <c r="D80" s="19">
        <v>8.0</v>
      </c>
      <c r="E80" s="21" t="s">
        <v>96</v>
      </c>
    </row>
    <row r="81">
      <c r="A81" s="14">
        <v>72.0</v>
      </c>
      <c r="B81" s="17" t="s">
        <v>345</v>
      </c>
      <c r="C81" s="14" t="s">
        <v>347</v>
      </c>
      <c r="D81" s="14">
        <v>7.0</v>
      </c>
      <c r="E81" s="18" t="s">
        <v>96</v>
      </c>
    </row>
    <row r="82">
      <c r="A82" s="19">
        <v>73.0</v>
      </c>
      <c r="B82" s="17" t="s">
        <v>348</v>
      </c>
      <c r="C82" s="19" t="s">
        <v>349</v>
      </c>
      <c r="D82" s="19">
        <v>8.0</v>
      </c>
      <c r="E82" s="21" t="s">
        <v>96</v>
      </c>
    </row>
    <row r="83">
      <c r="A83" s="14">
        <v>74.0</v>
      </c>
      <c r="B83" s="17" t="s">
        <v>350</v>
      </c>
      <c r="C83" s="14" t="s">
        <v>352</v>
      </c>
      <c r="D83" s="14">
        <v>13.0</v>
      </c>
      <c r="E83" s="18" t="s">
        <v>96</v>
      </c>
    </row>
    <row r="84">
      <c r="A84" s="19">
        <v>75.0</v>
      </c>
      <c r="B84" s="17" t="s">
        <v>353</v>
      </c>
      <c r="C84" s="19" t="s">
        <v>355</v>
      </c>
      <c r="D84" s="19">
        <v>6.0</v>
      </c>
      <c r="E84" s="21" t="s">
        <v>96</v>
      </c>
    </row>
    <row r="85">
      <c r="A85" s="14">
        <v>76.0</v>
      </c>
      <c r="B85" s="17" t="s">
        <v>356</v>
      </c>
      <c r="C85" s="14" t="s">
        <v>357</v>
      </c>
      <c r="D85" s="14">
        <v>5.0</v>
      </c>
      <c r="E85" s="18" t="s">
        <v>96</v>
      </c>
    </row>
    <row r="86">
      <c r="A86" s="19">
        <v>77.0</v>
      </c>
      <c r="B86" s="17" t="s">
        <v>358</v>
      </c>
      <c r="C86" s="19" t="s">
        <v>359</v>
      </c>
      <c r="D86" s="19">
        <v>11.0</v>
      </c>
      <c r="E86" s="21" t="s">
        <v>96</v>
      </c>
    </row>
    <row r="87">
      <c r="A87" s="14">
        <v>78.0</v>
      </c>
      <c r="B87" s="17" t="s">
        <v>360</v>
      </c>
      <c r="C87" s="14" t="s">
        <v>362</v>
      </c>
      <c r="D87" s="14">
        <v>10.0</v>
      </c>
      <c r="E87" s="18" t="s">
        <v>96</v>
      </c>
    </row>
    <row r="88">
      <c r="A88" s="19">
        <v>79.0</v>
      </c>
      <c r="B88" s="17" t="s">
        <v>363</v>
      </c>
      <c r="C88" s="19" t="s">
        <v>364</v>
      </c>
      <c r="D88" s="19">
        <v>10.0</v>
      </c>
      <c r="E88" s="21" t="s">
        <v>96</v>
      </c>
    </row>
    <row r="89">
      <c r="A89" s="14">
        <v>80.0</v>
      </c>
      <c r="B89" s="17" t="s">
        <v>365</v>
      </c>
      <c r="C89" s="14" t="s">
        <v>367</v>
      </c>
      <c r="D89" s="14">
        <v>10.0</v>
      </c>
      <c r="E89" s="18" t="s">
        <v>96</v>
      </c>
    </row>
    <row r="90">
      <c r="A90" s="19">
        <v>81.0</v>
      </c>
      <c r="B90" s="17" t="s">
        <v>368</v>
      </c>
      <c r="C90" s="19" t="s">
        <v>369</v>
      </c>
      <c r="D90" s="19">
        <v>11.0</v>
      </c>
      <c r="E90" s="21" t="s">
        <v>96</v>
      </c>
    </row>
    <row r="91">
      <c r="A91" s="14">
        <v>82.0</v>
      </c>
      <c r="B91" s="17" t="s">
        <v>370</v>
      </c>
      <c r="C91" s="14" t="s">
        <v>371</v>
      </c>
      <c r="D91" s="14">
        <v>14.0</v>
      </c>
      <c r="E91" s="18" t="s">
        <v>96</v>
      </c>
    </row>
    <row r="92">
      <c r="A92" s="19">
        <v>83.0</v>
      </c>
      <c r="B92" s="17" t="s">
        <v>372</v>
      </c>
      <c r="C92" s="19" t="s">
        <v>374</v>
      </c>
      <c r="D92" s="19">
        <v>8.0</v>
      </c>
      <c r="E92" s="21" t="s">
        <v>96</v>
      </c>
    </row>
    <row r="93">
      <c r="A93" s="14">
        <v>84.0</v>
      </c>
      <c r="B93" s="17" t="s">
        <v>375</v>
      </c>
      <c r="C93" s="14" t="s">
        <v>376</v>
      </c>
      <c r="D93" s="14">
        <v>11.0</v>
      </c>
      <c r="E93" s="18" t="s">
        <v>96</v>
      </c>
    </row>
    <row r="94">
      <c r="A94" s="19">
        <v>85.0</v>
      </c>
      <c r="B94" s="17" t="s">
        <v>377</v>
      </c>
      <c r="C94" s="19" t="s">
        <v>379</v>
      </c>
      <c r="D94" s="19">
        <v>9.0</v>
      </c>
      <c r="E94" s="21" t="s">
        <v>96</v>
      </c>
    </row>
    <row r="95">
      <c r="A95" s="24" t="s">
        <v>380</v>
      </c>
      <c r="B95" s="25"/>
      <c r="E95" s="13" t="s">
        <v>381</v>
      </c>
    </row>
    <row r="96">
      <c r="A96" s="19">
        <v>86.0</v>
      </c>
      <c r="B96" s="17" t="s">
        <v>382</v>
      </c>
      <c r="C96" s="19" t="s">
        <v>383</v>
      </c>
      <c r="D96" s="19">
        <v>7.0</v>
      </c>
      <c r="E96" s="21" t="s">
        <v>96</v>
      </c>
    </row>
    <row r="97">
      <c r="A97" s="14">
        <v>87.0</v>
      </c>
      <c r="B97" s="17" t="s">
        <v>385</v>
      </c>
      <c r="C97" s="14" t="s">
        <v>386</v>
      </c>
      <c r="D97" s="14">
        <v>14.0</v>
      </c>
      <c r="E97" s="18" t="s">
        <v>96</v>
      </c>
    </row>
    <row r="98">
      <c r="A98" s="19">
        <v>88.0</v>
      </c>
      <c r="B98" s="17" t="s">
        <v>388</v>
      </c>
      <c r="C98" s="19" t="s">
        <v>390</v>
      </c>
      <c r="D98" s="19">
        <v>11.0</v>
      </c>
      <c r="E98" s="21" t="s">
        <v>96</v>
      </c>
    </row>
    <row r="99">
      <c r="A99" s="14">
        <v>89.0</v>
      </c>
      <c r="B99" s="17" t="s">
        <v>391</v>
      </c>
      <c r="C99" s="14" t="s">
        <v>392</v>
      </c>
      <c r="D99" s="14">
        <v>11.0</v>
      </c>
      <c r="E99" s="18" t="s">
        <v>96</v>
      </c>
    </row>
    <row r="100">
      <c r="A100" s="19">
        <v>90.0</v>
      </c>
      <c r="B100" s="17" t="s">
        <v>394</v>
      </c>
      <c r="C100" s="19" t="s">
        <v>395</v>
      </c>
      <c r="D100" s="19">
        <v>9.0</v>
      </c>
      <c r="E100" s="21" t="s">
        <v>96</v>
      </c>
    </row>
    <row r="101">
      <c r="A101" s="28"/>
    </row>
    <row r="102">
      <c r="A102" s="19">
        <v>91.0</v>
      </c>
      <c r="B102" s="17" t="s">
        <v>398</v>
      </c>
      <c r="C102" s="19" t="s">
        <v>399</v>
      </c>
      <c r="D102" s="19">
        <v>7.0</v>
      </c>
      <c r="E102" s="21" t="s">
        <v>96</v>
      </c>
    </row>
    <row r="103">
      <c r="A103" s="14">
        <v>92.0</v>
      </c>
      <c r="B103" s="17" t="s">
        <v>400</v>
      </c>
      <c r="C103" s="14" t="s">
        <v>402</v>
      </c>
      <c r="D103" s="14">
        <v>11.0</v>
      </c>
      <c r="E103" s="18" t="s">
        <v>96</v>
      </c>
    </row>
    <row r="104">
      <c r="A104" s="19">
        <v>93.0</v>
      </c>
      <c r="B104" s="17" t="s">
        <v>403</v>
      </c>
      <c r="C104" s="19" t="s">
        <v>404</v>
      </c>
      <c r="D104" s="19">
        <v>9.0</v>
      </c>
      <c r="E104" s="21" t="s">
        <v>96</v>
      </c>
    </row>
    <row r="105">
      <c r="A105" s="14">
        <v>94.0</v>
      </c>
      <c r="B105" s="17" t="s">
        <v>406</v>
      </c>
      <c r="C105" s="14" t="s">
        <v>407</v>
      </c>
      <c r="D105" s="14">
        <v>7.0</v>
      </c>
      <c r="E105" s="18" t="s">
        <v>96</v>
      </c>
    </row>
    <row r="106">
      <c r="A106" s="19">
        <v>95.0</v>
      </c>
      <c r="B106" s="17" t="s">
        <v>408</v>
      </c>
      <c r="C106" s="19" t="s">
        <v>410</v>
      </c>
      <c r="D106" s="19">
        <v>10.0</v>
      </c>
      <c r="E106" s="21" t="s">
        <v>96</v>
      </c>
    </row>
    <row r="107">
      <c r="A107" s="14">
        <v>96.0</v>
      </c>
      <c r="B107" s="17" t="s">
        <v>411</v>
      </c>
      <c r="C107" s="14" t="s">
        <v>412</v>
      </c>
      <c r="D107" s="14">
        <v>11.0</v>
      </c>
      <c r="E107" s="18" t="s">
        <v>96</v>
      </c>
    </row>
    <row r="108">
      <c r="A108" s="19">
        <v>97.0</v>
      </c>
      <c r="B108" s="17" t="s">
        <v>413</v>
      </c>
      <c r="C108" s="19" t="s">
        <v>415</v>
      </c>
      <c r="D108" s="19">
        <v>9.0</v>
      </c>
      <c r="E108" s="21" t="s">
        <v>96</v>
      </c>
    </row>
    <row r="109">
      <c r="A109" s="14">
        <v>98.0</v>
      </c>
      <c r="B109" s="17" t="s">
        <v>416</v>
      </c>
      <c r="C109" s="14" t="s">
        <v>418</v>
      </c>
      <c r="D109" s="14">
        <v>10.0</v>
      </c>
      <c r="E109" s="18" t="s">
        <v>96</v>
      </c>
    </row>
    <row r="110">
      <c r="A110" s="19">
        <v>99.0</v>
      </c>
      <c r="B110" s="17" t="s">
        <v>419</v>
      </c>
      <c r="C110" s="19" t="s">
        <v>420</v>
      </c>
      <c r="D110" s="19">
        <v>13.0</v>
      </c>
      <c r="E110" s="21" t="s">
        <v>96</v>
      </c>
    </row>
    <row r="111">
      <c r="A111" s="14">
        <v>100.0</v>
      </c>
      <c r="B111" s="17" t="s">
        <v>421</v>
      </c>
      <c r="C111" s="14" t="s">
        <v>423</v>
      </c>
      <c r="D111" s="14">
        <v>11.0</v>
      </c>
      <c r="E111" s="18" t="s">
        <v>96</v>
      </c>
    </row>
    <row r="112">
      <c r="A112" s="19">
        <v>101.0</v>
      </c>
      <c r="B112" s="17" t="s">
        <v>424</v>
      </c>
      <c r="C112" s="19" t="s">
        <v>426</v>
      </c>
      <c r="D112" s="19">
        <v>9.0</v>
      </c>
      <c r="E112" s="21" t="s">
        <v>96</v>
      </c>
    </row>
    <row r="113">
      <c r="A113" s="14">
        <v>102.0</v>
      </c>
      <c r="B113" s="17" t="s">
        <v>427</v>
      </c>
      <c r="C113" s="14" t="s">
        <v>428</v>
      </c>
      <c r="D113" s="14">
        <v>13.0</v>
      </c>
      <c r="E113" s="18" t="s">
        <v>96</v>
      </c>
    </row>
    <row r="114">
      <c r="A114" s="19">
        <v>103.0</v>
      </c>
      <c r="B114" s="17" t="s">
        <v>430</v>
      </c>
      <c r="C114" s="19" t="s">
        <v>431</v>
      </c>
      <c r="D114" s="19">
        <v>6.0</v>
      </c>
      <c r="E114" s="21" t="s">
        <v>96</v>
      </c>
    </row>
    <row r="115">
      <c r="A115" s="14">
        <v>104.0</v>
      </c>
      <c r="B115" s="17" t="s">
        <v>432</v>
      </c>
      <c r="C115" s="14" t="s">
        <v>434</v>
      </c>
      <c r="D115" s="14">
        <v>5.0</v>
      </c>
      <c r="E115" s="18" t="s">
        <v>96</v>
      </c>
    </row>
    <row r="116">
      <c r="A116" s="19">
        <v>105.0</v>
      </c>
      <c r="B116" s="17" t="s">
        <v>435</v>
      </c>
      <c r="C116" s="19" t="s">
        <v>436</v>
      </c>
      <c r="D116" s="19">
        <v>9.0</v>
      </c>
      <c r="E116" s="21" t="s">
        <v>96</v>
      </c>
    </row>
    <row r="117">
      <c r="A117" s="14">
        <v>106.0</v>
      </c>
      <c r="B117" s="17" t="s">
        <v>438</v>
      </c>
      <c r="C117" s="14" t="s">
        <v>439</v>
      </c>
      <c r="D117" s="14">
        <v>13.0</v>
      </c>
      <c r="E117" s="18" t="s">
        <v>96</v>
      </c>
    </row>
    <row r="118">
      <c r="A118" s="19">
        <v>107.0</v>
      </c>
      <c r="B118" s="17" t="s">
        <v>440</v>
      </c>
      <c r="C118" s="19" t="s">
        <v>441</v>
      </c>
      <c r="D118" s="19">
        <v>8.0</v>
      </c>
      <c r="E118" s="21" t="s">
        <v>96</v>
      </c>
    </row>
    <row r="119">
      <c r="A119" s="14">
        <v>108.0</v>
      </c>
      <c r="B119" s="17" t="s">
        <v>443</v>
      </c>
      <c r="C119" s="14" t="s">
        <v>444</v>
      </c>
      <c r="D119" s="14">
        <v>9.0</v>
      </c>
      <c r="E119" s="18" t="s">
        <v>96</v>
      </c>
    </row>
    <row r="120">
      <c r="A120" s="19">
        <v>109.0</v>
      </c>
      <c r="B120" s="17" t="s">
        <v>445</v>
      </c>
      <c r="C120" s="19" t="s">
        <v>447</v>
      </c>
      <c r="D120" s="19">
        <v>14.0</v>
      </c>
      <c r="E120" s="21" t="s">
        <v>96</v>
      </c>
    </row>
    <row r="121">
      <c r="A121" s="14">
        <v>110.0</v>
      </c>
      <c r="B121" s="17" t="s">
        <v>448</v>
      </c>
      <c r="C121" s="14" t="s">
        <v>449</v>
      </c>
      <c r="D121" s="14">
        <v>10.0</v>
      </c>
      <c r="E121" s="18" t="s">
        <v>96</v>
      </c>
    </row>
    <row r="122">
      <c r="A122" s="19">
        <v>111.0</v>
      </c>
      <c r="B122" s="17" t="s">
        <v>451</v>
      </c>
      <c r="C122" s="19" t="s">
        <v>452</v>
      </c>
      <c r="D122" s="19">
        <v>9.0</v>
      </c>
      <c r="E122" s="21" t="s">
        <v>96</v>
      </c>
    </row>
    <row r="123">
      <c r="A123" s="14">
        <v>112.0</v>
      </c>
      <c r="B123" s="17" t="s">
        <v>453</v>
      </c>
      <c r="C123" s="14" t="s">
        <v>455</v>
      </c>
      <c r="D123" s="14">
        <v>5.0</v>
      </c>
      <c r="E123" s="18" t="s">
        <v>96</v>
      </c>
    </row>
    <row r="124">
      <c r="A124" s="19">
        <v>113.0</v>
      </c>
      <c r="B124" s="17" t="s">
        <v>456</v>
      </c>
      <c r="C124" s="19" t="s">
        <v>458</v>
      </c>
      <c r="D124" s="19">
        <v>7.0</v>
      </c>
      <c r="E124" s="21" t="s">
        <v>96</v>
      </c>
    </row>
    <row r="125">
      <c r="A125" s="24" t="s">
        <v>459</v>
      </c>
      <c r="B125" s="25"/>
      <c r="E125" s="13" t="s">
        <v>460</v>
      </c>
    </row>
    <row r="126">
      <c r="A126" s="19">
        <v>114.0</v>
      </c>
      <c r="B126" s="17" t="s">
        <v>461</v>
      </c>
      <c r="C126" s="19" t="s">
        <v>463</v>
      </c>
      <c r="D126" s="19">
        <v>7.0</v>
      </c>
      <c r="E126" s="21" t="s">
        <v>96</v>
      </c>
    </row>
    <row r="127">
      <c r="A127" s="14">
        <v>115.0</v>
      </c>
      <c r="B127" s="17" t="s">
        <v>464</v>
      </c>
      <c r="C127" s="14" t="s">
        <v>465</v>
      </c>
      <c r="D127" s="14">
        <v>10.0</v>
      </c>
      <c r="E127" s="18" t="s">
        <v>96</v>
      </c>
    </row>
    <row r="128">
      <c r="A128" s="19">
        <v>116.0</v>
      </c>
      <c r="B128" s="17" t="s">
        <v>466</v>
      </c>
      <c r="C128" s="19" t="s">
        <v>468</v>
      </c>
      <c r="D128" s="19">
        <v>10.0</v>
      </c>
      <c r="E128" s="21" t="s">
        <v>96</v>
      </c>
    </row>
    <row r="129">
      <c r="A129" s="14">
        <v>117.0</v>
      </c>
      <c r="B129" s="17" t="s">
        <v>469</v>
      </c>
      <c r="C129" s="14" t="s">
        <v>470</v>
      </c>
      <c r="D129" s="14">
        <v>10.0</v>
      </c>
      <c r="E129" s="18" t="s">
        <v>96</v>
      </c>
    </row>
    <row r="130">
      <c r="A130" s="19">
        <v>118.0</v>
      </c>
      <c r="B130" s="17" t="s">
        <v>471</v>
      </c>
      <c r="C130" s="19" t="s">
        <v>473</v>
      </c>
      <c r="D130" s="19">
        <v>10.0</v>
      </c>
      <c r="E130" s="21" t="s">
        <v>96</v>
      </c>
    </row>
    <row r="131">
      <c r="A131" s="14">
        <v>119.0</v>
      </c>
      <c r="B131" s="17" t="s">
        <v>474</v>
      </c>
      <c r="C131" s="14" t="s">
        <v>476</v>
      </c>
      <c r="D131" s="14">
        <v>6.0</v>
      </c>
      <c r="E131" s="18" t="s">
        <v>96</v>
      </c>
    </row>
    <row r="132">
      <c r="A132" s="19">
        <v>120.0</v>
      </c>
      <c r="B132" s="17" t="s">
        <v>477</v>
      </c>
      <c r="C132" s="19" t="s">
        <v>478</v>
      </c>
      <c r="D132" s="19">
        <v>7.0</v>
      </c>
      <c r="E132" s="21" t="s">
        <v>96</v>
      </c>
    </row>
    <row r="133">
      <c r="A133" s="14">
        <v>121.0</v>
      </c>
      <c r="B133" s="17" t="s">
        <v>479</v>
      </c>
      <c r="C133" s="14" t="s">
        <v>481</v>
      </c>
      <c r="D133" s="14">
        <v>8.0</v>
      </c>
      <c r="E133" s="18" t="s">
        <v>96</v>
      </c>
    </row>
    <row r="134">
      <c r="A134" s="19">
        <v>122.0</v>
      </c>
      <c r="B134" s="17" t="s">
        <v>482</v>
      </c>
      <c r="C134" s="19" t="s">
        <v>483</v>
      </c>
      <c r="D134" s="19">
        <v>11.0</v>
      </c>
      <c r="E134" s="21" t="s">
        <v>96</v>
      </c>
    </row>
    <row r="135">
      <c r="A135" s="14">
        <v>123.0</v>
      </c>
      <c r="B135" s="17" t="s">
        <v>485</v>
      </c>
      <c r="C135" s="14" t="s">
        <v>486</v>
      </c>
      <c r="D135" s="14">
        <v>11.0</v>
      </c>
      <c r="E135" s="18" t="s">
        <v>96</v>
      </c>
    </row>
    <row r="136">
      <c r="A136" s="19">
        <v>124.0</v>
      </c>
      <c r="B136" s="17" t="s">
        <v>487</v>
      </c>
      <c r="C136" s="19" t="s">
        <v>489</v>
      </c>
      <c r="D136" s="19">
        <v>14.0</v>
      </c>
      <c r="E136" s="21" t="s">
        <v>96</v>
      </c>
    </row>
    <row r="137">
      <c r="A137" s="14">
        <v>125.0</v>
      </c>
      <c r="B137" s="17" t="s">
        <v>490</v>
      </c>
      <c r="C137" s="14" t="s">
        <v>491</v>
      </c>
      <c r="D137" s="14">
        <v>6.0</v>
      </c>
      <c r="E137" s="18" t="s">
        <v>96</v>
      </c>
    </row>
    <row r="138">
      <c r="A138" s="19">
        <v>126.0</v>
      </c>
      <c r="B138" s="17" t="s">
        <v>492</v>
      </c>
      <c r="C138" s="19" t="s">
        <v>493</v>
      </c>
      <c r="D138" s="19">
        <v>5.0</v>
      </c>
      <c r="E138" s="21" t="s">
        <v>96</v>
      </c>
    </row>
    <row r="139">
      <c r="A139" s="14">
        <v>127.0</v>
      </c>
      <c r="B139" s="17" t="s">
        <v>495</v>
      </c>
      <c r="C139" s="14" t="s">
        <v>496</v>
      </c>
      <c r="D139" s="14">
        <v>7.0</v>
      </c>
      <c r="E139" s="18" t="s">
        <v>96</v>
      </c>
    </row>
    <row r="140">
      <c r="A140" s="19">
        <v>128.0</v>
      </c>
      <c r="B140" s="17" t="s">
        <v>497</v>
      </c>
      <c r="C140" s="19" t="s">
        <v>498</v>
      </c>
      <c r="D140" s="19">
        <v>8.0</v>
      </c>
      <c r="E140" s="21" t="s">
        <v>96</v>
      </c>
    </row>
    <row r="141">
      <c r="A141" s="14">
        <v>129.0</v>
      </c>
      <c r="B141" s="17" t="s">
        <v>499</v>
      </c>
      <c r="C141" s="14" t="s">
        <v>501</v>
      </c>
      <c r="D141" s="14">
        <v>7.0</v>
      </c>
      <c r="E141" s="18" t="s">
        <v>96</v>
      </c>
    </row>
    <row r="142">
      <c r="A142" s="19">
        <v>130.0</v>
      </c>
      <c r="B142" s="17" t="s">
        <v>502</v>
      </c>
      <c r="C142" s="19" t="s">
        <v>503</v>
      </c>
      <c r="D142" s="19">
        <v>8.0</v>
      </c>
      <c r="E142" s="21" t="s">
        <v>96</v>
      </c>
    </row>
    <row r="143">
      <c r="A143" s="14">
        <v>131.0</v>
      </c>
      <c r="B143" s="17" t="s">
        <v>504</v>
      </c>
      <c r="C143" s="14" t="s">
        <v>505</v>
      </c>
      <c r="D143" s="14">
        <v>10.0</v>
      </c>
      <c r="E143" s="18" t="s">
        <v>96</v>
      </c>
    </row>
    <row r="144">
      <c r="A144" s="19">
        <v>132.0</v>
      </c>
      <c r="B144" s="17" t="s">
        <v>506</v>
      </c>
      <c r="C144" s="19" t="s">
        <v>508</v>
      </c>
      <c r="D144" s="19">
        <v>5.0</v>
      </c>
      <c r="E144" s="21" t="s">
        <v>96</v>
      </c>
    </row>
    <row r="145">
      <c r="A145" s="14">
        <v>133.0</v>
      </c>
      <c r="B145" s="17" t="s">
        <v>509</v>
      </c>
      <c r="C145" s="14" t="s">
        <v>510</v>
      </c>
      <c r="D145" s="14">
        <v>7.0</v>
      </c>
      <c r="E145" s="18" t="s">
        <v>96</v>
      </c>
    </row>
    <row r="146">
      <c r="A146" s="19">
        <v>134.0</v>
      </c>
      <c r="B146" s="17" t="s">
        <v>511</v>
      </c>
      <c r="C146" s="19" t="s">
        <v>512</v>
      </c>
      <c r="D146" s="19">
        <v>6.0</v>
      </c>
      <c r="E146" s="21" t="s">
        <v>96</v>
      </c>
    </row>
    <row r="147">
      <c r="A147" s="14">
        <v>135.0</v>
      </c>
      <c r="B147" s="17" t="s">
        <v>513</v>
      </c>
      <c r="C147" s="14" t="s">
        <v>515</v>
      </c>
      <c r="D147" s="14">
        <v>13.0</v>
      </c>
      <c r="E147" s="18" t="s">
        <v>96</v>
      </c>
    </row>
    <row r="148">
      <c r="A148" s="19">
        <v>136.0</v>
      </c>
      <c r="B148" s="17" t="s">
        <v>516</v>
      </c>
      <c r="C148" s="19" t="s">
        <v>517</v>
      </c>
      <c r="D148" s="19">
        <v>11.0</v>
      </c>
      <c r="E148" s="21" t="s">
        <v>96</v>
      </c>
    </row>
    <row r="149">
      <c r="A149" s="14">
        <v>137.0</v>
      </c>
      <c r="B149" s="17" t="s">
        <v>518</v>
      </c>
      <c r="C149" s="14" t="s">
        <v>520</v>
      </c>
      <c r="D149" s="14">
        <v>5.0</v>
      </c>
      <c r="E149" s="18" t="s">
        <v>96</v>
      </c>
    </row>
    <row r="150">
      <c r="A150" s="19">
        <v>138.0</v>
      </c>
      <c r="B150" s="17" t="s">
        <v>521</v>
      </c>
      <c r="C150" s="19" t="s">
        <v>522</v>
      </c>
      <c r="D150" s="19">
        <v>13.0</v>
      </c>
      <c r="E150" s="21" t="s">
        <v>96</v>
      </c>
    </row>
    <row r="151">
      <c r="A151" s="14">
        <v>139.0</v>
      </c>
      <c r="B151" s="17" t="s">
        <v>523</v>
      </c>
      <c r="C151" s="14" t="s">
        <v>525</v>
      </c>
      <c r="D151" s="14">
        <v>11.0</v>
      </c>
      <c r="E151" s="18" t="s">
        <v>96</v>
      </c>
    </row>
    <row r="152">
      <c r="A152" s="19">
        <v>140.0</v>
      </c>
      <c r="B152" s="17" t="s">
        <v>526</v>
      </c>
      <c r="C152" s="19" t="s">
        <v>527</v>
      </c>
      <c r="D152" s="19">
        <v>8.0</v>
      </c>
      <c r="E152" s="21" t="s">
        <v>96</v>
      </c>
    </row>
    <row r="153">
      <c r="A153" s="14">
        <v>141.0</v>
      </c>
      <c r="B153" s="17" t="s">
        <v>528</v>
      </c>
      <c r="C153" s="14" t="s">
        <v>530</v>
      </c>
      <c r="D153" s="14">
        <v>11.0</v>
      </c>
      <c r="E153" s="18" t="s">
        <v>96</v>
      </c>
    </row>
    <row r="154">
      <c r="A154" s="19">
        <v>142.0</v>
      </c>
      <c r="B154" s="17" t="s">
        <v>531</v>
      </c>
      <c r="C154" s="19" t="s">
        <v>532</v>
      </c>
      <c r="D154" s="19">
        <v>8.0</v>
      </c>
      <c r="E154" s="21" t="s">
        <v>96</v>
      </c>
    </row>
    <row r="155">
      <c r="A155" s="14">
        <v>143.0</v>
      </c>
      <c r="B155" s="17" t="s">
        <v>533</v>
      </c>
      <c r="C155" s="14" t="s">
        <v>534</v>
      </c>
      <c r="D155" s="14">
        <v>14.0</v>
      </c>
      <c r="E155" s="18" t="s">
        <v>96</v>
      </c>
    </row>
    <row r="156">
      <c r="A156" s="9" t="s">
        <v>535</v>
      </c>
      <c r="B156" s="11"/>
      <c r="E156" s="13" t="s">
        <v>537</v>
      </c>
    </row>
    <row r="157">
      <c r="A157" s="14">
        <v>144.0</v>
      </c>
      <c r="B157" s="17" t="s">
        <v>538</v>
      </c>
      <c r="C157" s="14" t="s">
        <v>539</v>
      </c>
      <c r="D157" s="14">
        <v>9.0</v>
      </c>
      <c r="E157" s="18" t="s">
        <v>96</v>
      </c>
    </row>
    <row r="158">
      <c r="A158" s="19">
        <v>145.0</v>
      </c>
      <c r="B158" s="17" t="s">
        <v>540</v>
      </c>
      <c r="C158" s="19" t="s">
        <v>542</v>
      </c>
      <c r="D158" s="19">
        <v>7.0</v>
      </c>
      <c r="E158" s="21" t="s">
        <v>96</v>
      </c>
    </row>
    <row r="159">
      <c r="A159" s="14">
        <v>146.0</v>
      </c>
      <c r="B159" s="17" t="s">
        <v>543</v>
      </c>
      <c r="C159" s="14" t="s">
        <v>544</v>
      </c>
      <c r="D159" s="14">
        <v>11.0</v>
      </c>
      <c r="E159" s="18" t="s">
        <v>96</v>
      </c>
    </row>
    <row r="160">
      <c r="A160" s="19">
        <v>147.0</v>
      </c>
      <c r="B160" s="17" t="s">
        <v>545</v>
      </c>
      <c r="C160" s="19" t="s">
        <v>546</v>
      </c>
      <c r="D160" s="19">
        <v>11.0</v>
      </c>
      <c r="E160" s="21" t="s">
        <v>96</v>
      </c>
    </row>
    <row r="161">
      <c r="A161" s="14">
        <v>148.0</v>
      </c>
      <c r="B161" s="17" t="s">
        <v>548</v>
      </c>
      <c r="C161" s="14" t="s">
        <v>549</v>
      </c>
      <c r="D161" s="14">
        <v>8.0</v>
      </c>
      <c r="E161" s="18" t="s">
        <v>96</v>
      </c>
    </row>
    <row r="162">
      <c r="A162" s="19">
        <v>149.0</v>
      </c>
      <c r="B162" s="17" t="s">
        <v>550</v>
      </c>
      <c r="C162" s="19" t="s">
        <v>551</v>
      </c>
      <c r="D162" s="19">
        <v>8.0</v>
      </c>
      <c r="E162" s="21" t="s">
        <v>96</v>
      </c>
    </row>
    <row r="163">
      <c r="A163" s="14">
        <v>150.0</v>
      </c>
      <c r="B163" s="17" t="s">
        <v>552</v>
      </c>
      <c r="C163" s="14" t="s">
        <v>553</v>
      </c>
      <c r="D163" s="14">
        <v>11.0</v>
      </c>
      <c r="E163" s="18" t="s">
        <v>96</v>
      </c>
    </row>
    <row r="164">
      <c r="A164" s="19">
        <v>151.0</v>
      </c>
      <c r="B164" s="17" t="s">
        <v>555</v>
      </c>
      <c r="C164" s="19" t="s">
        <v>556</v>
      </c>
      <c r="D164" s="19">
        <v>11.0</v>
      </c>
      <c r="E164" s="21" t="s">
        <v>96</v>
      </c>
    </row>
    <row r="165">
      <c r="A165" s="14">
        <v>152.0</v>
      </c>
      <c r="B165" s="17" t="s">
        <v>557</v>
      </c>
      <c r="C165" s="14" t="s">
        <v>558</v>
      </c>
      <c r="D165" s="14">
        <v>7.0</v>
      </c>
      <c r="E165" s="18" t="s">
        <v>96</v>
      </c>
    </row>
    <row r="166">
      <c r="A166" s="19">
        <v>153.0</v>
      </c>
      <c r="B166" s="17" t="s">
        <v>559</v>
      </c>
      <c r="C166" s="19" t="s">
        <v>561</v>
      </c>
      <c r="D166" s="19">
        <v>6.0</v>
      </c>
      <c r="E166" s="21" t="s">
        <v>96</v>
      </c>
    </row>
    <row r="167">
      <c r="A167" s="14">
        <v>154.0</v>
      </c>
      <c r="B167" s="17" t="s">
        <v>562</v>
      </c>
      <c r="C167" s="14" t="s">
        <v>563</v>
      </c>
      <c r="D167" s="14">
        <v>7.0</v>
      </c>
      <c r="E167" s="18" t="s">
        <v>96</v>
      </c>
    </row>
    <row r="168">
      <c r="A168" s="19">
        <v>155.0</v>
      </c>
      <c r="B168" s="17" t="s">
        <v>564</v>
      </c>
      <c r="C168" s="19" t="s">
        <v>566</v>
      </c>
      <c r="D168" s="19">
        <v>6.0</v>
      </c>
      <c r="E168" s="21" t="s">
        <v>96</v>
      </c>
    </row>
    <row r="169">
      <c r="A169" s="14">
        <v>156.0</v>
      </c>
      <c r="B169" s="17" t="s">
        <v>567</v>
      </c>
      <c r="C169" s="14" t="s">
        <v>568</v>
      </c>
      <c r="D169" s="14">
        <v>11.0</v>
      </c>
      <c r="E169" s="18" t="s">
        <v>96</v>
      </c>
    </row>
    <row r="170">
      <c r="A170" s="19">
        <v>157.0</v>
      </c>
      <c r="B170" s="17" t="s">
        <v>569</v>
      </c>
      <c r="C170" s="19" t="s">
        <v>570</v>
      </c>
      <c r="D170" s="19">
        <v>7.0</v>
      </c>
      <c r="E170" s="21" t="s">
        <v>96</v>
      </c>
    </row>
    <row r="171">
      <c r="A171" s="14">
        <v>158.0</v>
      </c>
      <c r="B171" s="17" t="s">
        <v>572</v>
      </c>
      <c r="C171" s="14" t="s">
        <v>573</v>
      </c>
      <c r="D171" s="14">
        <v>11.0</v>
      </c>
      <c r="E171" s="18" t="s">
        <v>96</v>
      </c>
    </row>
    <row r="172">
      <c r="A172" s="19">
        <v>159.0</v>
      </c>
      <c r="B172" s="17" t="s">
        <v>574</v>
      </c>
      <c r="C172" s="19" t="s">
        <v>575</v>
      </c>
      <c r="D172" s="19">
        <v>8.0</v>
      </c>
      <c r="E172" s="21" t="s">
        <v>96</v>
      </c>
    </row>
    <row r="173">
      <c r="A173" s="14">
        <v>160.0</v>
      </c>
      <c r="B173" s="17" t="s">
        <v>576</v>
      </c>
      <c r="C173" s="14" t="s">
        <v>578</v>
      </c>
      <c r="D173" s="14">
        <v>11.0</v>
      </c>
      <c r="E173" s="18" t="s">
        <v>96</v>
      </c>
    </row>
    <row r="174">
      <c r="A174" s="19">
        <v>161.0</v>
      </c>
      <c r="B174" s="17" t="s">
        <v>579</v>
      </c>
      <c r="C174" s="19" t="s">
        <v>580</v>
      </c>
      <c r="D174" s="19">
        <v>13.0</v>
      </c>
      <c r="E174" s="21" t="s">
        <v>96</v>
      </c>
    </row>
    <row r="175">
      <c r="A175" s="14">
        <v>162.0</v>
      </c>
      <c r="B175" s="17" t="s">
        <v>581</v>
      </c>
      <c r="C175" s="14" t="s">
        <v>583</v>
      </c>
      <c r="D175" s="14">
        <v>13.0</v>
      </c>
      <c r="E175" s="18" t="s">
        <v>96</v>
      </c>
    </row>
    <row r="176">
      <c r="A176" s="19">
        <v>163.0</v>
      </c>
      <c r="B176" s="17" t="s">
        <v>584</v>
      </c>
      <c r="C176" s="19" t="s">
        <v>585</v>
      </c>
      <c r="D176" s="19">
        <v>7.0</v>
      </c>
      <c r="E176" s="21" t="s">
        <v>96</v>
      </c>
    </row>
    <row r="177">
      <c r="A177" s="14">
        <v>164.0</v>
      </c>
      <c r="B177" s="17" t="s">
        <v>587</v>
      </c>
      <c r="C177" s="14" t="s">
        <v>589</v>
      </c>
      <c r="D177" s="14">
        <v>13.0</v>
      </c>
      <c r="E177" s="18" t="s">
        <v>96</v>
      </c>
    </row>
    <row r="178">
      <c r="A178" s="19">
        <v>165.0</v>
      </c>
      <c r="B178" s="17" t="s">
        <v>590</v>
      </c>
      <c r="C178" s="19" t="s">
        <v>591</v>
      </c>
      <c r="D178" s="19">
        <v>10.0</v>
      </c>
      <c r="E178" s="21" t="s">
        <v>96</v>
      </c>
    </row>
    <row r="179">
      <c r="A179" s="14">
        <v>166.0</v>
      </c>
      <c r="B179" s="17" t="s">
        <v>592</v>
      </c>
      <c r="C179" s="14" t="s">
        <v>593</v>
      </c>
      <c r="D179" s="14">
        <v>11.0</v>
      </c>
      <c r="E179" s="18" t="s">
        <v>96</v>
      </c>
    </row>
    <row r="180">
      <c r="A180" s="19">
        <v>167.0</v>
      </c>
      <c r="B180" s="17" t="s">
        <v>594</v>
      </c>
      <c r="C180" s="19" t="s">
        <v>596</v>
      </c>
      <c r="D180" s="19">
        <v>10.0</v>
      </c>
      <c r="E180" s="21" t="s">
        <v>96</v>
      </c>
    </row>
    <row r="181">
      <c r="A181" s="14">
        <v>168.0</v>
      </c>
      <c r="B181" s="17" t="s">
        <v>597</v>
      </c>
      <c r="C181" s="14" t="s">
        <v>598</v>
      </c>
      <c r="D181" s="14">
        <v>10.0</v>
      </c>
      <c r="E181" s="18" t="s">
        <v>96</v>
      </c>
    </row>
    <row r="182">
      <c r="A182" s="19">
        <v>169.0</v>
      </c>
      <c r="B182" s="17" t="s">
        <v>599</v>
      </c>
      <c r="C182" s="19" t="s">
        <v>600</v>
      </c>
      <c r="D182" s="19">
        <v>7.0</v>
      </c>
      <c r="E182" s="21" t="s">
        <v>96</v>
      </c>
    </row>
    <row r="183">
      <c r="A183" s="14">
        <v>170.0</v>
      </c>
      <c r="B183" s="17" t="s">
        <v>602</v>
      </c>
      <c r="C183" s="14" t="s">
        <v>603</v>
      </c>
      <c r="D183" s="14">
        <v>7.0</v>
      </c>
      <c r="E183" s="18" t="s">
        <v>96</v>
      </c>
    </row>
    <row r="184">
      <c r="A184" s="19">
        <v>171.0</v>
      </c>
      <c r="B184" s="17" t="s">
        <v>604</v>
      </c>
      <c r="C184" s="19" t="s">
        <v>605</v>
      </c>
      <c r="D184" s="19">
        <v>8.0</v>
      </c>
      <c r="E184" s="21" t="s">
        <v>96</v>
      </c>
    </row>
    <row r="185">
      <c r="A185" s="14">
        <v>172.0</v>
      </c>
      <c r="B185" s="17" t="s">
        <v>606</v>
      </c>
      <c r="C185" s="14" t="s">
        <v>608</v>
      </c>
      <c r="D185" s="14">
        <v>7.0</v>
      </c>
      <c r="E185" s="18" t="s">
        <v>96</v>
      </c>
    </row>
    <row r="186">
      <c r="A186" s="19">
        <v>173.0</v>
      </c>
      <c r="B186" s="17" t="s">
        <v>609</v>
      </c>
      <c r="C186" s="19" t="s">
        <v>610</v>
      </c>
      <c r="D186" s="19">
        <v>6.0</v>
      </c>
      <c r="E186" s="21" t="s">
        <v>96</v>
      </c>
    </row>
    <row r="187">
      <c r="A187" s="14">
        <v>174.0</v>
      </c>
      <c r="B187" s="17" t="s">
        <v>611</v>
      </c>
      <c r="C187" s="14" t="s">
        <v>613</v>
      </c>
      <c r="D187" s="14">
        <v>13.0</v>
      </c>
      <c r="E187" s="18" t="s">
        <v>96</v>
      </c>
    </row>
    <row r="188">
      <c r="A188" s="19">
        <v>175.0</v>
      </c>
      <c r="B188" s="17" t="s">
        <v>614</v>
      </c>
      <c r="C188" s="19" t="s">
        <v>615</v>
      </c>
      <c r="D188" s="19">
        <v>14.0</v>
      </c>
      <c r="E188" s="21" t="s">
        <v>96</v>
      </c>
    </row>
    <row r="189">
      <c r="A189" s="14">
        <v>176.0</v>
      </c>
      <c r="B189" s="17" t="s">
        <v>617</v>
      </c>
      <c r="C189" s="14" t="s">
        <v>618</v>
      </c>
      <c r="D189" s="14">
        <v>8.0</v>
      </c>
      <c r="E189" s="18" t="s">
        <v>96</v>
      </c>
    </row>
    <row r="190">
      <c r="A190" s="19">
        <v>177.0</v>
      </c>
      <c r="B190" s="17" t="s">
        <v>619</v>
      </c>
      <c r="C190" s="19" t="s">
        <v>621</v>
      </c>
      <c r="D190" s="19">
        <v>11.0</v>
      </c>
      <c r="E190" s="21" t="s">
        <v>96</v>
      </c>
    </row>
    <row r="191">
      <c r="A191" s="24" t="s">
        <v>622</v>
      </c>
      <c r="B191" s="25"/>
      <c r="E191" s="13" t="s">
        <v>623</v>
      </c>
    </row>
    <row r="192">
      <c r="A192" s="19">
        <v>178.0</v>
      </c>
      <c r="B192" s="17" t="s">
        <v>624</v>
      </c>
      <c r="C192" s="19" t="s">
        <v>625</v>
      </c>
      <c r="D192" s="19">
        <v>13.0</v>
      </c>
      <c r="E192" s="21" t="s">
        <v>96</v>
      </c>
    </row>
    <row r="193">
      <c r="A193" s="14">
        <v>179.0</v>
      </c>
      <c r="B193" s="17" t="s">
        <v>626</v>
      </c>
      <c r="C193" s="14" t="s">
        <v>628</v>
      </c>
      <c r="D193" s="14">
        <v>7.0</v>
      </c>
      <c r="E193" s="18" t="s">
        <v>96</v>
      </c>
    </row>
    <row r="194">
      <c r="A194" s="19">
        <v>180.0</v>
      </c>
      <c r="B194" s="17" t="s">
        <v>629</v>
      </c>
      <c r="C194" s="19" t="s">
        <v>630</v>
      </c>
      <c r="D194" s="19">
        <v>11.0</v>
      </c>
      <c r="E194" s="21" t="s">
        <v>96</v>
      </c>
    </row>
    <row r="195">
      <c r="A195" s="14">
        <v>181.0</v>
      </c>
      <c r="B195" s="17" t="s">
        <v>631</v>
      </c>
      <c r="C195" s="14" t="s">
        <v>632</v>
      </c>
      <c r="D195" s="14">
        <v>14.0</v>
      </c>
      <c r="E195" s="18" t="s">
        <v>96</v>
      </c>
    </row>
    <row r="196">
      <c r="A196" s="19">
        <v>182.0</v>
      </c>
      <c r="B196" s="17" t="s">
        <v>634</v>
      </c>
      <c r="C196" s="19" t="s">
        <v>635</v>
      </c>
      <c r="D196" s="19">
        <v>10.0</v>
      </c>
      <c r="E196" s="21" t="s">
        <v>96</v>
      </c>
    </row>
    <row r="197">
      <c r="A197" s="14">
        <v>183.0</v>
      </c>
      <c r="B197" s="17" t="s">
        <v>636</v>
      </c>
      <c r="C197" s="14" t="s">
        <v>637</v>
      </c>
      <c r="D197" s="14">
        <v>9.0</v>
      </c>
      <c r="E197" s="18" t="s">
        <v>96</v>
      </c>
    </row>
    <row r="198">
      <c r="A198" s="19">
        <v>184.0</v>
      </c>
      <c r="B198" s="17" t="s">
        <v>638</v>
      </c>
      <c r="C198" s="19" t="s">
        <v>640</v>
      </c>
      <c r="D198" s="19">
        <v>10.0</v>
      </c>
      <c r="E198" s="21" t="s">
        <v>96</v>
      </c>
    </row>
    <row r="199">
      <c r="A199" s="14">
        <v>185.0</v>
      </c>
      <c r="B199" s="17" t="s">
        <v>641</v>
      </c>
      <c r="C199" s="14" t="s">
        <v>642</v>
      </c>
      <c r="D199" s="14">
        <v>8.0</v>
      </c>
      <c r="E199" s="18" t="s">
        <v>96</v>
      </c>
    </row>
    <row r="200">
      <c r="A200" s="19">
        <v>186.0</v>
      </c>
      <c r="B200" s="17" t="s">
        <v>643</v>
      </c>
      <c r="C200" s="19" t="s">
        <v>644</v>
      </c>
      <c r="D200" s="19">
        <v>11.0</v>
      </c>
      <c r="E200" s="21" t="s">
        <v>96</v>
      </c>
    </row>
    <row r="201">
      <c r="A201" s="14">
        <v>187.0</v>
      </c>
      <c r="B201" s="17" t="s">
        <v>646</v>
      </c>
      <c r="C201" s="14" t="s">
        <v>647</v>
      </c>
      <c r="D201" s="14">
        <v>11.0</v>
      </c>
      <c r="E201" s="18" t="s">
        <v>96</v>
      </c>
    </row>
    <row r="202">
      <c r="A202" s="19">
        <v>188.0</v>
      </c>
      <c r="B202" s="17" t="s">
        <v>649</v>
      </c>
      <c r="C202" s="19" t="s">
        <v>650</v>
      </c>
      <c r="D202" s="19">
        <v>7.0</v>
      </c>
      <c r="E202" s="21" t="s">
        <v>96</v>
      </c>
    </row>
    <row r="203">
      <c r="A203" s="14">
        <v>189.0</v>
      </c>
      <c r="B203" s="17" t="s">
        <v>651</v>
      </c>
      <c r="C203" s="14" t="s">
        <v>653</v>
      </c>
      <c r="D203" s="14">
        <v>10.0</v>
      </c>
      <c r="E203" s="18" t="s">
        <v>96</v>
      </c>
    </row>
    <row r="204">
      <c r="A204" s="19">
        <v>190.0</v>
      </c>
      <c r="B204" s="17" t="s">
        <v>654</v>
      </c>
      <c r="C204" s="19" t="s">
        <v>655</v>
      </c>
      <c r="D204" s="19">
        <v>5.0</v>
      </c>
      <c r="E204" s="21" t="s">
        <v>96</v>
      </c>
    </row>
    <row r="205">
      <c r="A205" s="14">
        <v>191.0</v>
      </c>
      <c r="B205" s="17" t="s">
        <v>657</v>
      </c>
      <c r="C205" s="14" t="s">
        <v>658</v>
      </c>
      <c r="D205" s="14">
        <v>6.0</v>
      </c>
      <c r="E205" s="18" t="s">
        <v>96</v>
      </c>
    </row>
    <row r="206">
      <c r="A206" s="19">
        <v>192.0</v>
      </c>
      <c r="B206" s="17" t="s">
        <v>659</v>
      </c>
      <c r="C206" s="19" t="s">
        <v>661</v>
      </c>
      <c r="D206" s="19">
        <v>13.0</v>
      </c>
      <c r="E206" s="21" t="s">
        <v>96</v>
      </c>
    </row>
    <row r="207">
      <c r="A207" s="14">
        <v>193.0</v>
      </c>
      <c r="B207" s="17" t="s">
        <v>662</v>
      </c>
      <c r="C207" s="14" t="s">
        <v>664</v>
      </c>
      <c r="D207" s="14">
        <v>8.0</v>
      </c>
      <c r="E207" s="18" t="s">
        <v>96</v>
      </c>
    </row>
    <row r="208">
      <c r="A208" s="19">
        <v>194.0</v>
      </c>
      <c r="B208" s="17" t="s">
        <v>665</v>
      </c>
      <c r="C208" s="19" t="s">
        <v>666</v>
      </c>
      <c r="D208" s="19">
        <v>10.0</v>
      </c>
      <c r="E208" s="21" t="s">
        <v>96</v>
      </c>
    </row>
    <row r="209">
      <c r="A209" s="14">
        <v>195.0</v>
      </c>
      <c r="B209" s="17" t="s">
        <v>668</v>
      </c>
      <c r="C209" s="14" t="s">
        <v>669</v>
      </c>
      <c r="D209" s="14">
        <v>6.0</v>
      </c>
      <c r="E209" s="18" t="s">
        <v>96</v>
      </c>
    </row>
    <row r="210">
      <c r="A210" s="19">
        <v>196.0</v>
      </c>
      <c r="B210" s="17" t="s">
        <v>671</v>
      </c>
      <c r="C210" s="19" t="s">
        <v>586</v>
      </c>
      <c r="D210" s="19">
        <v>13.0</v>
      </c>
      <c r="E210" s="21" t="s">
        <v>96</v>
      </c>
    </row>
    <row r="211">
      <c r="A211" s="14">
        <v>197.0</v>
      </c>
      <c r="B211" s="17" t="s">
        <v>673</v>
      </c>
      <c r="C211" s="14" t="s">
        <v>674</v>
      </c>
      <c r="D211" s="14">
        <v>9.0</v>
      </c>
      <c r="E211" s="18" t="s">
        <v>96</v>
      </c>
    </row>
    <row r="212">
      <c r="A212" s="19">
        <v>198.0</v>
      </c>
      <c r="B212" s="17" t="s">
        <v>675</v>
      </c>
      <c r="C212" s="19" t="s">
        <v>677</v>
      </c>
      <c r="D212" s="19">
        <v>7.0</v>
      </c>
      <c r="E212" s="21" t="s">
        <v>96</v>
      </c>
    </row>
    <row r="213">
      <c r="A213" s="14">
        <v>199.0</v>
      </c>
      <c r="B213" s="17" t="s">
        <v>678</v>
      </c>
      <c r="C213" s="14" t="s">
        <v>679</v>
      </c>
      <c r="D213" s="14">
        <v>13.0</v>
      </c>
      <c r="E213" s="18" t="s">
        <v>96</v>
      </c>
    </row>
    <row r="214">
      <c r="A214" s="19">
        <v>200.0</v>
      </c>
      <c r="B214" s="17" t="s">
        <v>681</v>
      </c>
      <c r="C214" s="19" t="s">
        <v>682</v>
      </c>
      <c r="D214" s="19">
        <v>11.0</v>
      </c>
      <c r="E214" s="21" t="s">
        <v>96</v>
      </c>
    </row>
    <row r="215">
      <c r="A215" s="14">
        <v>201.0</v>
      </c>
      <c r="B215" s="17" t="s">
        <v>684</v>
      </c>
      <c r="C215" s="14" t="s">
        <v>685</v>
      </c>
      <c r="D215" s="14">
        <v>11.0</v>
      </c>
      <c r="E215" s="18" t="s">
        <v>96</v>
      </c>
    </row>
    <row r="216">
      <c r="A216" s="19">
        <v>202.0</v>
      </c>
      <c r="B216" s="17" t="s">
        <v>686</v>
      </c>
      <c r="C216" s="19" t="s">
        <v>687</v>
      </c>
      <c r="D216" s="19">
        <v>9.0</v>
      </c>
      <c r="E216" s="21" t="s">
        <v>96</v>
      </c>
    </row>
    <row r="217">
      <c r="A217" s="14">
        <v>203.0</v>
      </c>
      <c r="B217" s="17" t="s">
        <v>689</v>
      </c>
      <c r="C217" s="14" t="s">
        <v>690</v>
      </c>
      <c r="D217" s="14">
        <v>13.0</v>
      </c>
      <c r="E217" s="18" t="s">
        <v>96</v>
      </c>
    </row>
    <row r="218">
      <c r="A218" s="19">
        <v>204.0</v>
      </c>
      <c r="B218" s="17" t="s">
        <v>691</v>
      </c>
      <c r="C218" s="19" t="s">
        <v>692</v>
      </c>
      <c r="D218" s="19">
        <v>8.0</v>
      </c>
      <c r="E218" s="21" t="s">
        <v>96</v>
      </c>
    </row>
    <row r="219">
      <c r="A219" s="14">
        <v>205.0</v>
      </c>
      <c r="B219" s="17" t="s">
        <v>693</v>
      </c>
      <c r="C219" s="14" t="s">
        <v>695</v>
      </c>
      <c r="D219" s="14">
        <v>11.0</v>
      </c>
      <c r="E219" s="18" t="s">
        <v>96</v>
      </c>
    </row>
    <row r="220">
      <c r="A220" s="19">
        <v>206.0</v>
      </c>
      <c r="B220" s="17" t="s">
        <v>696</v>
      </c>
      <c r="C220" s="19" t="s">
        <v>697</v>
      </c>
      <c r="D220" s="19">
        <v>7.0</v>
      </c>
      <c r="E220" s="21" t="s">
        <v>96</v>
      </c>
    </row>
    <row r="221">
      <c r="A221" s="14">
        <v>207.0</v>
      </c>
      <c r="B221" s="17" t="s">
        <v>698</v>
      </c>
      <c r="C221" s="14" t="s">
        <v>700</v>
      </c>
      <c r="D221" s="14">
        <v>9.0</v>
      </c>
      <c r="E221" s="18" t="s">
        <v>96</v>
      </c>
    </row>
    <row r="222">
      <c r="A222" s="19">
        <v>208.0</v>
      </c>
      <c r="B222" s="17" t="s">
        <v>701</v>
      </c>
      <c r="C222" s="19" t="s">
        <v>702</v>
      </c>
      <c r="D222" s="19">
        <v>11.0</v>
      </c>
      <c r="E222" s="21" t="s">
        <v>96</v>
      </c>
    </row>
    <row r="223">
      <c r="A223" s="14">
        <v>209.0</v>
      </c>
      <c r="B223" s="17" t="s">
        <v>704</v>
      </c>
      <c r="C223" s="14" t="s">
        <v>705</v>
      </c>
      <c r="D223" s="14">
        <v>10.0</v>
      </c>
      <c r="E223" s="18" t="s">
        <v>96</v>
      </c>
    </row>
    <row r="224">
      <c r="A224" s="19">
        <v>210.0</v>
      </c>
      <c r="B224" s="17" t="s">
        <v>706</v>
      </c>
      <c r="C224" s="19" t="s">
        <v>707</v>
      </c>
      <c r="D224" s="19">
        <v>11.0</v>
      </c>
      <c r="E224" s="21" t="s">
        <v>96</v>
      </c>
    </row>
    <row r="225">
      <c r="A225" s="14">
        <v>211.0</v>
      </c>
      <c r="B225" s="17" t="s">
        <v>708</v>
      </c>
      <c r="C225" s="14" t="s">
        <v>709</v>
      </c>
      <c r="D225" s="14">
        <v>9.0</v>
      </c>
      <c r="E225" s="18" t="s">
        <v>96</v>
      </c>
    </row>
    <row r="226">
      <c r="A226" s="19">
        <v>212.0</v>
      </c>
      <c r="B226" s="17" t="s">
        <v>710</v>
      </c>
      <c r="C226" s="19" t="s">
        <v>712</v>
      </c>
      <c r="D226" s="19">
        <v>6.0</v>
      </c>
      <c r="E226" s="21" t="s">
        <v>96</v>
      </c>
    </row>
    <row r="227">
      <c r="A227" s="14">
        <v>213.0</v>
      </c>
      <c r="B227" s="17" t="s">
        <v>713</v>
      </c>
      <c r="C227" s="14" t="s">
        <v>714</v>
      </c>
      <c r="D227" s="14">
        <v>9.0</v>
      </c>
      <c r="E227" s="18" t="s">
        <v>96</v>
      </c>
    </row>
    <row r="228">
      <c r="A228" s="19">
        <v>214.0</v>
      </c>
      <c r="B228" s="17" t="s">
        <v>715</v>
      </c>
      <c r="C228" s="19" t="s">
        <v>717</v>
      </c>
      <c r="D228" s="19">
        <v>11.0</v>
      </c>
      <c r="E228" s="21" t="s">
        <v>96</v>
      </c>
    </row>
    <row r="229">
      <c r="A229" s="14">
        <v>215.0</v>
      </c>
      <c r="B229" s="17" t="s">
        <v>718</v>
      </c>
      <c r="C229" s="14" t="s">
        <v>719</v>
      </c>
      <c r="D229" s="14">
        <v>14.0</v>
      </c>
      <c r="E229" s="18" t="s">
        <v>96</v>
      </c>
    </row>
    <row r="230">
      <c r="A230" s="19">
        <v>216.0</v>
      </c>
      <c r="B230" s="17" t="s">
        <v>720</v>
      </c>
      <c r="C230" s="19" t="s">
        <v>722</v>
      </c>
      <c r="D230" s="19">
        <v>7.0</v>
      </c>
      <c r="E230" s="21" t="s">
        <v>96</v>
      </c>
    </row>
    <row r="231">
      <c r="A231" s="14">
        <v>217.0</v>
      </c>
      <c r="B231" s="17" t="s">
        <v>723</v>
      </c>
      <c r="C231" s="14" t="s">
        <v>724</v>
      </c>
      <c r="D231" s="14">
        <v>10.0</v>
      </c>
      <c r="E231" s="18" t="s">
        <v>96</v>
      </c>
    </row>
    <row r="232">
      <c r="A232" s="19">
        <v>218.0</v>
      </c>
      <c r="B232" s="17" t="s">
        <v>725</v>
      </c>
      <c r="C232" s="19" t="s">
        <v>727</v>
      </c>
      <c r="D232" s="19">
        <v>6.0</v>
      </c>
      <c r="E232" s="21" t="s">
        <v>96</v>
      </c>
    </row>
    <row r="233">
      <c r="A233" s="14">
        <v>219.0</v>
      </c>
      <c r="B233" s="17" t="s">
        <v>728</v>
      </c>
      <c r="C233" s="14" t="s">
        <v>729</v>
      </c>
      <c r="D233" s="14">
        <v>6.0</v>
      </c>
      <c r="E233" s="18" t="s">
        <v>96</v>
      </c>
    </row>
    <row r="234">
      <c r="A234" s="19">
        <v>220.0</v>
      </c>
      <c r="B234" s="17" t="s">
        <v>730</v>
      </c>
      <c r="C234" s="19" t="s">
        <v>732</v>
      </c>
      <c r="D234" s="19">
        <v>13.0</v>
      </c>
      <c r="E234" s="21" t="s">
        <v>96</v>
      </c>
    </row>
    <row r="235">
      <c r="A235" s="14">
        <v>221.0</v>
      </c>
      <c r="B235" s="17" t="s">
        <v>733</v>
      </c>
      <c r="C235" s="14" t="s">
        <v>734</v>
      </c>
      <c r="D235" s="14">
        <v>13.0</v>
      </c>
      <c r="E235" s="18" t="s">
        <v>96</v>
      </c>
    </row>
    <row r="236">
      <c r="A236" s="19">
        <v>222.0</v>
      </c>
      <c r="B236" s="17" t="s">
        <v>735</v>
      </c>
      <c r="C236" s="19" t="s">
        <v>736</v>
      </c>
      <c r="D236" s="19">
        <v>7.0</v>
      </c>
      <c r="E236" s="21" t="s">
        <v>96</v>
      </c>
    </row>
    <row r="237">
      <c r="A237" s="14">
        <v>223.0</v>
      </c>
      <c r="B237" s="17" t="s">
        <v>738</v>
      </c>
      <c r="C237" s="14" t="s">
        <v>739</v>
      </c>
      <c r="D237" s="14">
        <v>9.0</v>
      </c>
      <c r="E237" s="18" t="s">
        <v>96</v>
      </c>
    </row>
    <row r="238">
      <c r="A238" s="9" t="s">
        <v>740</v>
      </c>
      <c r="B238" s="11"/>
      <c r="E238" s="13" t="s">
        <v>741</v>
      </c>
    </row>
    <row r="239">
      <c r="A239" s="14">
        <v>224.0</v>
      </c>
      <c r="B239" s="17" t="s">
        <v>742</v>
      </c>
      <c r="C239" s="14" t="s">
        <v>744</v>
      </c>
      <c r="D239" s="14">
        <v>11.0</v>
      </c>
      <c r="E239" s="18" t="s">
        <v>96</v>
      </c>
    </row>
    <row r="240">
      <c r="A240" s="19">
        <v>225.0</v>
      </c>
      <c r="B240" s="17" t="s">
        <v>745</v>
      </c>
      <c r="C240" s="19" t="s">
        <v>746</v>
      </c>
      <c r="D240" s="19">
        <v>13.0</v>
      </c>
      <c r="E240" s="21" t="s">
        <v>96</v>
      </c>
    </row>
    <row r="241">
      <c r="A241" s="14">
        <v>226.0</v>
      </c>
      <c r="B241" s="17" t="s">
        <v>748</v>
      </c>
      <c r="C241" s="14" t="s">
        <v>749</v>
      </c>
      <c r="D241" s="14">
        <v>11.0</v>
      </c>
      <c r="E241" s="18" t="s">
        <v>96</v>
      </c>
    </row>
    <row r="242">
      <c r="A242" s="19">
        <v>227.0</v>
      </c>
      <c r="B242" s="17" t="s">
        <v>750</v>
      </c>
      <c r="C242" s="19" t="s">
        <v>752</v>
      </c>
      <c r="D242" s="19">
        <v>6.0</v>
      </c>
      <c r="E242" s="21" t="s">
        <v>96</v>
      </c>
    </row>
    <row r="243">
      <c r="A243" s="14">
        <v>228.0</v>
      </c>
      <c r="B243" s="17" t="s">
        <v>753</v>
      </c>
      <c r="C243" s="14" t="s">
        <v>754</v>
      </c>
      <c r="D243" s="14">
        <v>11.0</v>
      </c>
      <c r="E243" s="18" t="s">
        <v>96</v>
      </c>
    </row>
    <row r="244">
      <c r="A244" s="19">
        <v>229.0</v>
      </c>
      <c r="B244" s="17" t="s">
        <v>755</v>
      </c>
      <c r="C244" s="19" t="s">
        <v>757</v>
      </c>
      <c r="D244" s="19">
        <v>8.0</v>
      </c>
      <c r="E244" s="21" t="s">
        <v>96</v>
      </c>
    </row>
    <row r="245">
      <c r="A245" s="14">
        <v>230.0</v>
      </c>
      <c r="B245" s="17" t="s">
        <v>758</v>
      </c>
      <c r="C245" s="14" t="s">
        <v>759</v>
      </c>
      <c r="D245" s="14">
        <v>7.0</v>
      </c>
      <c r="E245" s="18" t="s">
        <v>96</v>
      </c>
    </row>
    <row r="246">
      <c r="A246" s="19">
        <v>231.0</v>
      </c>
      <c r="B246" s="17" t="s">
        <v>760</v>
      </c>
      <c r="C246" s="19" t="s">
        <v>762</v>
      </c>
      <c r="D246" s="19">
        <v>13.0</v>
      </c>
      <c r="E246" s="21" t="s">
        <v>96</v>
      </c>
    </row>
    <row r="247">
      <c r="A247" s="14">
        <v>232.0</v>
      </c>
      <c r="B247" s="17" t="s">
        <v>763</v>
      </c>
      <c r="C247" s="14" t="s">
        <v>764</v>
      </c>
      <c r="D247" s="14">
        <v>10.0</v>
      </c>
      <c r="E247" s="18" t="s">
        <v>96</v>
      </c>
    </row>
    <row r="248">
      <c r="A248" s="19">
        <v>233.0</v>
      </c>
      <c r="B248" s="17" t="s">
        <v>765</v>
      </c>
      <c r="C248" s="19" t="s">
        <v>767</v>
      </c>
      <c r="D248" s="19">
        <v>6.0</v>
      </c>
      <c r="E248" s="21" t="s">
        <v>96</v>
      </c>
    </row>
    <row r="249">
      <c r="A249" s="14">
        <v>234.0</v>
      </c>
      <c r="B249" s="17" t="s">
        <v>768</v>
      </c>
      <c r="C249" s="14" t="s">
        <v>769</v>
      </c>
      <c r="D249" s="14">
        <v>8.0</v>
      </c>
      <c r="E249" s="18" t="s">
        <v>96</v>
      </c>
    </row>
    <row r="250">
      <c r="A250" s="19">
        <v>235.0</v>
      </c>
      <c r="B250" s="17" t="s">
        <v>770</v>
      </c>
      <c r="C250" s="19" t="s">
        <v>772</v>
      </c>
      <c r="D250" s="19">
        <v>8.0</v>
      </c>
      <c r="E250" s="21" t="s">
        <v>96</v>
      </c>
    </row>
    <row r="251">
      <c r="A251" s="14">
        <v>236.0</v>
      </c>
      <c r="B251" s="17" t="s">
        <v>773</v>
      </c>
      <c r="C251" s="14" t="s">
        <v>774</v>
      </c>
      <c r="D251" s="14">
        <v>10.0</v>
      </c>
      <c r="E251" s="18" t="s">
        <v>96</v>
      </c>
    </row>
    <row r="252">
      <c r="A252" s="19">
        <v>237.0</v>
      </c>
      <c r="B252" s="17" t="s">
        <v>776</v>
      </c>
      <c r="C252" s="19" t="s">
        <v>777</v>
      </c>
      <c r="D252" s="19">
        <v>11.0</v>
      </c>
      <c r="E252" s="21" t="s">
        <v>96</v>
      </c>
    </row>
    <row r="253">
      <c r="A253" s="14">
        <v>238.0</v>
      </c>
      <c r="B253" s="17" t="s">
        <v>778</v>
      </c>
      <c r="C253" s="14" t="s">
        <v>780</v>
      </c>
      <c r="D253" s="14">
        <v>8.0</v>
      </c>
      <c r="E253" s="18" t="s">
        <v>96</v>
      </c>
    </row>
    <row r="254">
      <c r="A254" s="19">
        <v>239.0</v>
      </c>
      <c r="B254" s="17" t="s">
        <v>781</v>
      </c>
      <c r="C254" s="19" t="s">
        <v>783</v>
      </c>
      <c r="D254" s="19">
        <v>10.0</v>
      </c>
      <c r="E254" s="21" t="s">
        <v>96</v>
      </c>
    </row>
    <row r="255">
      <c r="A255" s="14">
        <v>240.0</v>
      </c>
      <c r="B255" s="17" t="s">
        <v>784</v>
      </c>
      <c r="C255" s="14" t="s">
        <v>786</v>
      </c>
      <c r="D255" s="14">
        <v>5.0</v>
      </c>
      <c r="E255" s="18" t="s">
        <v>96</v>
      </c>
    </row>
    <row r="256">
      <c r="A256" s="19">
        <v>241.0</v>
      </c>
      <c r="B256" s="17" t="s">
        <v>787</v>
      </c>
      <c r="C256" s="19" t="s">
        <v>789</v>
      </c>
      <c r="D256" s="19">
        <v>13.0</v>
      </c>
      <c r="E256" s="21" t="s">
        <v>96</v>
      </c>
    </row>
    <row r="257">
      <c r="A257" s="14">
        <v>242.0</v>
      </c>
      <c r="B257" s="17" t="s">
        <v>790</v>
      </c>
      <c r="C257" s="14" t="s">
        <v>792</v>
      </c>
      <c r="D257" s="14">
        <v>5.0</v>
      </c>
      <c r="E257" s="18" t="s">
        <v>96</v>
      </c>
    </row>
    <row r="258">
      <c r="A258" s="19">
        <v>243.0</v>
      </c>
      <c r="B258" s="17" t="s">
        <v>794</v>
      </c>
      <c r="C258" s="19" t="s">
        <v>797</v>
      </c>
      <c r="D258" s="19">
        <v>13.0</v>
      </c>
      <c r="E258" s="21" t="s">
        <v>96</v>
      </c>
    </row>
    <row r="259">
      <c r="A259" s="14">
        <v>244.0</v>
      </c>
      <c r="B259" s="17" t="s">
        <v>798</v>
      </c>
      <c r="C259" s="14" t="s">
        <v>800</v>
      </c>
      <c r="D259" s="14">
        <v>8.0</v>
      </c>
      <c r="E259" s="18" t="s">
        <v>96</v>
      </c>
    </row>
    <row r="260">
      <c r="A260" s="19">
        <v>245.0</v>
      </c>
      <c r="B260" s="17" t="s">
        <v>801</v>
      </c>
      <c r="C260" s="19" t="s">
        <v>802</v>
      </c>
      <c r="D260" s="19">
        <v>8.0</v>
      </c>
      <c r="E260" s="21" t="s">
        <v>96</v>
      </c>
    </row>
    <row r="261">
      <c r="A261" s="14">
        <v>246.0</v>
      </c>
      <c r="B261" s="17" t="s">
        <v>803</v>
      </c>
      <c r="C261" s="14" t="s">
        <v>804</v>
      </c>
      <c r="D261" s="14">
        <v>6.0</v>
      </c>
      <c r="E261" s="18" t="s">
        <v>96</v>
      </c>
    </row>
    <row r="262">
      <c r="A262" s="19">
        <v>247.0</v>
      </c>
      <c r="B262" s="17" t="s">
        <v>806</v>
      </c>
      <c r="C262" s="19" t="s">
        <v>807</v>
      </c>
      <c r="D262" s="19">
        <v>7.0</v>
      </c>
      <c r="E262" s="21" t="s">
        <v>96</v>
      </c>
    </row>
    <row r="263">
      <c r="A263" s="14">
        <v>248.0</v>
      </c>
      <c r="B263" s="17" t="s">
        <v>808</v>
      </c>
      <c r="C263" s="14" t="s">
        <v>810</v>
      </c>
      <c r="D263" s="14">
        <v>14.0</v>
      </c>
      <c r="E263" s="18" t="s">
        <v>96</v>
      </c>
    </row>
    <row r="264">
      <c r="A264" s="19">
        <v>249.0</v>
      </c>
      <c r="B264" s="17" t="s">
        <v>811</v>
      </c>
      <c r="C264" s="19" t="s">
        <v>812</v>
      </c>
      <c r="D264" s="19">
        <v>8.0</v>
      </c>
      <c r="E264" s="21" t="s">
        <v>96</v>
      </c>
    </row>
    <row r="265">
      <c r="A265" s="14">
        <v>250.0</v>
      </c>
      <c r="B265" s="17" t="s">
        <v>814</v>
      </c>
      <c r="C265" s="14" t="s">
        <v>816</v>
      </c>
      <c r="D265" s="14">
        <v>8.0</v>
      </c>
      <c r="E265" s="18" t="s">
        <v>96</v>
      </c>
    </row>
    <row r="266">
      <c r="A266" s="19">
        <v>251.0</v>
      </c>
      <c r="B266" s="17" t="s">
        <v>818</v>
      </c>
      <c r="C266" s="19" t="s">
        <v>820</v>
      </c>
      <c r="D266" s="19">
        <v>9.0</v>
      </c>
      <c r="E266" s="21" t="s">
        <v>96</v>
      </c>
    </row>
    <row r="267">
      <c r="A267" s="14">
        <v>252.0</v>
      </c>
      <c r="B267" s="17" t="s">
        <v>821</v>
      </c>
      <c r="C267" s="14" t="s">
        <v>822</v>
      </c>
      <c r="D267" s="14">
        <v>8.0</v>
      </c>
      <c r="E267" s="18" t="s">
        <v>96</v>
      </c>
    </row>
    <row r="268">
      <c r="A268" s="19">
        <v>253.0</v>
      </c>
      <c r="B268" s="17" t="s">
        <v>823</v>
      </c>
      <c r="C268" s="19" t="s">
        <v>825</v>
      </c>
      <c r="D268" s="19">
        <v>14.0</v>
      </c>
      <c r="E268" s="21" t="s">
        <v>96</v>
      </c>
    </row>
    <row r="269">
      <c r="A269" s="14">
        <v>254.0</v>
      </c>
      <c r="B269" s="17" t="s">
        <v>826</v>
      </c>
      <c r="C269" s="14" t="s">
        <v>828</v>
      </c>
      <c r="D269" s="14">
        <v>8.0</v>
      </c>
      <c r="E269" s="18" t="s">
        <v>96</v>
      </c>
    </row>
    <row r="270">
      <c r="A270" s="19">
        <v>255.0</v>
      </c>
      <c r="B270" s="17" t="s">
        <v>829</v>
      </c>
      <c r="C270" s="19" t="s">
        <v>831</v>
      </c>
      <c r="D270" s="19">
        <v>10.0</v>
      </c>
      <c r="E270" s="21" t="s">
        <v>96</v>
      </c>
    </row>
    <row r="271">
      <c r="A271" s="14">
        <v>256.0</v>
      </c>
      <c r="B271" s="17" t="s">
        <v>832</v>
      </c>
      <c r="C271" s="14" t="s">
        <v>833</v>
      </c>
      <c r="D271" s="14">
        <v>7.0</v>
      </c>
      <c r="E271" s="18" t="s">
        <v>96</v>
      </c>
    </row>
    <row r="272">
      <c r="A272" s="19">
        <v>257.0</v>
      </c>
      <c r="B272" s="17" t="s">
        <v>835</v>
      </c>
      <c r="C272" s="19" t="s">
        <v>836</v>
      </c>
      <c r="D272" s="19">
        <v>5.0</v>
      </c>
      <c r="E272" s="21" t="s">
        <v>96</v>
      </c>
    </row>
    <row r="273">
      <c r="A273" s="14">
        <v>258.0</v>
      </c>
      <c r="B273" s="17" t="s">
        <v>838</v>
      </c>
      <c r="C273" s="14" t="s">
        <v>839</v>
      </c>
      <c r="D273" s="14">
        <v>11.0</v>
      </c>
      <c r="E273" s="18" t="s">
        <v>96</v>
      </c>
    </row>
    <row r="274">
      <c r="A274" s="19">
        <v>259.0</v>
      </c>
      <c r="B274" s="17" t="s">
        <v>841</v>
      </c>
      <c r="C274" s="19" t="s">
        <v>842</v>
      </c>
      <c r="D274" s="19">
        <v>11.0</v>
      </c>
      <c r="E274" s="21" t="s">
        <v>96</v>
      </c>
    </row>
    <row r="275">
      <c r="A275" s="14">
        <v>260.0</v>
      </c>
      <c r="B275" s="17" t="s">
        <v>844</v>
      </c>
      <c r="C275" s="14" t="s">
        <v>845</v>
      </c>
      <c r="D275" s="14">
        <v>6.0</v>
      </c>
      <c r="E275" s="18" t="s">
        <v>96</v>
      </c>
    </row>
    <row r="276">
      <c r="A276" s="19">
        <v>261.0</v>
      </c>
      <c r="B276" s="17" t="s">
        <v>847</v>
      </c>
      <c r="C276" s="19" t="s">
        <v>849</v>
      </c>
      <c r="D276" s="19">
        <v>8.0</v>
      </c>
      <c r="E276" s="21" t="s">
        <v>96</v>
      </c>
    </row>
    <row r="277">
      <c r="A277" s="14">
        <v>262.0</v>
      </c>
      <c r="B277" s="17" t="s">
        <v>850</v>
      </c>
      <c r="C277" s="14" t="s">
        <v>852</v>
      </c>
      <c r="D277" s="14">
        <v>8.0</v>
      </c>
      <c r="E277" s="18" t="s">
        <v>96</v>
      </c>
    </row>
    <row r="278">
      <c r="A278" s="19">
        <v>263.0</v>
      </c>
      <c r="B278" s="17" t="s">
        <v>853</v>
      </c>
      <c r="C278" s="19" t="s">
        <v>855</v>
      </c>
      <c r="D278" s="19">
        <v>5.0</v>
      </c>
      <c r="E278" s="21" t="s">
        <v>96</v>
      </c>
    </row>
    <row r="279">
      <c r="A279" s="14">
        <v>264.0</v>
      </c>
      <c r="B279" s="17" t="s">
        <v>856</v>
      </c>
      <c r="C279" s="14" t="s">
        <v>859</v>
      </c>
      <c r="D279" s="14" t="s">
        <v>96</v>
      </c>
      <c r="E279" s="18" t="s">
        <v>96</v>
      </c>
    </row>
    <row r="280">
      <c r="A280" s="19">
        <v>265.0</v>
      </c>
      <c r="B280" s="17" t="s">
        <v>861</v>
      </c>
      <c r="C280" s="19" t="s">
        <v>862</v>
      </c>
      <c r="D280" s="19">
        <v>7.0</v>
      </c>
      <c r="E280" s="21" t="s">
        <v>96</v>
      </c>
    </row>
    <row r="281">
      <c r="A281" s="14">
        <v>266.0</v>
      </c>
      <c r="B281" s="17" t="s">
        <v>864</v>
      </c>
      <c r="C281" s="14" t="s">
        <v>866</v>
      </c>
      <c r="D281" s="14">
        <v>13.0</v>
      </c>
      <c r="E281" s="18" t="s">
        <v>96</v>
      </c>
    </row>
    <row r="282">
      <c r="A282" s="19">
        <v>267.0</v>
      </c>
      <c r="B282" s="17" t="s">
        <v>867</v>
      </c>
      <c r="C282" s="19" t="s">
        <v>869</v>
      </c>
      <c r="D282" s="19">
        <v>13.0</v>
      </c>
      <c r="E282" s="21" t="s">
        <v>96</v>
      </c>
    </row>
    <row r="283">
      <c r="A283" s="14">
        <v>268.0</v>
      </c>
      <c r="B283" s="17" t="s">
        <v>870</v>
      </c>
      <c r="C283" s="14" t="s">
        <v>871</v>
      </c>
      <c r="D283" s="14">
        <v>7.0</v>
      </c>
      <c r="E283" s="18" t="s">
        <v>96</v>
      </c>
    </row>
    <row r="284">
      <c r="A284" s="19">
        <v>269.0</v>
      </c>
      <c r="B284" s="17" t="s">
        <v>873</v>
      </c>
      <c r="C284" s="19" t="s">
        <v>874</v>
      </c>
      <c r="D284" s="19">
        <v>11.0</v>
      </c>
      <c r="E284" s="21" t="s">
        <v>96</v>
      </c>
    </row>
    <row r="285">
      <c r="A285" s="14">
        <v>270.0</v>
      </c>
      <c r="B285" s="17" t="s">
        <v>876</v>
      </c>
      <c r="C285" s="14" t="s">
        <v>878</v>
      </c>
      <c r="D285" s="14">
        <v>7.0</v>
      </c>
      <c r="E285" s="18" t="s">
        <v>96</v>
      </c>
    </row>
    <row r="286">
      <c r="A286" s="19">
        <v>271.0</v>
      </c>
      <c r="B286" s="17" t="s">
        <v>880</v>
      </c>
      <c r="C286" s="19" t="s">
        <v>882</v>
      </c>
      <c r="D286" s="19">
        <v>6.0</v>
      </c>
      <c r="E286" s="21" t="s">
        <v>96</v>
      </c>
    </row>
    <row r="287">
      <c r="A287" s="24" t="s">
        <v>883</v>
      </c>
      <c r="B287" s="25"/>
      <c r="E287" s="13" t="s">
        <v>884</v>
      </c>
    </row>
    <row r="288">
      <c r="A288" s="19">
        <v>272.0</v>
      </c>
      <c r="B288" s="17" t="s">
        <v>885</v>
      </c>
      <c r="C288" s="19" t="s">
        <v>887</v>
      </c>
      <c r="D288" s="19">
        <v>8.0</v>
      </c>
      <c r="E288" s="21" t="s">
        <v>96</v>
      </c>
    </row>
    <row r="289">
      <c r="A289" s="14">
        <v>273.0</v>
      </c>
      <c r="B289" s="17" t="s">
        <v>888</v>
      </c>
      <c r="C289" s="14" t="s">
        <v>890</v>
      </c>
      <c r="D289" s="14">
        <v>13.0</v>
      </c>
      <c r="E289" s="18" t="s">
        <v>96</v>
      </c>
    </row>
    <row r="290">
      <c r="A290" s="19">
        <v>274.0</v>
      </c>
      <c r="B290" s="17" t="s">
        <v>892</v>
      </c>
      <c r="C290" s="19" t="s">
        <v>894</v>
      </c>
      <c r="D290" s="19">
        <v>5.0</v>
      </c>
      <c r="E290" s="21" t="s">
        <v>96</v>
      </c>
    </row>
    <row r="291">
      <c r="A291" s="14">
        <v>275.0</v>
      </c>
      <c r="B291" s="17" t="s">
        <v>895</v>
      </c>
      <c r="C291" s="14" t="s">
        <v>897</v>
      </c>
      <c r="D291" s="14">
        <v>10.0</v>
      </c>
      <c r="E291" s="18" t="s">
        <v>96</v>
      </c>
    </row>
    <row r="292">
      <c r="A292" s="19">
        <v>276.0</v>
      </c>
      <c r="B292" s="17" t="s">
        <v>899</v>
      </c>
      <c r="C292" s="19" t="s">
        <v>901</v>
      </c>
      <c r="D292" s="19">
        <v>6.0</v>
      </c>
      <c r="E292" s="21" t="s">
        <v>96</v>
      </c>
    </row>
    <row r="293">
      <c r="A293" s="14">
        <v>277.0</v>
      </c>
      <c r="B293" s="17" t="s">
        <v>902</v>
      </c>
      <c r="C293" s="14" t="s">
        <v>903</v>
      </c>
      <c r="D293" s="14">
        <v>11.0</v>
      </c>
      <c r="E293" s="18" t="s">
        <v>96</v>
      </c>
    </row>
    <row r="294">
      <c r="A294" s="19">
        <v>278.0</v>
      </c>
      <c r="B294" s="17" t="s">
        <v>905</v>
      </c>
      <c r="C294" s="19" t="s">
        <v>907</v>
      </c>
      <c r="D294" s="19">
        <v>8.0</v>
      </c>
      <c r="E294" s="21" t="s">
        <v>96</v>
      </c>
    </row>
    <row r="295">
      <c r="A295" s="14">
        <v>279.0</v>
      </c>
      <c r="B295" s="17" t="s">
        <v>908</v>
      </c>
      <c r="C295" s="14" t="s">
        <v>910</v>
      </c>
      <c r="D295" s="14">
        <v>5.0</v>
      </c>
      <c r="E295" s="18" t="s">
        <v>96</v>
      </c>
    </row>
    <row r="296">
      <c r="A296" s="19">
        <v>280.0</v>
      </c>
      <c r="B296" s="17" t="s">
        <v>911</v>
      </c>
      <c r="C296" s="19" t="s">
        <v>913</v>
      </c>
      <c r="D296" s="19">
        <v>9.0</v>
      </c>
      <c r="E296" s="21" t="s">
        <v>96</v>
      </c>
    </row>
    <row r="297">
      <c r="A297" s="14">
        <v>281.0</v>
      </c>
      <c r="B297" s="17" t="s">
        <v>914</v>
      </c>
      <c r="C297" s="14" t="s">
        <v>916</v>
      </c>
      <c r="D297" s="14">
        <v>8.0</v>
      </c>
      <c r="E297" s="18" t="s">
        <v>96</v>
      </c>
    </row>
    <row r="298">
      <c r="A298" s="19">
        <v>282.0</v>
      </c>
      <c r="B298" s="17" t="s">
        <v>918</v>
      </c>
      <c r="C298" s="19" t="s">
        <v>920</v>
      </c>
      <c r="D298" s="19">
        <v>6.0</v>
      </c>
      <c r="E298" s="21" t="s">
        <v>96</v>
      </c>
    </row>
    <row r="299">
      <c r="A299" s="14">
        <v>283.0</v>
      </c>
      <c r="B299" s="17" t="s">
        <v>922</v>
      </c>
      <c r="C299" s="14" t="s">
        <v>923</v>
      </c>
      <c r="D299" s="14">
        <v>11.0</v>
      </c>
      <c r="E299" s="18" t="s">
        <v>96</v>
      </c>
    </row>
    <row r="300">
      <c r="A300" s="19">
        <v>284.0</v>
      </c>
      <c r="B300" s="17" t="s">
        <v>925</v>
      </c>
      <c r="C300" s="19" t="s">
        <v>927</v>
      </c>
      <c r="D300" s="19">
        <v>6.0</v>
      </c>
      <c r="E300" s="21" t="s">
        <v>96</v>
      </c>
    </row>
    <row r="301">
      <c r="A301" s="14">
        <v>285.0</v>
      </c>
      <c r="B301" s="17" t="s">
        <v>929</v>
      </c>
      <c r="C301" s="14" t="s">
        <v>931</v>
      </c>
      <c r="D301" s="14">
        <v>5.0</v>
      </c>
      <c r="E301" s="18" t="s">
        <v>96</v>
      </c>
    </row>
    <row r="302">
      <c r="A302" s="19">
        <v>286.0</v>
      </c>
      <c r="B302" s="17" t="s">
        <v>933</v>
      </c>
      <c r="C302" s="19" t="s">
        <v>935</v>
      </c>
      <c r="D302" s="19">
        <v>10.0</v>
      </c>
      <c r="E302" s="21" t="s">
        <v>96</v>
      </c>
    </row>
    <row r="303">
      <c r="A303" s="14">
        <v>287.0</v>
      </c>
      <c r="B303" s="17" t="s">
        <v>937</v>
      </c>
      <c r="C303" s="14" t="s">
        <v>940</v>
      </c>
      <c r="D303" s="14">
        <v>7.0</v>
      </c>
      <c r="E303" s="18" t="s">
        <v>96</v>
      </c>
    </row>
    <row r="304">
      <c r="A304" s="19">
        <v>288.0</v>
      </c>
      <c r="B304" s="17" t="s">
        <v>942</v>
      </c>
      <c r="C304" s="19" t="s">
        <v>945</v>
      </c>
      <c r="D304" s="19" t="s">
        <v>96</v>
      </c>
      <c r="E304" s="21" t="s">
        <v>96</v>
      </c>
    </row>
    <row r="305">
      <c r="A305" s="14">
        <v>289.0</v>
      </c>
      <c r="B305" s="17" t="s">
        <v>946</v>
      </c>
      <c r="C305" s="14" t="s">
        <v>948</v>
      </c>
      <c r="D305" s="14">
        <v>10.0</v>
      </c>
      <c r="E305" s="18" t="s">
        <v>96</v>
      </c>
    </row>
    <row r="306">
      <c r="A306" s="19">
        <v>290.0</v>
      </c>
      <c r="B306" s="17" t="s">
        <v>950</v>
      </c>
      <c r="C306" s="19" t="s">
        <v>953</v>
      </c>
      <c r="D306" s="19" t="s">
        <v>96</v>
      </c>
      <c r="E306" s="21" t="s">
        <v>96</v>
      </c>
    </row>
    <row r="307">
      <c r="A307" s="14">
        <v>291.0</v>
      </c>
      <c r="B307" s="17" t="s">
        <v>954</v>
      </c>
      <c r="C307" s="14" t="s">
        <v>956</v>
      </c>
      <c r="D307" s="14">
        <v>11.0</v>
      </c>
      <c r="E307" s="18" t="s">
        <v>96</v>
      </c>
    </row>
    <row r="308">
      <c r="A308" s="19">
        <v>292.0</v>
      </c>
      <c r="B308" s="17" t="s">
        <v>957</v>
      </c>
      <c r="C308" s="19" t="s">
        <v>959</v>
      </c>
      <c r="D308" s="19">
        <v>11.0</v>
      </c>
      <c r="E308" s="21" t="s">
        <v>96</v>
      </c>
    </row>
    <row r="309">
      <c r="A309" s="14">
        <v>293.0</v>
      </c>
      <c r="B309" s="17" t="s">
        <v>960</v>
      </c>
      <c r="C309" s="14" t="s">
        <v>963</v>
      </c>
      <c r="D309" s="14">
        <v>5.0</v>
      </c>
      <c r="E309" s="18" t="s">
        <v>96</v>
      </c>
    </row>
    <row r="310">
      <c r="A310" s="19">
        <v>294.0</v>
      </c>
      <c r="B310" s="17" t="s">
        <v>965</v>
      </c>
      <c r="C310" s="19" t="s">
        <v>966</v>
      </c>
      <c r="D310" s="19">
        <v>11.0</v>
      </c>
      <c r="E310" s="21" t="s">
        <v>96</v>
      </c>
    </row>
    <row r="311">
      <c r="A311" s="14">
        <v>295.0</v>
      </c>
      <c r="B311" s="17" t="s">
        <v>967</v>
      </c>
      <c r="C311" s="14" t="s">
        <v>968</v>
      </c>
      <c r="D311" s="14">
        <v>11.0</v>
      </c>
      <c r="E311" s="18" t="s">
        <v>96</v>
      </c>
    </row>
    <row r="312">
      <c r="A312" s="19">
        <v>296.0</v>
      </c>
      <c r="B312" s="17" t="s">
        <v>969</v>
      </c>
      <c r="C312" s="19" t="s">
        <v>971</v>
      </c>
      <c r="D312" s="19">
        <v>11.0</v>
      </c>
      <c r="E312" s="21" t="s">
        <v>96</v>
      </c>
    </row>
    <row r="313">
      <c r="A313" s="14">
        <v>297.0</v>
      </c>
      <c r="B313" s="17" t="s">
        <v>974</v>
      </c>
      <c r="C313" s="14" t="s">
        <v>976</v>
      </c>
      <c r="D313" s="14">
        <v>8.0</v>
      </c>
      <c r="E313" s="18" t="s">
        <v>96</v>
      </c>
    </row>
    <row r="314">
      <c r="A314" s="19">
        <v>298.0</v>
      </c>
      <c r="B314" s="17" t="s">
        <v>977</v>
      </c>
      <c r="C314" s="19" t="s">
        <v>978</v>
      </c>
      <c r="D314" s="19">
        <v>11.0</v>
      </c>
      <c r="E314" s="21" t="s">
        <v>96</v>
      </c>
    </row>
    <row r="315">
      <c r="A315" s="14">
        <v>299.0</v>
      </c>
      <c r="B315" s="17" t="s">
        <v>980</v>
      </c>
      <c r="C315" s="14" t="s">
        <v>981</v>
      </c>
      <c r="D315" s="14">
        <v>13.0</v>
      </c>
      <c r="E315" s="18" t="s">
        <v>96</v>
      </c>
    </row>
    <row r="316">
      <c r="A316" s="19">
        <v>300.0</v>
      </c>
      <c r="B316" s="17" t="s">
        <v>982</v>
      </c>
      <c r="C316" s="19" t="s">
        <v>984</v>
      </c>
      <c r="D316" s="19">
        <v>11.0</v>
      </c>
      <c r="E316" s="21" t="s">
        <v>96</v>
      </c>
    </row>
    <row r="317">
      <c r="A317" s="14">
        <v>301.0</v>
      </c>
      <c r="B317" s="17" t="s">
        <v>985</v>
      </c>
      <c r="C317" s="14" t="s">
        <v>987</v>
      </c>
      <c r="D317" s="14">
        <v>5.0</v>
      </c>
      <c r="E317" s="18" t="s">
        <v>96</v>
      </c>
    </row>
    <row r="318">
      <c r="A318" s="19">
        <v>302.0</v>
      </c>
      <c r="B318" s="17" t="s">
        <v>988</v>
      </c>
      <c r="C318" s="19" t="s">
        <v>990</v>
      </c>
      <c r="D318" s="19">
        <v>10.0</v>
      </c>
      <c r="E318" s="21" t="s">
        <v>96</v>
      </c>
    </row>
    <row r="319">
      <c r="A319" s="14">
        <v>303.0</v>
      </c>
      <c r="B319" s="17" t="s">
        <v>991</v>
      </c>
      <c r="C319" s="14" t="s">
        <v>670</v>
      </c>
      <c r="D319" s="14">
        <v>6.0</v>
      </c>
      <c r="E319" s="18" t="s">
        <v>96</v>
      </c>
    </row>
    <row r="320">
      <c r="A320" s="19">
        <v>304.0</v>
      </c>
      <c r="B320" s="17" t="s">
        <v>994</v>
      </c>
      <c r="C320" s="19" t="s">
        <v>996</v>
      </c>
      <c r="D320" s="19">
        <v>5.0</v>
      </c>
      <c r="E320" s="21" t="s">
        <v>96</v>
      </c>
    </row>
    <row r="321">
      <c r="A321" s="14">
        <v>305.0</v>
      </c>
      <c r="B321" s="17" t="s">
        <v>997</v>
      </c>
      <c r="C321" s="14" t="s">
        <v>998</v>
      </c>
      <c r="D321" s="14">
        <v>7.0</v>
      </c>
      <c r="E321" s="18" t="s">
        <v>96</v>
      </c>
    </row>
    <row r="322">
      <c r="A322" s="19">
        <v>306.0</v>
      </c>
      <c r="B322" s="17" t="s">
        <v>1000</v>
      </c>
      <c r="C322" s="19" t="s">
        <v>1001</v>
      </c>
      <c r="D322" s="19">
        <v>7.0</v>
      </c>
      <c r="E322" s="21" t="s">
        <v>96</v>
      </c>
    </row>
    <row r="323">
      <c r="A323" s="14">
        <v>307.0</v>
      </c>
      <c r="B323" s="17" t="s">
        <v>1003</v>
      </c>
      <c r="C323" s="14" t="s">
        <v>1005</v>
      </c>
      <c r="D323" s="14">
        <v>9.0</v>
      </c>
      <c r="E323" s="18" t="s">
        <v>96</v>
      </c>
    </row>
    <row r="324">
      <c r="A324" s="19">
        <v>308.0</v>
      </c>
      <c r="B324" s="17" t="s">
        <v>1006</v>
      </c>
      <c r="C324" s="19" t="s">
        <v>1007</v>
      </c>
      <c r="D324" s="19">
        <v>7.0</v>
      </c>
      <c r="E324" s="21" t="s">
        <v>96</v>
      </c>
    </row>
    <row r="325">
      <c r="A325" s="14">
        <v>309.0</v>
      </c>
      <c r="B325" s="17" t="s">
        <v>1009</v>
      </c>
      <c r="C325" s="14" t="s">
        <v>1010</v>
      </c>
      <c r="D325" s="14">
        <v>14.0</v>
      </c>
      <c r="E325" s="18" t="s">
        <v>96</v>
      </c>
    </row>
    <row r="326">
      <c r="A326" s="19">
        <v>310.0</v>
      </c>
      <c r="B326" s="17" t="s">
        <v>1012</v>
      </c>
      <c r="C326" s="19" t="s">
        <v>1013</v>
      </c>
      <c r="D326" s="19">
        <v>14.0</v>
      </c>
      <c r="E326" s="21" t="s">
        <v>96</v>
      </c>
    </row>
    <row r="327">
      <c r="A327" s="14">
        <v>311.0</v>
      </c>
      <c r="B327" s="17" t="s">
        <v>1014</v>
      </c>
      <c r="C327" s="14" t="s">
        <v>1016</v>
      </c>
      <c r="D327" s="14">
        <v>8.0</v>
      </c>
      <c r="E327" s="18" t="s">
        <v>96</v>
      </c>
    </row>
    <row r="328">
      <c r="A328" s="19">
        <v>312.0</v>
      </c>
      <c r="B328" s="17" t="s">
        <v>1017</v>
      </c>
      <c r="C328" s="19" t="s">
        <v>1020</v>
      </c>
      <c r="D328" s="19">
        <v>7.0</v>
      </c>
      <c r="E328" s="21" t="s">
        <v>96</v>
      </c>
    </row>
    <row r="329">
      <c r="A329" s="14">
        <v>313.0</v>
      </c>
      <c r="B329" s="17" t="s">
        <v>1021</v>
      </c>
      <c r="C329" s="14" t="s">
        <v>1022</v>
      </c>
      <c r="D329" s="14">
        <v>6.0</v>
      </c>
      <c r="E329" s="18" t="s">
        <v>96</v>
      </c>
    </row>
    <row r="330">
      <c r="A330" s="9" t="s">
        <v>1023</v>
      </c>
      <c r="B330" s="11"/>
      <c r="E330" s="13" t="s">
        <v>1025</v>
      </c>
    </row>
    <row r="331">
      <c r="A331" s="14">
        <v>314.0</v>
      </c>
      <c r="B331" s="17" t="s">
        <v>1026</v>
      </c>
      <c r="C331" s="14" t="s">
        <v>1027</v>
      </c>
      <c r="D331" s="14">
        <v>9.0</v>
      </c>
      <c r="E331" s="18" t="s">
        <v>96</v>
      </c>
    </row>
    <row r="332">
      <c r="A332" s="19">
        <v>315.0</v>
      </c>
      <c r="B332" s="17" t="s">
        <v>1028</v>
      </c>
      <c r="C332" s="19" t="s">
        <v>1030</v>
      </c>
      <c r="D332" s="19">
        <v>11.0</v>
      </c>
      <c r="E332" s="21" t="s">
        <v>96</v>
      </c>
    </row>
    <row r="333">
      <c r="A333" s="14">
        <v>316.0</v>
      </c>
      <c r="B333" s="17" t="s">
        <v>1031</v>
      </c>
      <c r="C333" s="14" t="s">
        <v>1032</v>
      </c>
      <c r="D333" s="14">
        <v>10.0</v>
      </c>
      <c r="E333" s="18" t="s">
        <v>96</v>
      </c>
    </row>
    <row r="334">
      <c r="A334" s="19">
        <v>317.0</v>
      </c>
      <c r="B334" s="17" t="s">
        <v>1034</v>
      </c>
      <c r="C334" s="19" t="s">
        <v>1035</v>
      </c>
      <c r="D334" s="19">
        <v>5.0</v>
      </c>
      <c r="E334" s="21" t="s">
        <v>96</v>
      </c>
    </row>
    <row r="335">
      <c r="A335" s="14">
        <v>318.0</v>
      </c>
      <c r="B335" s="17" t="s">
        <v>1036</v>
      </c>
      <c r="C335" s="14" t="s">
        <v>1038</v>
      </c>
      <c r="D335" s="14">
        <v>7.0</v>
      </c>
      <c r="E335" s="18" t="s">
        <v>96</v>
      </c>
    </row>
    <row r="336">
      <c r="A336" s="19">
        <v>319.0</v>
      </c>
      <c r="B336" s="17" t="s">
        <v>1039</v>
      </c>
      <c r="C336" s="19" t="s">
        <v>1041</v>
      </c>
      <c r="D336" s="19">
        <v>13.0</v>
      </c>
      <c r="E336" s="21" t="s">
        <v>96</v>
      </c>
    </row>
    <row r="337">
      <c r="A337" s="14">
        <v>320.0</v>
      </c>
      <c r="B337" s="17" t="s">
        <v>1042</v>
      </c>
      <c r="C337" s="14" t="s">
        <v>1044</v>
      </c>
      <c r="D337" s="14">
        <v>8.0</v>
      </c>
      <c r="E337" s="18" t="s">
        <v>96</v>
      </c>
    </row>
    <row r="338">
      <c r="A338" s="19">
        <v>321.0</v>
      </c>
      <c r="B338" s="17" t="s">
        <v>1046</v>
      </c>
      <c r="C338" s="19" t="s">
        <v>1047</v>
      </c>
      <c r="D338" s="19">
        <v>8.0</v>
      </c>
      <c r="E338" s="21" t="s">
        <v>96</v>
      </c>
    </row>
    <row r="339">
      <c r="A339" s="14">
        <v>322.0</v>
      </c>
      <c r="B339" s="17" t="s">
        <v>1048</v>
      </c>
      <c r="C339" s="14" t="s">
        <v>1051</v>
      </c>
      <c r="D339" s="14">
        <v>11.0</v>
      </c>
      <c r="E339" s="18" t="s">
        <v>96</v>
      </c>
    </row>
    <row r="340">
      <c r="A340" s="19">
        <v>323.0</v>
      </c>
      <c r="B340" s="17" t="s">
        <v>1052</v>
      </c>
      <c r="C340" s="19" t="s">
        <v>1054</v>
      </c>
      <c r="D340" s="19">
        <v>8.0</v>
      </c>
      <c r="E340" s="21" t="s">
        <v>96</v>
      </c>
    </row>
    <row r="341">
      <c r="A341" s="14">
        <v>324.0</v>
      </c>
      <c r="B341" s="17" t="s">
        <v>1056</v>
      </c>
      <c r="C341" s="14" t="s">
        <v>1058</v>
      </c>
      <c r="D341" s="14">
        <v>6.0</v>
      </c>
      <c r="E341" s="18" t="s">
        <v>96</v>
      </c>
    </row>
    <row r="342">
      <c r="A342" s="19">
        <v>325.0</v>
      </c>
      <c r="B342" s="17" t="s">
        <v>1059</v>
      </c>
      <c r="C342" s="19" t="s">
        <v>1061</v>
      </c>
      <c r="D342" s="19" t="s">
        <v>96</v>
      </c>
      <c r="E342" s="21" t="s">
        <v>96</v>
      </c>
    </row>
    <row r="343">
      <c r="A343" s="14">
        <v>326.0</v>
      </c>
      <c r="B343" s="17" t="s">
        <v>1063</v>
      </c>
      <c r="C343" s="14" t="s">
        <v>1064</v>
      </c>
      <c r="D343" s="14">
        <v>10.0</v>
      </c>
      <c r="E343" s="18" t="s">
        <v>96</v>
      </c>
    </row>
    <row r="344">
      <c r="A344" s="19">
        <v>327.0</v>
      </c>
      <c r="B344" s="17" t="s">
        <v>1065</v>
      </c>
      <c r="C344" s="19" t="s">
        <v>1067</v>
      </c>
      <c r="D344" s="19">
        <v>14.0</v>
      </c>
      <c r="E344" s="21" t="s">
        <v>96</v>
      </c>
    </row>
    <row r="345">
      <c r="A345" s="14">
        <v>328.0</v>
      </c>
      <c r="B345" s="17" t="s">
        <v>1069</v>
      </c>
      <c r="C345" s="14" t="s">
        <v>1071</v>
      </c>
      <c r="D345" s="14">
        <v>7.0</v>
      </c>
      <c r="E345" s="18" t="s">
        <v>96</v>
      </c>
    </row>
    <row r="346">
      <c r="A346" s="19">
        <v>329.0</v>
      </c>
      <c r="B346" s="17" t="s">
        <v>1072</v>
      </c>
      <c r="C346" s="19" t="s">
        <v>1074</v>
      </c>
      <c r="D346" s="19">
        <v>8.0</v>
      </c>
      <c r="E346" s="21" t="s">
        <v>96</v>
      </c>
    </row>
    <row r="347">
      <c r="A347" s="14">
        <v>330.0</v>
      </c>
      <c r="B347" s="17" t="s">
        <v>1076</v>
      </c>
      <c r="C347" s="14" t="s">
        <v>1077</v>
      </c>
      <c r="D347" s="14">
        <v>14.0</v>
      </c>
      <c r="E347" s="18" t="s">
        <v>96</v>
      </c>
    </row>
    <row r="348">
      <c r="A348" s="19">
        <v>331.0</v>
      </c>
      <c r="B348" s="17" t="s">
        <v>1078</v>
      </c>
      <c r="C348" s="19" t="s">
        <v>1080</v>
      </c>
      <c r="D348" s="19">
        <v>11.0</v>
      </c>
      <c r="E348" s="21" t="s">
        <v>96</v>
      </c>
    </row>
    <row r="349">
      <c r="A349" s="14">
        <v>332.0</v>
      </c>
      <c r="B349" s="17" t="s">
        <v>1081</v>
      </c>
      <c r="C349" s="14" t="s">
        <v>1083</v>
      </c>
      <c r="D349" s="14">
        <v>13.0</v>
      </c>
      <c r="E349" s="18" t="s">
        <v>96</v>
      </c>
    </row>
    <row r="350">
      <c r="A350" s="19">
        <v>333.0</v>
      </c>
      <c r="B350" s="17" t="s">
        <v>1084</v>
      </c>
      <c r="C350" s="19" t="s">
        <v>1085</v>
      </c>
      <c r="D350" s="19">
        <v>6.0</v>
      </c>
      <c r="E350" s="21" t="s">
        <v>96</v>
      </c>
    </row>
    <row r="351">
      <c r="A351" s="14">
        <v>334.0</v>
      </c>
      <c r="B351" s="17" t="s">
        <v>1087</v>
      </c>
      <c r="C351" s="14" t="s">
        <v>1088</v>
      </c>
      <c r="D351" s="14">
        <v>11.0</v>
      </c>
      <c r="E351" s="18" t="s">
        <v>96</v>
      </c>
    </row>
    <row r="352">
      <c r="A352" s="19">
        <v>335.0</v>
      </c>
      <c r="B352" s="17" t="s">
        <v>1089</v>
      </c>
      <c r="C352" s="19" t="s">
        <v>1091</v>
      </c>
      <c r="D352" s="19">
        <v>8.0</v>
      </c>
      <c r="E352" s="21" t="s">
        <v>96</v>
      </c>
    </row>
    <row r="353">
      <c r="A353" s="14">
        <v>336.0</v>
      </c>
      <c r="B353" s="17" t="s">
        <v>1092</v>
      </c>
      <c r="C353" s="14" t="s">
        <v>1094</v>
      </c>
      <c r="D353" s="14">
        <v>14.0</v>
      </c>
      <c r="E353" s="18" t="s">
        <v>96</v>
      </c>
    </row>
    <row r="354">
      <c r="A354" s="19">
        <v>337.0</v>
      </c>
      <c r="B354" s="17" t="s">
        <v>1095</v>
      </c>
      <c r="C354" s="19" t="s">
        <v>1096</v>
      </c>
      <c r="D354" s="19">
        <v>11.0</v>
      </c>
      <c r="E354" s="21" t="s">
        <v>96</v>
      </c>
    </row>
    <row r="355">
      <c r="A355" s="14">
        <v>338.0</v>
      </c>
      <c r="B355" s="17" t="s">
        <v>1098</v>
      </c>
      <c r="C355" s="14" t="s">
        <v>1099</v>
      </c>
      <c r="D355" s="14">
        <v>5.0</v>
      </c>
      <c r="E355" s="18" t="s">
        <v>96</v>
      </c>
    </row>
    <row r="356">
      <c r="A356" s="19">
        <v>339.0</v>
      </c>
      <c r="B356" s="17" t="s">
        <v>1101</v>
      </c>
      <c r="C356" s="19" t="s">
        <v>1102</v>
      </c>
      <c r="D356" s="19">
        <v>13.0</v>
      </c>
      <c r="E356" s="21" t="s">
        <v>96</v>
      </c>
    </row>
    <row r="357">
      <c r="A357" s="14">
        <v>340.0</v>
      </c>
      <c r="B357" s="17" t="s">
        <v>1103</v>
      </c>
      <c r="C357" s="14" t="s">
        <v>1105</v>
      </c>
      <c r="D357" s="14">
        <v>10.0</v>
      </c>
      <c r="E357" s="18" t="s">
        <v>96</v>
      </c>
    </row>
    <row r="358">
      <c r="A358" s="19">
        <v>341.0</v>
      </c>
      <c r="B358" s="17" t="s">
        <v>1107</v>
      </c>
      <c r="C358" s="19" t="s">
        <v>1110</v>
      </c>
      <c r="D358" s="19">
        <v>7.0</v>
      </c>
      <c r="E358" s="21" t="s">
        <v>96</v>
      </c>
    </row>
    <row r="359">
      <c r="A359" s="14">
        <v>342.0</v>
      </c>
      <c r="B359" s="17" t="s">
        <v>1111</v>
      </c>
      <c r="C359" s="14" t="s">
        <v>1114</v>
      </c>
      <c r="D359" s="14">
        <v>7.0</v>
      </c>
      <c r="E359" s="18" t="s">
        <v>96</v>
      </c>
    </row>
    <row r="360">
      <c r="A360" s="19">
        <v>343.0</v>
      </c>
      <c r="B360" s="17" t="s">
        <v>1116</v>
      </c>
      <c r="C360" s="19" t="s">
        <v>588</v>
      </c>
      <c r="D360" s="19">
        <v>11.0</v>
      </c>
      <c r="E360" s="21" t="s">
        <v>96</v>
      </c>
    </row>
    <row r="361">
      <c r="A361" s="14">
        <v>344.0</v>
      </c>
      <c r="B361" s="17" t="s">
        <v>1119</v>
      </c>
      <c r="C361" s="14" t="s">
        <v>1120</v>
      </c>
      <c r="D361" s="14">
        <v>11.0</v>
      </c>
      <c r="E361" s="18" t="s">
        <v>96</v>
      </c>
    </row>
    <row r="362">
      <c r="A362" s="19">
        <v>345.0</v>
      </c>
      <c r="B362" s="17" t="s">
        <v>1122</v>
      </c>
      <c r="C362" s="19" t="s">
        <v>1124</v>
      </c>
      <c r="D362" s="19" t="s">
        <v>96</v>
      </c>
      <c r="E362" s="21" t="s">
        <v>96</v>
      </c>
    </row>
    <row r="363">
      <c r="A363" s="14">
        <v>346.0</v>
      </c>
      <c r="B363" s="17" t="s">
        <v>1125</v>
      </c>
      <c r="C363" s="14" t="s">
        <v>1127</v>
      </c>
      <c r="D363" s="14">
        <v>6.0</v>
      </c>
      <c r="E363" s="18" t="s">
        <v>96</v>
      </c>
    </row>
    <row r="364">
      <c r="A364" s="19">
        <v>347.0</v>
      </c>
      <c r="B364" s="17" t="s">
        <v>1128</v>
      </c>
      <c r="C364" s="19" t="s">
        <v>1130</v>
      </c>
      <c r="D364" s="19">
        <v>7.0</v>
      </c>
      <c r="E364" s="21" t="s">
        <v>96</v>
      </c>
    </row>
    <row r="365">
      <c r="A365" s="14">
        <v>348.0</v>
      </c>
      <c r="B365" s="17" t="s">
        <v>1131</v>
      </c>
      <c r="C365" s="14" t="s">
        <v>1132</v>
      </c>
      <c r="D365" s="14">
        <v>13.0</v>
      </c>
      <c r="E365" s="18" t="s">
        <v>96</v>
      </c>
    </row>
    <row r="366">
      <c r="A366" s="19">
        <v>349.0</v>
      </c>
      <c r="B366" s="17" t="s">
        <v>1134</v>
      </c>
      <c r="C366" s="19" t="s">
        <v>1135</v>
      </c>
      <c r="D366" s="19">
        <v>7.0</v>
      </c>
      <c r="E366" s="21" t="s">
        <v>96</v>
      </c>
    </row>
    <row r="367">
      <c r="A367" s="14">
        <v>350.0</v>
      </c>
      <c r="B367" s="17" t="s">
        <v>1136</v>
      </c>
      <c r="C367" s="14" t="s">
        <v>1138</v>
      </c>
      <c r="D367" s="14">
        <v>13.0</v>
      </c>
      <c r="E367" s="18" t="s">
        <v>96</v>
      </c>
    </row>
    <row r="368">
      <c r="A368" s="19">
        <v>351.0</v>
      </c>
      <c r="B368" s="17" t="s">
        <v>1139</v>
      </c>
      <c r="C368" s="19" t="s">
        <v>1141</v>
      </c>
      <c r="D368" s="19">
        <v>13.0</v>
      </c>
      <c r="E368" s="21" t="s">
        <v>96</v>
      </c>
    </row>
    <row r="369">
      <c r="A369" s="14">
        <v>352.0</v>
      </c>
      <c r="B369" s="17" t="s">
        <v>1143</v>
      </c>
      <c r="C369" s="14" t="s">
        <v>1144</v>
      </c>
      <c r="D369" s="14">
        <v>6.0</v>
      </c>
      <c r="E369" s="18" t="s">
        <v>96</v>
      </c>
    </row>
    <row r="370">
      <c r="A370" s="19">
        <v>353.0</v>
      </c>
      <c r="B370" s="17" t="s">
        <v>1145</v>
      </c>
      <c r="C370" s="19" t="s">
        <v>1147</v>
      </c>
      <c r="D370" s="19">
        <v>9.0</v>
      </c>
      <c r="E370" s="21" t="s">
        <v>96</v>
      </c>
    </row>
    <row r="371">
      <c r="A371" s="14">
        <v>354.0</v>
      </c>
      <c r="B371" s="17" t="s">
        <v>1149</v>
      </c>
      <c r="C371" s="14" t="s">
        <v>1151</v>
      </c>
      <c r="D371" s="14">
        <v>5.0</v>
      </c>
      <c r="E371" s="18" t="s">
        <v>96</v>
      </c>
    </row>
    <row r="372">
      <c r="A372" s="19">
        <v>355.0</v>
      </c>
      <c r="B372" s="17" t="s">
        <v>1152</v>
      </c>
      <c r="C372" s="19" t="s">
        <v>1155</v>
      </c>
      <c r="D372" s="19">
        <v>7.0</v>
      </c>
      <c r="E372" s="21" t="s">
        <v>96</v>
      </c>
    </row>
    <row r="373">
      <c r="A373" s="14">
        <v>356.0</v>
      </c>
      <c r="B373" s="17" t="s">
        <v>1157</v>
      </c>
      <c r="C373" s="14" t="s">
        <v>1158</v>
      </c>
      <c r="D373" s="14">
        <v>11.0</v>
      </c>
      <c r="E373" s="18" t="s">
        <v>96</v>
      </c>
    </row>
    <row r="374">
      <c r="A374" s="19">
        <v>357.0</v>
      </c>
      <c r="B374" s="17" t="s">
        <v>1159</v>
      </c>
      <c r="C374" s="19" t="s">
        <v>1161</v>
      </c>
      <c r="D374" s="19">
        <v>10.0</v>
      </c>
      <c r="E374" s="21" t="s">
        <v>96</v>
      </c>
    </row>
    <row r="375">
      <c r="A375" s="14">
        <v>358.0</v>
      </c>
      <c r="B375" s="17" t="s">
        <v>1163</v>
      </c>
      <c r="C375" s="14" t="s">
        <v>793</v>
      </c>
      <c r="D375" s="14">
        <v>13.0</v>
      </c>
      <c r="E375" s="18" t="s">
        <v>96</v>
      </c>
    </row>
    <row r="376">
      <c r="A376" s="19">
        <v>359.0</v>
      </c>
      <c r="B376" s="17" t="s">
        <v>1165</v>
      </c>
      <c r="C376" s="19" t="s">
        <v>1167</v>
      </c>
      <c r="D376" s="19">
        <v>11.0</v>
      </c>
      <c r="E376" s="21" t="s">
        <v>96</v>
      </c>
    </row>
    <row r="377">
      <c r="A377" s="14">
        <v>360.0</v>
      </c>
      <c r="B377" s="17" t="s">
        <v>1168</v>
      </c>
      <c r="C377" s="14" t="s">
        <v>827</v>
      </c>
      <c r="D377" s="14">
        <v>5.0</v>
      </c>
      <c r="E377" s="18" t="s">
        <v>96</v>
      </c>
    </row>
    <row r="378">
      <c r="A378" s="19">
        <v>361.0</v>
      </c>
      <c r="B378" s="17" t="s">
        <v>1171</v>
      </c>
      <c r="C378" s="19" t="s">
        <v>1172</v>
      </c>
      <c r="D378" s="19" t="s">
        <v>96</v>
      </c>
      <c r="E378" s="21" t="s">
        <v>96</v>
      </c>
    </row>
    <row r="379">
      <c r="A379" s="14">
        <v>362.0</v>
      </c>
      <c r="B379" s="17" t="s">
        <v>1173</v>
      </c>
      <c r="C379" s="14" t="s">
        <v>1175</v>
      </c>
      <c r="D379" s="14" t="s">
        <v>96</v>
      </c>
      <c r="E379" s="18" t="s">
        <v>96</v>
      </c>
    </row>
    <row r="380">
      <c r="A380" s="19">
        <v>363.0</v>
      </c>
      <c r="B380" s="17" t="s">
        <v>1176</v>
      </c>
      <c r="C380" s="19" t="s">
        <v>1178</v>
      </c>
      <c r="D380" s="19">
        <v>10.0</v>
      </c>
      <c r="E380" s="21" t="s">
        <v>96</v>
      </c>
    </row>
    <row r="381">
      <c r="A381" s="14">
        <v>364.0</v>
      </c>
      <c r="B381" s="17" t="s">
        <v>1179</v>
      </c>
      <c r="C381" s="14" t="s">
        <v>1180</v>
      </c>
      <c r="D381" s="14">
        <v>14.0</v>
      </c>
      <c r="E381" s="18" t="s">
        <v>96</v>
      </c>
    </row>
    <row r="382">
      <c r="A382" s="19">
        <v>365.0</v>
      </c>
      <c r="B382" s="17" t="s">
        <v>1182</v>
      </c>
      <c r="C382" s="19" t="s">
        <v>1183</v>
      </c>
      <c r="D382" s="19">
        <v>7.0</v>
      </c>
      <c r="E382" s="21" t="s">
        <v>96</v>
      </c>
    </row>
    <row r="383">
      <c r="A383" s="14">
        <v>366.0</v>
      </c>
      <c r="B383" s="17" t="s">
        <v>1184</v>
      </c>
      <c r="C383" s="14" t="s">
        <v>1186</v>
      </c>
      <c r="D383" s="14" t="s">
        <v>96</v>
      </c>
      <c r="E383" s="18" t="s">
        <v>96</v>
      </c>
    </row>
    <row r="384">
      <c r="A384" s="9" t="s">
        <v>1187</v>
      </c>
      <c r="B384" s="11"/>
      <c r="E384" s="13" t="s">
        <v>1189</v>
      </c>
    </row>
    <row r="385">
      <c r="A385" s="14">
        <v>367.0</v>
      </c>
      <c r="B385" s="17" t="s">
        <v>1190</v>
      </c>
      <c r="C385" s="14" t="s">
        <v>1192</v>
      </c>
      <c r="D385" s="14">
        <v>6.0</v>
      </c>
      <c r="E385" s="18" t="s">
        <v>96</v>
      </c>
    </row>
    <row r="386">
      <c r="A386" s="19">
        <v>368.0</v>
      </c>
      <c r="B386" s="17" t="s">
        <v>1193</v>
      </c>
      <c r="C386" s="19" t="s">
        <v>1195</v>
      </c>
      <c r="D386" s="19">
        <v>8.0</v>
      </c>
      <c r="E386" s="21" t="s">
        <v>96</v>
      </c>
    </row>
    <row r="387">
      <c r="A387" s="14">
        <v>369.0</v>
      </c>
      <c r="B387" s="17" t="s">
        <v>1196</v>
      </c>
      <c r="C387" s="14" t="s">
        <v>1198</v>
      </c>
      <c r="D387" s="14">
        <v>8.0</v>
      </c>
      <c r="E387" s="18" t="s">
        <v>96</v>
      </c>
    </row>
    <row r="388">
      <c r="A388" s="19">
        <v>370.0</v>
      </c>
      <c r="B388" s="17" t="s">
        <v>1199</v>
      </c>
      <c r="C388" s="19" t="s">
        <v>1201</v>
      </c>
      <c r="D388" s="19">
        <v>11.0</v>
      </c>
      <c r="E388" s="21" t="s">
        <v>96</v>
      </c>
    </row>
    <row r="389">
      <c r="A389" s="14">
        <v>371.0</v>
      </c>
      <c r="B389" s="17" t="s">
        <v>1203</v>
      </c>
      <c r="C389" s="14" t="s">
        <v>1205</v>
      </c>
      <c r="D389" s="14">
        <v>13.0</v>
      </c>
      <c r="E389" s="18" t="s">
        <v>96</v>
      </c>
    </row>
    <row r="390">
      <c r="A390" s="19">
        <v>372.0</v>
      </c>
      <c r="B390" s="17" t="s">
        <v>1206</v>
      </c>
      <c r="C390" s="19" t="s">
        <v>1207</v>
      </c>
      <c r="D390" s="19">
        <v>7.0</v>
      </c>
      <c r="E390" s="21" t="s">
        <v>96</v>
      </c>
    </row>
    <row r="391">
      <c r="A391" s="14">
        <v>373.0</v>
      </c>
      <c r="B391" s="17" t="s">
        <v>1209</v>
      </c>
      <c r="C391" s="14" t="s">
        <v>1210</v>
      </c>
      <c r="D391" s="14">
        <v>13.0</v>
      </c>
      <c r="E391" s="18" t="s">
        <v>96</v>
      </c>
    </row>
    <row r="392">
      <c r="A392" s="19">
        <v>374.0</v>
      </c>
      <c r="B392" s="17" t="s">
        <v>1212</v>
      </c>
      <c r="C392" s="19" t="s">
        <v>1213</v>
      </c>
      <c r="D392" s="19">
        <v>8.0</v>
      </c>
      <c r="E392" s="21" t="s">
        <v>96</v>
      </c>
    </row>
    <row r="393">
      <c r="A393" s="14">
        <v>375.0</v>
      </c>
      <c r="B393" s="17" t="s">
        <v>1214</v>
      </c>
      <c r="C393" s="14" t="s">
        <v>1216</v>
      </c>
      <c r="D393" s="14">
        <v>11.0</v>
      </c>
      <c r="E393" s="18" t="s">
        <v>96</v>
      </c>
    </row>
    <row r="394">
      <c r="A394" s="19">
        <v>376.0</v>
      </c>
      <c r="B394" s="17" t="s">
        <v>1218</v>
      </c>
      <c r="C394" s="19" t="s">
        <v>1220</v>
      </c>
      <c r="D394" s="19" t="s">
        <v>96</v>
      </c>
      <c r="E394" s="21" t="s">
        <v>96</v>
      </c>
    </row>
    <row r="395">
      <c r="A395" s="14">
        <v>377.0</v>
      </c>
      <c r="B395" s="17" t="s">
        <v>1221</v>
      </c>
      <c r="C395" s="14" t="s">
        <v>1222</v>
      </c>
      <c r="D395" s="14">
        <v>10.0</v>
      </c>
      <c r="E395" s="18" t="s">
        <v>96</v>
      </c>
    </row>
    <row r="396">
      <c r="A396" s="19">
        <v>378.0</v>
      </c>
      <c r="B396" s="17" t="s">
        <v>1224</v>
      </c>
      <c r="C396" s="19" t="s">
        <v>1225</v>
      </c>
      <c r="D396" s="19">
        <v>11.0</v>
      </c>
      <c r="E396" s="21" t="s">
        <v>96</v>
      </c>
    </row>
    <row r="397">
      <c r="A397" s="14">
        <v>379.0</v>
      </c>
      <c r="B397" s="17" t="s">
        <v>1226</v>
      </c>
      <c r="C397" s="14" t="s">
        <v>1228</v>
      </c>
      <c r="D397" s="14">
        <v>14.0</v>
      </c>
      <c r="E397" s="18" t="s">
        <v>96</v>
      </c>
    </row>
    <row r="398">
      <c r="A398" s="19">
        <v>380.0</v>
      </c>
      <c r="B398" s="17" t="s">
        <v>1229</v>
      </c>
      <c r="C398" s="19" t="s">
        <v>1231</v>
      </c>
      <c r="D398" s="19">
        <v>11.0</v>
      </c>
      <c r="E398" s="21" t="s">
        <v>96</v>
      </c>
    </row>
    <row r="399">
      <c r="A399" s="14">
        <v>381.0</v>
      </c>
      <c r="B399" s="17" t="s">
        <v>1232</v>
      </c>
      <c r="C399" s="14" t="s">
        <v>1233</v>
      </c>
      <c r="D399" s="14">
        <v>9.0</v>
      </c>
      <c r="E399" s="18" t="s">
        <v>96</v>
      </c>
    </row>
    <row r="400">
      <c r="A400" s="19">
        <v>382.0</v>
      </c>
      <c r="B400" s="17" t="s">
        <v>1234</v>
      </c>
      <c r="C400" s="19" t="s">
        <v>1236</v>
      </c>
      <c r="D400" s="19">
        <v>5.0</v>
      </c>
      <c r="E400" s="21" t="s">
        <v>96</v>
      </c>
    </row>
    <row r="401">
      <c r="A401" s="14">
        <v>383.0</v>
      </c>
      <c r="B401" s="17" t="s">
        <v>1237</v>
      </c>
      <c r="C401" s="14" t="s">
        <v>1239</v>
      </c>
      <c r="D401" s="14">
        <v>13.0</v>
      </c>
      <c r="E401" s="18" t="s">
        <v>96</v>
      </c>
    </row>
    <row r="402">
      <c r="A402" s="19">
        <v>384.0</v>
      </c>
      <c r="B402" s="17" t="s">
        <v>1240</v>
      </c>
      <c r="C402" s="19" t="s">
        <v>1241</v>
      </c>
      <c r="D402" s="19">
        <v>8.0</v>
      </c>
      <c r="E402" s="21" t="s">
        <v>96</v>
      </c>
    </row>
    <row r="403">
      <c r="A403" s="14">
        <v>385.0</v>
      </c>
      <c r="B403" s="17" t="s">
        <v>1243</v>
      </c>
      <c r="C403" s="14" t="s">
        <v>1244</v>
      </c>
      <c r="D403" s="14">
        <v>11.0</v>
      </c>
      <c r="E403" s="18" t="s">
        <v>96</v>
      </c>
    </row>
    <row r="404">
      <c r="A404" s="19">
        <v>386.0</v>
      </c>
      <c r="B404" s="17" t="s">
        <v>1245</v>
      </c>
      <c r="C404" s="19" t="s">
        <v>1247</v>
      </c>
      <c r="D404" s="19">
        <v>6.0</v>
      </c>
      <c r="E404" s="21" t="s">
        <v>96</v>
      </c>
    </row>
    <row r="405">
      <c r="A405" s="14">
        <v>387.0</v>
      </c>
      <c r="B405" s="17" t="s">
        <v>1248</v>
      </c>
      <c r="C405" s="14" t="s">
        <v>815</v>
      </c>
      <c r="D405" s="14">
        <v>14.0</v>
      </c>
      <c r="E405" s="18" t="s">
        <v>96</v>
      </c>
    </row>
    <row r="406">
      <c r="A406" s="19">
        <v>388.0</v>
      </c>
      <c r="B406" s="17" t="s">
        <v>1251</v>
      </c>
      <c r="C406" s="19" t="s">
        <v>1252</v>
      </c>
      <c r="D406" s="19">
        <v>11.0</v>
      </c>
      <c r="E406" s="21" t="s">
        <v>96</v>
      </c>
    </row>
    <row r="407">
      <c r="A407" s="14">
        <v>389.0</v>
      </c>
      <c r="B407" s="17" t="s">
        <v>1253</v>
      </c>
      <c r="C407" s="14" t="s">
        <v>1255</v>
      </c>
      <c r="D407" s="14">
        <v>6.0</v>
      </c>
      <c r="E407" s="18" t="s">
        <v>96</v>
      </c>
    </row>
    <row r="408">
      <c r="A408" s="19">
        <v>390.0</v>
      </c>
      <c r="B408" s="17" t="s">
        <v>1256</v>
      </c>
      <c r="C408" s="19" t="s">
        <v>1258</v>
      </c>
      <c r="D408" s="19">
        <v>6.0</v>
      </c>
      <c r="E408" s="21" t="s">
        <v>96</v>
      </c>
    </row>
    <row r="409">
      <c r="A409" s="14">
        <v>391.0</v>
      </c>
      <c r="B409" s="17" t="s">
        <v>1259</v>
      </c>
      <c r="C409" s="14" t="s">
        <v>795</v>
      </c>
      <c r="D409" s="14">
        <v>6.0</v>
      </c>
      <c r="E409" s="18" t="s">
        <v>96</v>
      </c>
    </row>
    <row r="410">
      <c r="A410" s="19">
        <v>392.0</v>
      </c>
      <c r="B410" s="17" t="s">
        <v>1261</v>
      </c>
      <c r="C410" s="19" t="s">
        <v>1262</v>
      </c>
      <c r="D410" s="19">
        <v>13.0</v>
      </c>
      <c r="E410" s="21" t="s">
        <v>96</v>
      </c>
    </row>
    <row r="411">
      <c r="A411" s="14">
        <v>393.0</v>
      </c>
      <c r="B411" s="17" t="s">
        <v>1264</v>
      </c>
      <c r="C411" s="14" t="s">
        <v>1265</v>
      </c>
      <c r="D411" s="14">
        <v>7.0</v>
      </c>
      <c r="E411" s="18" t="s">
        <v>96</v>
      </c>
    </row>
    <row r="412">
      <c r="A412" s="19">
        <v>394.0</v>
      </c>
      <c r="B412" s="17" t="s">
        <v>1266</v>
      </c>
      <c r="C412" s="19" t="s">
        <v>1268</v>
      </c>
      <c r="D412" s="19">
        <v>7.0</v>
      </c>
      <c r="E412" s="21" t="s">
        <v>96</v>
      </c>
    </row>
    <row r="413">
      <c r="A413" s="14">
        <v>395.0</v>
      </c>
      <c r="B413" s="17" t="s">
        <v>1269</v>
      </c>
      <c r="C413" s="14" t="s">
        <v>1270</v>
      </c>
      <c r="D413" s="14">
        <v>6.0</v>
      </c>
      <c r="E413" s="18" t="s">
        <v>96</v>
      </c>
    </row>
    <row r="414">
      <c r="A414" s="19">
        <v>396.0</v>
      </c>
      <c r="B414" s="17" t="s">
        <v>1271</v>
      </c>
      <c r="C414" s="19" t="s">
        <v>1273</v>
      </c>
      <c r="D414" s="19">
        <v>13.0</v>
      </c>
      <c r="E414" s="21" t="s">
        <v>96</v>
      </c>
    </row>
    <row r="415">
      <c r="A415" s="14">
        <v>397.0</v>
      </c>
      <c r="B415" s="17" t="s">
        <v>1275</v>
      </c>
      <c r="C415" s="14" t="s">
        <v>1277</v>
      </c>
      <c r="D415" s="14">
        <v>13.0</v>
      </c>
      <c r="E415" s="18" t="s">
        <v>96</v>
      </c>
    </row>
    <row r="416">
      <c r="A416" s="19">
        <v>398.0</v>
      </c>
      <c r="B416" s="17" t="s">
        <v>1278</v>
      </c>
      <c r="C416" s="19" t="s">
        <v>1280</v>
      </c>
      <c r="D416" s="19">
        <v>9.0</v>
      </c>
      <c r="E416" s="21" t="s">
        <v>96</v>
      </c>
    </row>
    <row r="417">
      <c r="A417" s="14">
        <v>399.0</v>
      </c>
      <c r="B417" s="17" t="s">
        <v>1281</v>
      </c>
      <c r="C417" s="14" t="s">
        <v>1282</v>
      </c>
      <c r="D417" s="14">
        <v>6.0</v>
      </c>
      <c r="E417" s="18" t="s">
        <v>96</v>
      </c>
    </row>
    <row r="418">
      <c r="A418" s="19">
        <v>400.0</v>
      </c>
      <c r="B418" s="17" t="s">
        <v>1284</v>
      </c>
      <c r="C418" s="19" t="s">
        <v>1285</v>
      </c>
      <c r="D418" s="19" t="s">
        <v>96</v>
      </c>
      <c r="E418" s="21" t="s">
        <v>96</v>
      </c>
    </row>
    <row r="419">
      <c r="A419" s="14">
        <v>401.0</v>
      </c>
      <c r="B419" s="17" t="s">
        <v>1286</v>
      </c>
      <c r="C419" s="14" t="s">
        <v>1288</v>
      </c>
      <c r="D419" s="14">
        <v>14.0</v>
      </c>
      <c r="E419" s="18" t="s">
        <v>96</v>
      </c>
    </row>
    <row r="420">
      <c r="A420" s="19">
        <v>402.0</v>
      </c>
      <c r="B420" s="17" t="s">
        <v>1289</v>
      </c>
      <c r="C420" s="19" t="s">
        <v>1291</v>
      </c>
      <c r="D420" s="19">
        <v>10.0</v>
      </c>
      <c r="E420" s="21" t="s">
        <v>96</v>
      </c>
    </row>
    <row r="421">
      <c r="A421" s="14">
        <v>403.0</v>
      </c>
      <c r="B421" s="17" t="s">
        <v>1292</v>
      </c>
      <c r="C421" s="14" t="s">
        <v>1294</v>
      </c>
      <c r="D421" s="14" t="s">
        <v>96</v>
      </c>
      <c r="E421" s="18" t="s">
        <v>96</v>
      </c>
    </row>
    <row r="422">
      <c r="A422" s="19">
        <v>404.0</v>
      </c>
      <c r="B422" s="17" t="s">
        <v>1295</v>
      </c>
      <c r="C422" s="19" t="s">
        <v>1296</v>
      </c>
      <c r="D422" s="19">
        <v>8.0</v>
      </c>
      <c r="E422" s="21" t="s">
        <v>96</v>
      </c>
    </row>
    <row r="423">
      <c r="A423" s="14">
        <v>405.0</v>
      </c>
      <c r="B423" s="17" t="s">
        <v>1297</v>
      </c>
      <c r="C423" s="14" t="s">
        <v>1299</v>
      </c>
      <c r="D423" s="14">
        <v>11.0</v>
      </c>
      <c r="E423" s="18" t="s">
        <v>96</v>
      </c>
    </row>
    <row r="424">
      <c r="A424" s="19">
        <v>406.0</v>
      </c>
      <c r="B424" s="17" t="s">
        <v>1300</v>
      </c>
      <c r="C424" s="19" t="s">
        <v>1302</v>
      </c>
      <c r="D424" s="19">
        <v>10.0</v>
      </c>
      <c r="E424" s="21" t="s">
        <v>96</v>
      </c>
    </row>
    <row r="425">
      <c r="A425" s="14">
        <v>407.0</v>
      </c>
      <c r="B425" s="17" t="s">
        <v>1303</v>
      </c>
      <c r="C425" s="14" t="s">
        <v>1305</v>
      </c>
      <c r="D425" s="14">
        <v>11.0</v>
      </c>
      <c r="E425" s="18" t="s">
        <v>96</v>
      </c>
    </row>
    <row r="426">
      <c r="A426" s="19">
        <v>408.0</v>
      </c>
      <c r="B426" s="17" t="s">
        <v>1306</v>
      </c>
      <c r="C426" s="19" t="s">
        <v>1307</v>
      </c>
      <c r="D426" s="19">
        <v>14.0</v>
      </c>
      <c r="E426" s="21" t="s">
        <v>96</v>
      </c>
    </row>
    <row r="427">
      <c r="A427" s="14">
        <v>409.0</v>
      </c>
      <c r="B427" s="17" t="s">
        <v>1309</v>
      </c>
      <c r="C427" s="14" t="s">
        <v>1310</v>
      </c>
      <c r="D427" s="14">
        <v>10.0</v>
      </c>
      <c r="E427" s="18" t="s">
        <v>96</v>
      </c>
    </row>
    <row r="428">
      <c r="A428" s="19">
        <v>410.0</v>
      </c>
      <c r="B428" s="17" t="s">
        <v>1311</v>
      </c>
      <c r="C428" s="19" t="s">
        <v>1313</v>
      </c>
      <c r="D428" s="19">
        <v>13.0</v>
      </c>
      <c r="E428" s="21" t="s">
        <v>96</v>
      </c>
    </row>
    <row r="429">
      <c r="A429" s="14">
        <v>411.0</v>
      </c>
      <c r="B429" s="17" t="s">
        <v>1314</v>
      </c>
      <c r="C429" s="14" t="s">
        <v>1316</v>
      </c>
      <c r="D429" s="14">
        <v>7.0</v>
      </c>
      <c r="E429" s="18" t="s">
        <v>96</v>
      </c>
    </row>
    <row r="430">
      <c r="A430" s="19">
        <v>412.0</v>
      </c>
      <c r="B430" s="17" t="s">
        <v>1317</v>
      </c>
      <c r="C430" s="19" t="s">
        <v>1319</v>
      </c>
      <c r="D430" s="19" t="s">
        <v>96</v>
      </c>
      <c r="E430" s="21" t="s">
        <v>96</v>
      </c>
    </row>
    <row r="431">
      <c r="A431" s="14">
        <v>413.0</v>
      </c>
      <c r="B431" s="17" t="s">
        <v>1320</v>
      </c>
      <c r="C431" s="14" t="s">
        <v>1321</v>
      </c>
      <c r="D431" s="14">
        <v>13.0</v>
      </c>
      <c r="E431" s="18" t="s">
        <v>96</v>
      </c>
    </row>
    <row r="432">
      <c r="A432" s="19">
        <v>414.0</v>
      </c>
      <c r="B432" s="17" t="s">
        <v>1323</v>
      </c>
      <c r="C432" s="19" t="s">
        <v>1324</v>
      </c>
      <c r="D432" s="19">
        <v>11.0</v>
      </c>
      <c r="E432" s="21" t="s">
        <v>96</v>
      </c>
    </row>
    <row r="433">
      <c r="A433" s="14">
        <v>415.0</v>
      </c>
      <c r="B433" s="17" t="s">
        <v>1325</v>
      </c>
      <c r="C433" s="14" t="s">
        <v>1327</v>
      </c>
      <c r="D433" s="14">
        <v>13.0</v>
      </c>
      <c r="E433" s="18" t="s">
        <v>96</v>
      </c>
    </row>
    <row r="434">
      <c r="A434" s="19">
        <v>416.0</v>
      </c>
      <c r="B434" s="17" t="s">
        <v>1328</v>
      </c>
      <c r="C434" s="19" t="s">
        <v>1330</v>
      </c>
      <c r="D434" s="19">
        <v>6.0</v>
      </c>
      <c r="E434" s="21" t="s">
        <v>96</v>
      </c>
    </row>
    <row r="435">
      <c r="A435" s="14">
        <v>417.0</v>
      </c>
      <c r="B435" s="17" t="s">
        <v>1331</v>
      </c>
      <c r="C435" s="14" t="s">
        <v>1332</v>
      </c>
      <c r="D435" s="14">
        <v>10.0</v>
      </c>
      <c r="E435" s="18" t="s">
        <v>96</v>
      </c>
    </row>
    <row r="436">
      <c r="A436" s="19">
        <v>418.0</v>
      </c>
      <c r="B436" s="17" t="s">
        <v>1333</v>
      </c>
      <c r="C436" s="19" t="s">
        <v>1335</v>
      </c>
      <c r="D436" s="19" t="s">
        <v>96</v>
      </c>
      <c r="E436" s="21" t="s">
        <v>96</v>
      </c>
    </row>
    <row r="437">
      <c r="A437" s="14">
        <v>419.0</v>
      </c>
      <c r="B437" s="17" t="s">
        <v>1336</v>
      </c>
      <c r="C437" s="14" t="s">
        <v>1338</v>
      </c>
      <c r="D437" s="14" t="s">
        <v>96</v>
      </c>
      <c r="E437" s="18" t="s">
        <v>96</v>
      </c>
    </row>
    <row r="438">
      <c r="A438" s="19">
        <v>420.0</v>
      </c>
      <c r="B438" s="17" t="s">
        <v>1339</v>
      </c>
      <c r="C438" s="19" t="s">
        <v>1340</v>
      </c>
      <c r="D438" s="19">
        <v>7.0</v>
      </c>
      <c r="E438" s="21" t="s">
        <v>96</v>
      </c>
    </row>
    <row r="439">
      <c r="A439" s="14">
        <v>421.0</v>
      </c>
      <c r="B439" s="17" t="s">
        <v>1342</v>
      </c>
      <c r="C439" s="14" t="s">
        <v>1343</v>
      </c>
      <c r="D439" s="14">
        <v>8.0</v>
      </c>
      <c r="E439" s="18" t="s">
        <v>96</v>
      </c>
    </row>
    <row r="440">
      <c r="A440" s="19">
        <v>422.0</v>
      </c>
      <c r="B440" s="17" t="s">
        <v>1344</v>
      </c>
      <c r="C440" s="19" t="s">
        <v>1346</v>
      </c>
      <c r="D440" s="19">
        <v>6.0</v>
      </c>
      <c r="E440" s="21" t="s">
        <v>96</v>
      </c>
    </row>
    <row r="441">
      <c r="A441" s="14">
        <v>423.0</v>
      </c>
      <c r="B441" s="17" t="s">
        <v>1347</v>
      </c>
      <c r="C441" s="14" t="s">
        <v>1348</v>
      </c>
      <c r="D441" s="14" t="s">
        <v>96</v>
      </c>
      <c r="E441" s="18" t="s">
        <v>96</v>
      </c>
    </row>
    <row r="442">
      <c r="A442" s="19">
        <v>424.0</v>
      </c>
      <c r="B442" s="17" t="s">
        <v>1350</v>
      </c>
      <c r="C442" s="19" t="s">
        <v>1351</v>
      </c>
      <c r="D442" s="19">
        <v>7.0</v>
      </c>
      <c r="E442" s="21" t="s">
        <v>96</v>
      </c>
    </row>
    <row r="443">
      <c r="A443" s="14">
        <v>425.0</v>
      </c>
      <c r="B443" s="17" t="s">
        <v>1352</v>
      </c>
      <c r="C443" s="14" t="s">
        <v>1354</v>
      </c>
      <c r="D443" s="14">
        <v>7.0</v>
      </c>
      <c r="E443" s="18" t="s">
        <v>96</v>
      </c>
    </row>
    <row r="444">
      <c r="A444" s="19">
        <v>426.0</v>
      </c>
      <c r="B444" s="17" t="s">
        <v>1355</v>
      </c>
      <c r="C444" s="19" t="s">
        <v>1357</v>
      </c>
      <c r="D444" s="19">
        <v>10.0</v>
      </c>
      <c r="E444" s="21" t="s">
        <v>96</v>
      </c>
    </row>
    <row r="445">
      <c r="A445" s="14">
        <v>427.0</v>
      </c>
      <c r="B445" s="17" t="s">
        <v>1358</v>
      </c>
      <c r="C445" s="14" t="s">
        <v>1359</v>
      </c>
      <c r="D445" s="14">
        <v>10.0</v>
      </c>
      <c r="E445" s="18" t="s">
        <v>96</v>
      </c>
    </row>
    <row r="446">
      <c r="A446" s="19">
        <v>428.0</v>
      </c>
      <c r="B446" s="17" t="s">
        <v>1360</v>
      </c>
      <c r="C446" s="19" t="s">
        <v>1362</v>
      </c>
      <c r="D446" s="19">
        <v>11.0</v>
      </c>
      <c r="E446" s="21" t="s">
        <v>96</v>
      </c>
    </row>
    <row r="447">
      <c r="A447" s="14">
        <v>429.0</v>
      </c>
      <c r="B447" s="17" t="s">
        <v>1363</v>
      </c>
      <c r="C447" s="14" t="s">
        <v>1365</v>
      </c>
      <c r="D447" s="14">
        <v>7.0</v>
      </c>
      <c r="E447" s="18" t="s">
        <v>96</v>
      </c>
    </row>
    <row r="448">
      <c r="A448" s="19">
        <v>430.0</v>
      </c>
      <c r="B448" s="17" t="s">
        <v>1366</v>
      </c>
      <c r="C448" s="19" t="s">
        <v>1367</v>
      </c>
      <c r="D448" s="19">
        <v>9.0</v>
      </c>
      <c r="E448" s="21" t="s">
        <v>96</v>
      </c>
    </row>
    <row r="449">
      <c r="A449" s="14">
        <v>431.0</v>
      </c>
      <c r="B449" s="17" t="s">
        <v>1369</v>
      </c>
      <c r="C449" s="14" t="s">
        <v>1370</v>
      </c>
      <c r="D449" s="14">
        <v>6.0</v>
      </c>
      <c r="E449" s="18" t="s">
        <v>96</v>
      </c>
    </row>
    <row r="450">
      <c r="A450" s="19">
        <v>432.0</v>
      </c>
      <c r="B450" s="17" t="s">
        <v>1371</v>
      </c>
      <c r="C450" s="19" t="s">
        <v>1373</v>
      </c>
      <c r="D450" s="19">
        <v>10.0</v>
      </c>
      <c r="E450" s="21" t="s">
        <v>96</v>
      </c>
    </row>
    <row r="451">
      <c r="A451" s="14">
        <v>433.0</v>
      </c>
      <c r="B451" s="17" t="s">
        <v>1374</v>
      </c>
      <c r="C451" s="14" t="s">
        <v>1376</v>
      </c>
      <c r="D451" s="14">
        <v>6.0</v>
      </c>
      <c r="E451" s="18" t="s">
        <v>96</v>
      </c>
    </row>
    <row r="452">
      <c r="A452" s="19">
        <v>434.0</v>
      </c>
      <c r="B452" s="17" t="s">
        <v>1377</v>
      </c>
      <c r="C452" s="19" t="s">
        <v>1378</v>
      </c>
      <c r="D452" s="19">
        <v>7.0</v>
      </c>
      <c r="E452" s="21" t="s">
        <v>96</v>
      </c>
    </row>
    <row r="453">
      <c r="A453" s="14">
        <v>435.0</v>
      </c>
      <c r="B453" s="17" t="s">
        <v>1380</v>
      </c>
      <c r="C453" s="14" t="s">
        <v>1382</v>
      </c>
      <c r="D453" s="14">
        <v>13.0</v>
      </c>
      <c r="E453" s="18" t="s">
        <v>96</v>
      </c>
    </row>
    <row r="454">
      <c r="A454" s="19">
        <v>436.0</v>
      </c>
      <c r="B454" s="17" t="s">
        <v>1383</v>
      </c>
      <c r="C454" s="19" t="s">
        <v>1384</v>
      </c>
      <c r="D454" s="19">
        <v>6.0</v>
      </c>
      <c r="E454" s="21" t="s">
        <v>96</v>
      </c>
    </row>
    <row r="455">
      <c r="A455" s="14">
        <v>437.0</v>
      </c>
      <c r="B455" s="17" t="s">
        <v>1386</v>
      </c>
      <c r="C455" s="14" t="s">
        <v>1388</v>
      </c>
      <c r="D455" s="14">
        <v>6.0</v>
      </c>
      <c r="E455" s="18" t="s">
        <v>96</v>
      </c>
    </row>
    <row r="456">
      <c r="A456" s="19">
        <v>438.0</v>
      </c>
      <c r="B456" s="17" t="s">
        <v>1389</v>
      </c>
      <c r="C456" s="19" t="s">
        <v>1391</v>
      </c>
      <c r="D456" s="19">
        <v>5.0</v>
      </c>
      <c r="E456" s="21" t="s">
        <v>96</v>
      </c>
    </row>
    <row r="457">
      <c r="A457" s="14">
        <v>439.0</v>
      </c>
      <c r="B457" s="17" t="s">
        <v>1392</v>
      </c>
      <c r="C457" s="14" t="s">
        <v>1393</v>
      </c>
      <c r="D457" s="14">
        <v>14.0</v>
      </c>
      <c r="E457" s="18" t="s">
        <v>96</v>
      </c>
    </row>
    <row r="458">
      <c r="A458" s="19">
        <v>440.0</v>
      </c>
      <c r="B458" s="17" t="s">
        <v>1395</v>
      </c>
      <c r="C458" s="19" t="s">
        <v>1396</v>
      </c>
      <c r="D458" s="19">
        <v>14.0</v>
      </c>
      <c r="E458" s="21" t="s">
        <v>96</v>
      </c>
    </row>
    <row r="459">
      <c r="A459" s="14">
        <v>441.0</v>
      </c>
      <c r="B459" s="17" t="s">
        <v>1397</v>
      </c>
      <c r="C459" s="14" t="s">
        <v>1399</v>
      </c>
      <c r="D459" s="14">
        <v>8.0</v>
      </c>
      <c r="E459" s="18" t="s">
        <v>96</v>
      </c>
    </row>
    <row r="460">
      <c r="A460" s="19">
        <v>442.0</v>
      </c>
      <c r="B460" s="17" t="s">
        <v>1400</v>
      </c>
      <c r="C460" s="19" t="s">
        <v>1401</v>
      </c>
      <c r="D460" s="19">
        <v>13.0</v>
      </c>
      <c r="E460" s="21" t="s">
        <v>96</v>
      </c>
    </row>
    <row r="461">
      <c r="A461" s="14">
        <v>443.0</v>
      </c>
      <c r="B461" s="17" t="s">
        <v>1403</v>
      </c>
      <c r="C461" s="14" t="s">
        <v>1405</v>
      </c>
      <c r="D461" s="14" t="s">
        <v>96</v>
      </c>
      <c r="E461" s="18" t="s">
        <v>96</v>
      </c>
    </row>
    <row r="462">
      <c r="A462" s="19">
        <v>444.0</v>
      </c>
      <c r="B462" s="17" t="s">
        <v>1406</v>
      </c>
      <c r="C462" s="19" t="s">
        <v>1408</v>
      </c>
      <c r="D462" s="19">
        <v>8.0</v>
      </c>
      <c r="E462" s="21" t="s">
        <v>96</v>
      </c>
    </row>
    <row r="463">
      <c r="A463" s="14">
        <v>445.0</v>
      </c>
      <c r="B463" s="17" t="s">
        <v>1409</v>
      </c>
      <c r="C463" s="14" t="s">
        <v>1411</v>
      </c>
      <c r="D463" s="14">
        <v>7.0</v>
      </c>
      <c r="E463" s="18" t="s">
        <v>96</v>
      </c>
    </row>
    <row r="464">
      <c r="A464" s="19">
        <v>446.0</v>
      </c>
      <c r="B464" s="17" t="s">
        <v>1412</v>
      </c>
      <c r="C464" s="19" t="s">
        <v>1414</v>
      </c>
      <c r="D464" s="19">
        <v>11.0</v>
      </c>
      <c r="E464" s="21" t="s">
        <v>96</v>
      </c>
    </row>
    <row r="465">
      <c r="A465" s="14">
        <v>447.0</v>
      </c>
      <c r="B465" s="17" t="s">
        <v>1415</v>
      </c>
      <c r="C465" s="14" t="s">
        <v>1416</v>
      </c>
      <c r="D465" s="14">
        <v>13.0</v>
      </c>
      <c r="E465" s="18" t="s">
        <v>96</v>
      </c>
    </row>
    <row r="466">
      <c r="A466" s="19">
        <v>448.0</v>
      </c>
      <c r="B466" s="17" t="s">
        <v>1418</v>
      </c>
      <c r="C466" s="19" t="s">
        <v>1419</v>
      </c>
      <c r="D466" s="19">
        <v>8.0</v>
      </c>
      <c r="E466" s="21" t="s">
        <v>96</v>
      </c>
    </row>
    <row r="467">
      <c r="A467" s="14">
        <v>449.0</v>
      </c>
      <c r="B467" s="17" t="s">
        <v>1420</v>
      </c>
      <c r="C467" s="14" t="s">
        <v>1422</v>
      </c>
      <c r="D467" s="14">
        <v>7.0</v>
      </c>
      <c r="E467" s="18" t="s">
        <v>96</v>
      </c>
    </row>
    <row r="468">
      <c r="A468" s="19">
        <v>450.0</v>
      </c>
      <c r="B468" s="17" t="s">
        <v>1423</v>
      </c>
      <c r="C468" s="19" t="s">
        <v>1425</v>
      </c>
      <c r="D468" s="19">
        <v>5.0</v>
      </c>
      <c r="E468" s="21" t="s">
        <v>96</v>
      </c>
    </row>
    <row r="469">
      <c r="A469" s="14">
        <v>451.0</v>
      </c>
      <c r="B469" s="17" t="s">
        <v>1427</v>
      </c>
      <c r="C469" s="14" t="s">
        <v>1429</v>
      </c>
      <c r="D469" s="14">
        <v>8.0</v>
      </c>
      <c r="E469" s="18" t="s">
        <v>96</v>
      </c>
    </row>
    <row r="470">
      <c r="A470" s="19">
        <v>452.0</v>
      </c>
      <c r="B470" s="17" t="s">
        <v>1430</v>
      </c>
      <c r="C470" s="19" t="s">
        <v>1431</v>
      </c>
      <c r="D470" s="19">
        <v>13.0</v>
      </c>
      <c r="E470" s="21" t="s">
        <v>96</v>
      </c>
    </row>
    <row r="471">
      <c r="A471" s="24" t="s">
        <v>1432</v>
      </c>
      <c r="B471" s="25"/>
      <c r="E471" s="13" t="s">
        <v>1434</v>
      </c>
    </row>
    <row r="472">
      <c r="A472" s="19">
        <v>453.0</v>
      </c>
      <c r="B472" s="17" t="s">
        <v>1435</v>
      </c>
      <c r="C472" s="19" t="s">
        <v>1437</v>
      </c>
      <c r="D472" s="19" t="s">
        <v>96</v>
      </c>
      <c r="E472" s="21" t="s">
        <v>96</v>
      </c>
    </row>
    <row r="473">
      <c r="A473" s="14">
        <v>454.0</v>
      </c>
      <c r="B473" s="17" t="s">
        <v>1438</v>
      </c>
      <c r="C473" s="14" t="s">
        <v>1439</v>
      </c>
      <c r="D473" s="14">
        <v>10.0</v>
      </c>
      <c r="E473" s="18" t="s">
        <v>96</v>
      </c>
    </row>
    <row r="474">
      <c r="A474" s="19">
        <v>455.0</v>
      </c>
      <c r="B474" s="17" t="s">
        <v>1441</v>
      </c>
      <c r="C474" s="19" t="s">
        <v>1442</v>
      </c>
      <c r="D474" s="19">
        <v>6.0</v>
      </c>
      <c r="E474" s="21" t="s">
        <v>96</v>
      </c>
    </row>
    <row r="475">
      <c r="A475" s="14">
        <v>456.0</v>
      </c>
      <c r="B475" s="17" t="s">
        <v>1443</v>
      </c>
      <c r="C475" s="14" t="s">
        <v>1445</v>
      </c>
      <c r="D475" s="14">
        <v>6.0</v>
      </c>
      <c r="E475" s="18" t="s">
        <v>96</v>
      </c>
    </row>
    <row r="476">
      <c r="A476" s="19">
        <v>457.0</v>
      </c>
      <c r="B476" s="17" t="s">
        <v>1446</v>
      </c>
      <c r="C476" s="19" t="s">
        <v>1448</v>
      </c>
      <c r="D476" s="19">
        <v>6.0</v>
      </c>
      <c r="E476" s="21" t="s">
        <v>96</v>
      </c>
    </row>
    <row r="477">
      <c r="A477" s="14">
        <v>458.0</v>
      </c>
      <c r="B477" s="17" t="s">
        <v>1449</v>
      </c>
      <c r="C477" s="14" t="s">
        <v>1450</v>
      </c>
      <c r="D477" s="14" t="s">
        <v>96</v>
      </c>
      <c r="E477" s="18" t="s">
        <v>96</v>
      </c>
    </row>
    <row r="478">
      <c r="A478" s="19">
        <v>459.0</v>
      </c>
      <c r="B478" s="17" t="s">
        <v>1451</v>
      </c>
      <c r="C478" s="19" t="s">
        <v>1452</v>
      </c>
      <c r="D478" s="19">
        <v>8.0</v>
      </c>
      <c r="E478" s="21" t="s">
        <v>96</v>
      </c>
    </row>
    <row r="479">
      <c r="A479" s="14">
        <v>460.0</v>
      </c>
      <c r="B479" s="17" t="s">
        <v>1453</v>
      </c>
      <c r="C479" s="14" t="s">
        <v>1454</v>
      </c>
      <c r="D479" s="14">
        <v>6.0</v>
      </c>
      <c r="E479" s="18" t="s">
        <v>96</v>
      </c>
    </row>
    <row r="480">
      <c r="A480" s="19">
        <v>461.0</v>
      </c>
      <c r="B480" s="17" t="s">
        <v>1455</v>
      </c>
      <c r="C480" s="19" t="s">
        <v>1456</v>
      </c>
      <c r="D480" s="19">
        <v>6.0</v>
      </c>
      <c r="E480" s="21" t="s">
        <v>96</v>
      </c>
    </row>
    <row r="481">
      <c r="A481" s="14">
        <v>462.0</v>
      </c>
      <c r="B481" s="17" t="s">
        <v>1457</v>
      </c>
      <c r="C481" s="14" t="s">
        <v>1458</v>
      </c>
      <c r="D481" s="14" t="s">
        <v>96</v>
      </c>
      <c r="E481" s="18" t="s">
        <v>96</v>
      </c>
    </row>
    <row r="482">
      <c r="A482" s="19">
        <v>463.0</v>
      </c>
      <c r="B482" s="17" t="s">
        <v>1459</v>
      </c>
      <c r="C482" s="19" t="s">
        <v>1460</v>
      </c>
      <c r="D482" s="19">
        <v>13.0</v>
      </c>
      <c r="E482" s="21" t="s">
        <v>96</v>
      </c>
    </row>
    <row r="483">
      <c r="A483" s="14">
        <v>464.0</v>
      </c>
      <c r="B483" s="17" t="s">
        <v>1461</v>
      </c>
      <c r="C483" s="14" t="s">
        <v>1462</v>
      </c>
      <c r="D483" s="14">
        <v>6.0</v>
      </c>
      <c r="E483" s="18" t="s">
        <v>96</v>
      </c>
    </row>
    <row r="484">
      <c r="A484" s="19">
        <v>465.0</v>
      </c>
      <c r="B484" s="17" t="s">
        <v>1463</v>
      </c>
      <c r="C484" s="19" t="s">
        <v>1464</v>
      </c>
      <c r="D484" s="19">
        <v>7.0</v>
      </c>
      <c r="E484" s="21" t="s">
        <v>96</v>
      </c>
    </row>
    <row r="485">
      <c r="A485" s="14">
        <v>466.0</v>
      </c>
      <c r="B485" s="17" t="s">
        <v>1465</v>
      </c>
      <c r="C485" s="14" t="s">
        <v>1466</v>
      </c>
      <c r="D485" s="14">
        <v>9.0</v>
      </c>
      <c r="E485" s="18" t="s">
        <v>96</v>
      </c>
    </row>
    <row r="486">
      <c r="A486" s="19">
        <v>467.0</v>
      </c>
      <c r="B486" s="17" t="s">
        <v>1467</v>
      </c>
      <c r="C486" s="19" t="s">
        <v>1468</v>
      </c>
      <c r="D486" s="19">
        <v>8.0</v>
      </c>
      <c r="E486" s="21" t="s">
        <v>96</v>
      </c>
    </row>
    <row r="487">
      <c r="A487" s="14">
        <v>468.0</v>
      </c>
      <c r="B487" s="17" t="s">
        <v>1469</v>
      </c>
      <c r="C487" s="14" t="s">
        <v>1470</v>
      </c>
      <c r="D487" s="14">
        <v>8.0</v>
      </c>
      <c r="E487" s="18" t="s">
        <v>96</v>
      </c>
    </row>
    <row r="488">
      <c r="A488" s="19">
        <v>469.0</v>
      </c>
      <c r="B488" s="17" t="s">
        <v>1471</v>
      </c>
      <c r="C488" s="19" t="s">
        <v>1472</v>
      </c>
      <c r="D488" s="19">
        <v>9.0</v>
      </c>
      <c r="E488" s="21" t="s">
        <v>96</v>
      </c>
    </row>
    <row r="489">
      <c r="A489" s="14">
        <v>470.0</v>
      </c>
      <c r="B489" s="17" t="s">
        <v>1473</v>
      </c>
      <c r="C489" s="14" t="s">
        <v>1474</v>
      </c>
      <c r="D489" s="14">
        <v>10.0</v>
      </c>
      <c r="E489" s="18" t="s">
        <v>96</v>
      </c>
    </row>
    <row r="490">
      <c r="A490" s="19">
        <v>471.0</v>
      </c>
      <c r="B490" s="17" t="s">
        <v>1475</v>
      </c>
      <c r="C490" s="19" t="s">
        <v>1476</v>
      </c>
      <c r="D490" s="19">
        <v>6.0</v>
      </c>
      <c r="E490" s="21" t="s">
        <v>96</v>
      </c>
    </row>
    <row r="491">
      <c r="A491" s="14">
        <v>472.0</v>
      </c>
      <c r="B491" s="17" t="s">
        <v>1477</v>
      </c>
      <c r="C491" s="14" t="s">
        <v>1478</v>
      </c>
      <c r="D491" s="14">
        <v>11.0</v>
      </c>
      <c r="E491" s="18" t="s">
        <v>96</v>
      </c>
    </row>
    <row r="492">
      <c r="A492" s="19">
        <v>473.0</v>
      </c>
      <c r="B492" s="17" t="s">
        <v>1479</v>
      </c>
      <c r="C492" s="19" t="s">
        <v>1480</v>
      </c>
      <c r="D492" s="19">
        <v>13.0</v>
      </c>
      <c r="E492" s="21" t="s">
        <v>96</v>
      </c>
    </row>
    <row r="493">
      <c r="A493" s="14">
        <v>474.0</v>
      </c>
      <c r="B493" s="17" t="s">
        <v>1481</v>
      </c>
      <c r="C493" s="14" t="s">
        <v>1482</v>
      </c>
      <c r="D493" s="14">
        <v>6.0</v>
      </c>
      <c r="E493" s="18" t="s">
        <v>96</v>
      </c>
    </row>
    <row r="494">
      <c r="A494" s="19">
        <v>475.0</v>
      </c>
      <c r="B494" s="17" t="s">
        <v>1483</v>
      </c>
      <c r="C494" s="19" t="s">
        <v>1484</v>
      </c>
      <c r="D494" s="19">
        <v>14.0</v>
      </c>
      <c r="E494" s="21" t="s">
        <v>96</v>
      </c>
    </row>
    <row r="495">
      <c r="A495" s="14">
        <v>476.0</v>
      </c>
      <c r="B495" s="17" t="s">
        <v>1485</v>
      </c>
      <c r="C495" s="14" t="s">
        <v>1486</v>
      </c>
      <c r="D495" s="14">
        <v>8.0</v>
      </c>
      <c r="E495" s="18" t="s">
        <v>96</v>
      </c>
    </row>
    <row r="496">
      <c r="A496" s="19">
        <v>477.0</v>
      </c>
      <c r="B496" s="17" t="s">
        <v>1487</v>
      </c>
      <c r="C496" s="19" t="s">
        <v>1488</v>
      </c>
      <c r="D496" s="19" t="s">
        <v>96</v>
      </c>
      <c r="E496" s="21" t="s">
        <v>96</v>
      </c>
    </row>
    <row r="497">
      <c r="A497" s="14">
        <v>478.0</v>
      </c>
      <c r="B497" s="17" t="s">
        <v>1489</v>
      </c>
      <c r="C497" s="14" t="s">
        <v>1490</v>
      </c>
      <c r="D497" s="14">
        <v>10.0</v>
      </c>
      <c r="E497" s="18" t="s">
        <v>96</v>
      </c>
    </row>
    <row r="498">
      <c r="A498" s="19">
        <v>479.0</v>
      </c>
      <c r="B498" s="17" t="s">
        <v>1491</v>
      </c>
      <c r="C498" s="19" t="s">
        <v>1492</v>
      </c>
      <c r="D498" s="19">
        <v>9.0</v>
      </c>
      <c r="E498" s="21" t="s">
        <v>96</v>
      </c>
    </row>
    <row r="499">
      <c r="A499" s="14">
        <v>480.0</v>
      </c>
      <c r="B499" s="17" t="s">
        <v>1493</v>
      </c>
      <c r="C499" s="14" t="s">
        <v>1494</v>
      </c>
      <c r="D499" s="14">
        <v>6.0</v>
      </c>
      <c r="E499" s="18" t="s">
        <v>96</v>
      </c>
    </row>
    <row r="500">
      <c r="A500" s="19">
        <v>481.0</v>
      </c>
      <c r="B500" s="17" t="s">
        <v>1495</v>
      </c>
      <c r="C500" s="19" t="s">
        <v>1496</v>
      </c>
      <c r="D500" s="19">
        <v>11.0</v>
      </c>
      <c r="E500" s="21" t="s">
        <v>96</v>
      </c>
    </row>
    <row r="501">
      <c r="A501" s="14">
        <v>482.0</v>
      </c>
      <c r="B501" s="17" t="s">
        <v>1497</v>
      </c>
      <c r="C501" s="14" t="s">
        <v>1498</v>
      </c>
      <c r="D501" s="14">
        <v>8.0</v>
      </c>
      <c r="E501" s="18" t="s">
        <v>96</v>
      </c>
    </row>
    <row r="502">
      <c r="A502" s="19">
        <v>483.0</v>
      </c>
      <c r="B502" s="17" t="s">
        <v>1499</v>
      </c>
      <c r="C502" s="19" t="s">
        <v>1500</v>
      </c>
      <c r="D502" s="19">
        <v>13.0</v>
      </c>
      <c r="E502" s="21" t="s">
        <v>96</v>
      </c>
    </row>
    <row r="503">
      <c r="A503" s="14">
        <v>484.0</v>
      </c>
      <c r="B503" s="17" t="s">
        <v>1501</v>
      </c>
      <c r="C503" s="14" t="s">
        <v>1502</v>
      </c>
      <c r="D503" s="14" t="s">
        <v>96</v>
      </c>
      <c r="E503" s="18" t="s">
        <v>96</v>
      </c>
    </row>
    <row r="504">
      <c r="A504" s="19">
        <v>485.0</v>
      </c>
      <c r="B504" s="17" t="s">
        <v>1503</v>
      </c>
      <c r="C504" s="19" t="s">
        <v>1504</v>
      </c>
      <c r="D504" s="19">
        <v>5.0</v>
      </c>
      <c r="E504" s="21" t="s">
        <v>96</v>
      </c>
    </row>
    <row r="505">
      <c r="A505" s="14">
        <v>486.0</v>
      </c>
      <c r="B505" s="17" t="s">
        <v>1505</v>
      </c>
      <c r="C505" s="14" t="s">
        <v>1506</v>
      </c>
      <c r="D505" s="14">
        <v>6.0</v>
      </c>
      <c r="E505" s="18" t="s">
        <v>96</v>
      </c>
    </row>
    <row r="506">
      <c r="A506" s="19">
        <v>487.0</v>
      </c>
      <c r="B506" s="17" t="s">
        <v>1507</v>
      </c>
      <c r="C506" s="19" t="s">
        <v>1508</v>
      </c>
      <c r="D506" s="19">
        <v>6.0</v>
      </c>
      <c r="E506" s="21" t="s">
        <v>96</v>
      </c>
    </row>
    <row r="507">
      <c r="A507" s="14">
        <v>488.0</v>
      </c>
      <c r="B507" s="17" t="s">
        <v>1509</v>
      </c>
      <c r="C507" s="14" t="s">
        <v>1404</v>
      </c>
      <c r="D507" s="14">
        <v>8.0</v>
      </c>
      <c r="E507" s="18" t="s">
        <v>96</v>
      </c>
    </row>
    <row r="508">
      <c r="A508" s="19">
        <v>489.0</v>
      </c>
      <c r="B508" s="17" t="s">
        <v>1510</v>
      </c>
      <c r="C508" s="19" t="s">
        <v>1511</v>
      </c>
      <c r="D508" s="19">
        <v>10.0</v>
      </c>
      <c r="E508" s="21" t="s">
        <v>96</v>
      </c>
    </row>
    <row r="509">
      <c r="A509" s="14">
        <v>490.0</v>
      </c>
      <c r="B509" s="17" t="s">
        <v>1512</v>
      </c>
      <c r="C509" s="14" t="s">
        <v>1513</v>
      </c>
      <c r="D509" s="14">
        <v>6.0</v>
      </c>
      <c r="E509" s="18" t="s">
        <v>96</v>
      </c>
    </row>
    <row r="510">
      <c r="A510" s="19">
        <v>491.0</v>
      </c>
      <c r="B510" s="17" t="s">
        <v>1514</v>
      </c>
      <c r="C510" s="19" t="s">
        <v>1515</v>
      </c>
      <c r="D510" s="19">
        <v>11.0</v>
      </c>
      <c r="E510" s="21" t="s">
        <v>96</v>
      </c>
    </row>
    <row r="511">
      <c r="A511" s="14">
        <v>492.0</v>
      </c>
      <c r="B511" s="17" t="s">
        <v>1516</v>
      </c>
      <c r="C511" s="14" t="s">
        <v>1517</v>
      </c>
      <c r="D511" s="14">
        <v>8.0</v>
      </c>
      <c r="E511" s="18" t="s">
        <v>96</v>
      </c>
    </row>
    <row r="512">
      <c r="A512" s="19">
        <v>493.0</v>
      </c>
      <c r="B512" s="17" t="s">
        <v>1518</v>
      </c>
      <c r="C512" s="19" t="s">
        <v>1519</v>
      </c>
      <c r="D512" s="19">
        <v>5.0</v>
      </c>
      <c r="E512" s="21" t="s">
        <v>96</v>
      </c>
    </row>
    <row r="513">
      <c r="A513" s="14">
        <v>494.0</v>
      </c>
      <c r="B513" s="17" t="s">
        <v>1520</v>
      </c>
      <c r="C513" s="14" t="s">
        <v>1521</v>
      </c>
      <c r="D513" s="14">
        <v>6.0</v>
      </c>
      <c r="E513" s="18" t="s">
        <v>96</v>
      </c>
    </row>
    <row r="514">
      <c r="A514" s="19">
        <v>495.0</v>
      </c>
      <c r="B514" s="17" t="s">
        <v>1522</v>
      </c>
      <c r="C514" s="19" t="s">
        <v>1523</v>
      </c>
      <c r="D514" s="19">
        <v>11.0</v>
      </c>
      <c r="E514" s="21" t="s">
        <v>96</v>
      </c>
    </row>
    <row r="515">
      <c r="A515" s="14">
        <v>496.0</v>
      </c>
      <c r="B515" s="17" t="s">
        <v>1524</v>
      </c>
      <c r="C515" s="14" t="s">
        <v>1525</v>
      </c>
      <c r="D515" s="14">
        <v>8.0</v>
      </c>
      <c r="E515" s="18" t="s">
        <v>96</v>
      </c>
    </row>
    <row r="516">
      <c r="A516" s="19">
        <v>497.0</v>
      </c>
      <c r="B516" s="17" t="s">
        <v>1526</v>
      </c>
      <c r="C516" s="19" t="s">
        <v>1527</v>
      </c>
      <c r="D516" s="19">
        <v>6.0</v>
      </c>
      <c r="E516" s="21" t="s">
        <v>96</v>
      </c>
    </row>
    <row r="517">
      <c r="A517" s="14">
        <v>498.0</v>
      </c>
      <c r="B517" s="17" t="s">
        <v>1528</v>
      </c>
      <c r="C517" s="14" t="s">
        <v>1529</v>
      </c>
      <c r="D517" s="14">
        <v>10.0</v>
      </c>
      <c r="E517" s="18" t="s">
        <v>96</v>
      </c>
    </row>
    <row r="518">
      <c r="A518" s="19">
        <v>499.0</v>
      </c>
      <c r="B518" s="17" t="s">
        <v>1530</v>
      </c>
      <c r="C518" s="19" t="s">
        <v>1531</v>
      </c>
      <c r="D518" s="19">
        <v>8.0</v>
      </c>
      <c r="E518" s="21" t="s">
        <v>96</v>
      </c>
    </row>
    <row r="519">
      <c r="A519" s="14">
        <v>500.0</v>
      </c>
      <c r="B519" s="17" t="s">
        <v>1532</v>
      </c>
      <c r="C519" s="14" t="s">
        <v>1533</v>
      </c>
      <c r="D519" s="14">
        <v>10.0</v>
      </c>
      <c r="E519" s="18" t="s">
        <v>96</v>
      </c>
    </row>
    <row r="520">
      <c r="A520" s="19">
        <v>501.0</v>
      </c>
      <c r="B520" s="17" t="s">
        <v>1534</v>
      </c>
      <c r="C520" s="19" t="s">
        <v>1535</v>
      </c>
      <c r="D520" s="19">
        <v>10.0</v>
      </c>
      <c r="E520" s="21" t="s">
        <v>96</v>
      </c>
    </row>
    <row r="521">
      <c r="A521" s="14">
        <v>502.0</v>
      </c>
      <c r="B521" s="17" t="s">
        <v>1536</v>
      </c>
      <c r="C521" s="14" t="s">
        <v>1537</v>
      </c>
      <c r="D521" s="14">
        <v>13.0</v>
      </c>
      <c r="E521" s="18" t="s">
        <v>96</v>
      </c>
    </row>
    <row r="522">
      <c r="A522" s="19">
        <v>503.0</v>
      </c>
      <c r="B522" s="17" t="s">
        <v>1538</v>
      </c>
      <c r="C522" s="19" t="s">
        <v>1539</v>
      </c>
      <c r="D522" s="19" t="s">
        <v>96</v>
      </c>
      <c r="E522" s="21" t="s">
        <v>96</v>
      </c>
    </row>
    <row r="523">
      <c r="A523" s="14">
        <v>504.0</v>
      </c>
      <c r="B523" s="17" t="s">
        <v>1540</v>
      </c>
      <c r="C523" s="14" t="s">
        <v>1541</v>
      </c>
      <c r="D523" s="14">
        <v>11.0</v>
      </c>
      <c r="E523" s="18" t="s">
        <v>96</v>
      </c>
    </row>
    <row r="524">
      <c r="A524" s="19">
        <v>505.0</v>
      </c>
      <c r="B524" s="17" t="s">
        <v>1542</v>
      </c>
      <c r="C524" s="19" t="s">
        <v>1543</v>
      </c>
      <c r="D524" s="19">
        <v>9.0</v>
      </c>
      <c r="E524" s="21" t="s">
        <v>96</v>
      </c>
    </row>
    <row r="525">
      <c r="A525" s="14">
        <v>506.0</v>
      </c>
      <c r="B525" s="17" t="s">
        <v>1544</v>
      </c>
      <c r="C525" s="14" t="s">
        <v>1545</v>
      </c>
      <c r="D525" s="14">
        <v>11.0</v>
      </c>
      <c r="E525" s="18" t="s">
        <v>96</v>
      </c>
    </row>
    <row r="526">
      <c r="A526" s="19">
        <v>507.0</v>
      </c>
      <c r="B526" s="17" t="s">
        <v>1546</v>
      </c>
      <c r="C526" s="19" t="s">
        <v>1547</v>
      </c>
      <c r="D526" s="19">
        <v>13.0</v>
      </c>
      <c r="E526" s="21" t="s">
        <v>96</v>
      </c>
    </row>
    <row r="527">
      <c r="A527" s="14">
        <v>508.0</v>
      </c>
      <c r="B527" s="17" t="s">
        <v>1548</v>
      </c>
      <c r="C527" s="14" t="s">
        <v>1549</v>
      </c>
      <c r="D527" s="14">
        <v>13.0</v>
      </c>
      <c r="E527" s="18" t="s">
        <v>96</v>
      </c>
    </row>
    <row r="528">
      <c r="A528" s="19">
        <v>509.0</v>
      </c>
      <c r="B528" s="17" t="s">
        <v>1550</v>
      </c>
      <c r="C528" s="19" t="s">
        <v>1551</v>
      </c>
      <c r="D528" s="19">
        <v>7.0</v>
      </c>
      <c r="E528" s="21" t="s">
        <v>96</v>
      </c>
    </row>
    <row r="529">
      <c r="A529" s="14">
        <v>510.0</v>
      </c>
      <c r="B529" s="17" t="s">
        <v>1552</v>
      </c>
      <c r="C529" s="14" t="s">
        <v>1553</v>
      </c>
      <c r="D529" s="14">
        <v>11.0</v>
      </c>
      <c r="E529" s="18" t="s">
        <v>96</v>
      </c>
    </row>
    <row r="530">
      <c r="A530" s="19">
        <v>511.0</v>
      </c>
      <c r="B530" s="17" t="s">
        <v>1554</v>
      </c>
      <c r="C530" s="19" t="s">
        <v>1555</v>
      </c>
      <c r="D530" s="19">
        <v>5.0</v>
      </c>
      <c r="E530" s="21" t="s">
        <v>96</v>
      </c>
    </row>
    <row r="531">
      <c r="A531" s="14">
        <v>512.0</v>
      </c>
      <c r="B531" s="17" t="s">
        <v>1556</v>
      </c>
      <c r="C531" s="14" t="s">
        <v>1557</v>
      </c>
      <c r="D531" s="14">
        <v>9.0</v>
      </c>
      <c r="E531" s="18" t="s">
        <v>96</v>
      </c>
    </row>
    <row r="532">
      <c r="A532" s="19">
        <v>513.0</v>
      </c>
      <c r="B532" s="17" t="s">
        <v>1558</v>
      </c>
      <c r="C532" s="19" t="s">
        <v>1559</v>
      </c>
      <c r="D532" s="19">
        <v>13.0</v>
      </c>
      <c r="E532" s="21" t="s">
        <v>96</v>
      </c>
    </row>
    <row r="533">
      <c r="A533" s="14">
        <v>514.0</v>
      </c>
      <c r="B533" s="17" t="s">
        <v>1560</v>
      </c>
      <c r="C533" s="14" t="s">
        <v>1561</v>
      </c>
      <c r="D533" s="14" t="s">
        <v>96</v>
      </c>
      <c r="E533" s="18" t="s">
        <v>96</v>
      </c>
    </row>
    <row r="534">
      <c r="A534" s="19">
        <v>515.0</v>
      </c>
      <c r="B534" s="17" t="s">
        <v>1562</v>
      </c>
      <c r="C534" s="19" t="s">
        <v>1563</v>
      </c>
      <c r="D534" s="19">
        <v>8.0</v>
      </c>
      <c r="E534" s="21" t="s">
        <v>96</v>
      </c>
    </row>
    <row r="535">
      <c r="A535" s="14">
        <v>516.0</v>
      </c>
      <c r="B535" s="17" t="s">
        <v>1564</v>
      </c>
      <c r="C535" s="14" t="s">
        <v>1565</v>
      </c>
      <c r="D535" s="14">
        <v>9.0</v>
      </c>
      <c r="E535" s="18" t="s">
        <v>96</v>
      </c>
    </row>
    <row r="536">
      <c r="A536" s="19">
        <v>517.0</v>
      </c>
      <c r="B536" s="17" t="s">
        <v>1566</v>
      </c>
      <c r="C536" s="19" t="s">
        <v>1567</v>
      </c>
      <c r="D536" s="19">
        <v>10.0</v>
      </c>
      <c r="E536" s="21" t="s">
        <v>96</v>
      </c>
    </row>
    <row r="537">
      <c r="A537" s="14">
        <v>518.0</v>
      </c>
      <c r="B537" s="17" t="s">
        <v>1568</v>
      </c>
      <c r="C537" s="14" t="s">
        <v>1569</v>
      </c>
      <c r="D537" s="14">
        <v>6.0</v>
      </c>
      <c r="E537" s="18" t="s">
        <v>96</v>
      </c>
    </row>
    <row r="538">
      <c r="A538" s="19">
        <v>519.0</v>
      </c>
      <c r="B538" s="17" t="s">
        <v>1570</v>
      </c>
      <c r="C538" s="19" t="s">
        <v>1571</v>
      </c>
      <c r="D538" s="19">
        <v>11.0</v>
      </c>
      <c r="E538" s="21" t="s">
        <v>96</v>
      </c>
    </row>
    <row r="539">
      <c r="A539" s="14">
        <v>520.0</v>
      </c>
      <c r="B539" s="17" t="s">
        <v>1572</v>
      </c>
      <c r="C539" s="14" t="s">
        <v>1573</v>
      </c>
      <c r="D539" s="14">
        <v>13.0</v>
      </c>
      <c r="E539" s="18" t="s">
        <v>96</v>
      </c>
    </row>
    <row r="540">
      <c r="A540" s="19">
        <v>521.0</v>
      </c>
      <c r="B540" s="17" t="s">
        <v>1574</v>
      </c>
      <c r="C540" s="19" t="s">
        <v>1575</v>
      </c>
      <c r="D540" s="19">
        <v>6.0</v>
      </c>
      <c r="E540" s="21" t="s">
        <v>96</v>
      </c>
    </row>
    <row r="541">
      <c r="A541" s="14">
        <v>522.0</v>
      </c>
      <c r="B541" s="17" t="s">
        <v>1576</v>
      </c>
      <c r="C541" s="14" t="s">
        <v>1577</v>
      </c>
      <c r="D541" s="14">
        <v>13.0</v>
      </c>
      <c r="E541" s="18" t="s">
        <v>96</v>
      </c>
    </row>
    <row r="542">
      <c r="A542" s="19">
        <v>523.0</v>
      </c>
      <c r="B542" s="17" t="s">
        <v>1578</v>
      </c>
      <c r="C542" s="19" t="s">
        <v>1579</v>
      </c>
      <c r="D542" s="19">
        <v>7.0</v>
      </c>
      <c r="E542" s="21" t="s">
        <v>96</v>
      </c>
    </row>
    <row r="543">
      <c r="A543" s="14">
        <v>524.0</v>
      </c>
      <c r="B543" s="17" t="s">
        <v>1580</v>
      </c>
      <c r="C543" s="14" t="s">
        <v>1581</v>
      </c>
      <c r="D543" s="14">
        <v>6.0</v>
      </c>
      <c r="E543" s="18" t="s">
        <v>96</v>
      </c>
    </row>
    <row r="544">
      <c r="A544" s="19">
        <v>525.0</v>
      </c>
      <c r="B544" s="17" t="s">
        <v>1582</v>
      </c>
      <c r="C544" s="19" t="s">
        <v>1583</v>
      </c>
      <c r="D544" s="19" t="s">
        <v>96</v>
      </c>
      <c r="E544" s="21" t="s">
        <v>96</v>
      </c>
    </row>
    <row r="545">
      <c r="A545" s="14">
        <v>526.0</v>
      </c>
      <c r="B545" s="17" t="s">
        <v>1584</v>
      </c>
      <c r="C545" s="14" t="s">
        <v>1585</v>
      </c>
      <c r="D545" s="14" t="s">
        <v>96</v>
      </c>
      <c r="E545" s="18" t="s">
        <v>96</v>
      </c>
    </row>
    <row r="546">
      <c r="A546" s="19">
        <v>527.0</v>
      </c>
      <c r="B546" s="17" t="s">
        <v>1586</v>
      </c>
      <c r="C546" s="19" t="s">
        <v>1587</v>
      </c>
      <c r="D546" s="19">
        <v>10.0</v>
      </c>
      <c r="E546" s="21" t="s">
        <v>96</v>
      </c>
    </row>
    <row r="547">
      <c r="A547" s="14">
        <v>528.0</v>
      </c>
      <c r="B547" s="17" t="s">
        <v>1588</v>
      </c>
      <c r="C547" s="14" t="s">
        <v>1589</v>
      </c>
      <c r="D547" s="14">
        <v>8.0</v>
      </c>
      <c r="E547" s="18" t="s">
        <v>96</v>
      </c>
    </row>
    <row r="548">
      <c r="A548" s="19">
        <v>529.0</v>
      </c>
      <c r="B548" s="17" t="s">
        <v>1590</v>
      </c>
      <c r="C548" s="19" t="s">
        <v>1591</v>
      </c>
      <c r="D548" s="19">
        <v>8.0</v>
      </c>
      <c r="E548" s="21" t="s">
        <v>96</v>
      </c>
    </row>
    <row r="549">
      <c r="A549" s="14">
        <v>530.0</v>
      </c>
      <c r="B549" s="17" t="s">
        <v>1592</v>
      </c>
      <c r="C549" s="14" t="s">
        <v>1593</v>
      </c>
      <c r="D549" s="14">
        <v>14.0</v>
      </c>
      <c r="E549" s="18" t="s">
        <v>96</v>
      </c>
    </row>
    <row r="550">
      <c r="A550" s="19">
        <v>531.0</v>
      </c>
      <c r="B550" s="17" t="s">
        <v>1594</v>
      </c>
      <c r="C550" s="19" t="s">
        <v>1595</v>
      </c>
      <c r="D550" s="19">
        <v>6.0</v>
      </c>
      <c r="E550" s="21" t="s">
        <v>96</v>
      </c>
    </row>
    <row r="551">
      <c r="A551" s="14">
        <v>532.0</v>
      </c>
      <c r="B551" s="17" t="s">
        <v>1596</v>
      </c>
      <c r="C551" s="14" t="s">
        <v>1597</v>
      </c>
      <c r="D551" s="14">
        <v>6.0</v>
      </c>
      <c r="E551" s="18" t="s">
        <v>96</v>
      </c>
    </row>
    <row r="552">
      <c r="A552" s="19">
        <v>533.0</v>
      </c>
      <c r="B552" s="17" t="s">
        <v>1598</v>
      </c>
      <c r="C552" s="19" t="s">
        <v>1599</v>
      </c>
      <c r="D552" s="19">
        <v>8.0</v>
      </c>
      <c r="E552" s="21" t="s">
        <v>96</v>
      </c>
    </row>
    <row r="553">
      <c r="A553" s="14">
        <v>534.0</v>
      </c>
      <c r="B553" s="17" t="s">
        <v>1600</v>
      </c>
      <c r="C553" s="14" t="s">
        <v>1601</v>
      </c>
      <c r="D553" s="14" t="s">
        <v>96</v>
      </c>
      <c r="E553" s="18" t="s">
        <v>96</v>
      </c>
    </row>
    <row r="554">
      <c r="A554" s="19">
        <v>535.0</v>
      </c>
      <c r="B554" s="17" t="s">
        <v>1602</v>
      </c>
      <c r="C554" s="19" t="s">
        <v>1603</v>
      </c>
      <c r="D554" s="19" t="s">
        <v>96</v>
      </c>
      <c r="E554" s="21" t="s">
        <v>96</v>
      </c>
    </row>
    <row r="555">
      <c r="A555" s="14">
        <v>536.0</v>
      </c>
      <c r="B555" s="17" t="s">
        <v>1604</v>
      </c>
      <c r="C555" s="14" t="s">
        <v>1605</v>
      </c>
      <c r="D555" s="14" t="s">
        <v>96</v>
      </c>
      <c r="E555" s="18" t="s">
        <v>96</v>
      </c>
    </row>
    <row r="556">
      <c r="A556" s="19">
        <v>537.0</v>
      </c>
      <c r="B556" s="17" t="s">
        <v>1606</v>
      </c>
      <c r="C556" s="19" t="s">
        <v>1607</v>
      </c>
      <c r="D556" s="19" t="s">
        <v>96</v>
      </c>
      <c r="E556" s="21" t="s">
        <v>96</v>
      </c>
    </row>
    <row r="557">
      <c r="A557" s="14">
        <v>538.0</v>
      </c>
      <c r="B557" s="17" t="s">
        <v>1608</v>
      </c>
      <c r="C557" s="14" t="s">
        <v>1609</v>
      </c>
      <c r="D557" s="14" t="s">
        <v>96</v>
      </c>
      <c r="E557" s="18" t="s">
        <v>96</v>
      </c>
    </row>
    <row r="558">
      <c r="A558" s="19">
        <v>539.0</v>
      </c>
      <c r="B558" s="17" t="s">
        <v>1610</v>
      </c>
      <c r="C558" s="19" t="s">
        <v>1611</v>
      </c>
      <c r="D558" s="19">
        <v>11.0</v>
      </c>
      <c r="E558" s="21" t="s">
        <v>96</v>
      </c>
    </row>
    <row r="559">
      <c r="A559" s="14">
        <v>540.0</v>
      </c>
      <c r="B559" s="17" t="s">
        <v>1612</v>
      </c>
      <c r="C559" s="14" t="s">
        <v>1613</v>
      </c>
      <c r="D559" s="14" t="s">
        <v>96</v>
      </c>
      <c r="E559" s="18" t="s">
        <v>96</v>
      </c>
    </row>
    <row r="560">
      <c r="A560" s="30">
        <v>541.0</v>
      </c>
      <c r="B560" s="17" t="s">
        <v>1614</v>
      </c>
      <c r="C560" s="30" t="s">
        <v>1615</v>
      </c>
      <c r="D560" s="30" t="s">
        <v>96</v>
      </c>
      <c r="E560" s="31" t="s">
        <v>96</v>
      </c>
    </row>
  </sheetData>
  <mergeCells count="18">
    <mergeCell ref="B2:D2"/>
    <mergeCell ref="B7:D7"/>
    <mergeCell ref="B16:D16"/>
    <mergeCell ref="B26:D26"/>
    <mergeCell ref="A32:E32"/>
    <mergeCell ref="B37:D37"/>
    <mergeCell ref="B56:D56"/>
    <mergeCell ref="B287:D287"/>
    <mergeCell ref="B330:D330"/>
    <mergeCell ref="B384:D384"/>
    <mergeCell ref="B471:D471"/>
    <mergeCell ref="B75:D75"/>
    <mergeCell ref="B95:D95"/>
    <mergeCell ref="A101:E101"/>
    <mergeCell ref="B125:D125"/>
    <mergeCell ref="B156:D156"/>
    <mergeCell ref="B191:D191"/>
    <mergeCell ref="B238:D238"/>
  </mergeCells>
  <hyperlinks>
    <hyperlink r:id="rId1" ref="B3"/>
    <hyperlink r:id="rId2" ref="B4"/>
    <hyperlink r:id="rId3" ref="B5"/>
    <hyperlink r:id="rId4" ref="B6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7"/>
    <hyperlink r:id="rId23" ref="B28"/>
    <hyperlink r:id="rId24" ref="B29"/>
    <hyperlink r:id="rId25" ref="B30"/>
    <hyperlink r:id="rId26" ref="B31"/>
    <hyperlink r:id="rId27" ref="B33"/>
    <hyperlink r:id="rId28" ref="B34"/>
    <hyperlink r:id="rId29" ref="B35"/>
    <hyperlink r:id="rId30" ref="B36"/>
    <hyperlink r:id="rId31" ref="B38"/>
    <hyperlink r:id="rId32" ref="B39"/>
    <hyperlink r:id="rId33" ref="B40"/>
    <hyperlink r:id="rId34" ref="B41"/>
    <hyperlink r:id="rId35" ref="B42"/>
    <hyperlink r:id="rId36" ref="B43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1"/>
    <hyperlink r:id="rId45" ref="B52"/>
    <hyperlink r:id="rId46" ref="B53"/>
    <hyperlink r:id="rId47" ref="B54"/>
    <hyperlink r:id="rId48" ref="B55"/>
    <hyperlink r:id="rId49" ref="B57"/>
    <hyperlink r:id="rId50" ref="B58"/>
    <hyperlink r:id="rId51" ref="B59"/>
    <hyperlink r:id="rId52" ref="B60"/>
    <hyperlink r:id="rId53" ref="B61"/>
    <hyperlink r:id="rId54" ref="B62"/>
    <hyperlink r:id="rId55" ref="B63"/>
    <hyperlink r:id="rId56" ref="B64"/>
    <hyperlink r:id="rId57" ref="B65"/>
    <hyperlink r:id="rId58" ref="B66"/>
    <hyperlink r:id="rId59" ref="B67"/>
    <hyperlink r:id="rId60" ref="B68"/>
    <hyperlink r:id="rId61" ref="B69"/>
    <hyperlink r:id="rId62" ref="B70"/>
    <hyperlink r:id="rId63" ref="B71"/>
    <hyperlink r:id="rId64" ref="B72"/>
    <hyperlink r:id="rId65" ref="B73"/>
    <hyperlink r:id="rId66" ref="B74"/>
    <hyperlink r:id="rId67" ref="B76"/>
    <hyperlink r:id="rId68" ref="B77"/>
    <hyperlink r:id="rId69" ref="B78"/>
    <hyperlink r:id="rId70" ref="B79"/>
    <hyperlink r:id="rId71" ref="B80"/>
    <hyperlink r:id="rId72" ref="B81"/>
    <hyperlink r:id="rId73" ref="B82"/>
    <hyperlink r:id="rId74" ref="B83"/>
    <hyperlink r:id="rId75" ref="B84"/>
    <hyperlink r:id="rId76" ref="B85"/>
    <hyperlink r:id="rId77" ref="B86"/>
    <hyperlink r:id="rId78" ref="B87"/>
    <hyperlink r:id="rId79" ref="B88"/>
    <hyperlink r:id="rId80" ref="B89"/>
    <hyperlink r:id="rId81" ref="B90"/>
    <hyperlink r:id="rId82" ref="B91"/>
    <hyperlink r:id="rId83" ref="B92"/>
    <hyperlink r:id="rId84" ref="B93"/>
    <hyperlink r:id="rId85" ref="B94"/>
    <hyperlink r:id="rId86" ref="B96"/>
    <hyperlink r:id="rId87" ref="B97"/>
    <hyperlink r:id="rId88" ref="B98"/>
    <hyperlink r:id="rId89" ref="B99"/>
    <hyperlink r:id="rId90" ref="B100"/>
    <hyperlink r:id="rId91" ref="B102"/>
    <hyperlink r:id="rId92" ref="B103"/>
    <hyperlink r:id="rId93" ref="B104"/>
    <hyperlink r:id="rId94" ref="B105"/>
    <hyperlink r:id="rId95" ref="B106"/>
    <hyperlink r:id="rId96" ref="B107"/>
    <hyperlink r:id="rId97" ref="B108"/>
    <hyperlink r:id="rId98" ref="B109"/>
    <hyperlink r:id="rId99" ref="B110"/>
    <hyperlink r:id="rId100" ref="B111"/>
    <hyperlink r:id="rId101" ref="B112"/>
    <hyperlink r:id="rId102" ref="B113"/>
    <hyperlink r:id="rId103" ref="B114"/>
    <hyperlink r:id="rId104" ref="B115"/>
    <hyperlink r:id="rId105" ref="B116"/>
    <hyperlink r:id="rId106" ref="B117"/>
    <hyperlink r:id="rId107" ref="B118"/>
    <hyperlink r:id="rId108" ref="B119"/>
    <hyperlink r:id="rId109" ref="B120"/>
    <hyperlink r:id="rId110" ref="B121"/>
    <hyperlink r:id="rId111" ref="B122"/>
    <hyperlink r:id="rId112" ref="B123"/>
    <hyperlink r:id="rId113" ref="B124"/>
    <hyperlink r:id="rId114" ref="B126"/>
    <hyperlink r:id="rId115" ref="B127"/>
    <hyperlink r:id="rId116" ref="B128"/>
    <hyperlink r:id="rId117" ref="B129"/>
    <hyperlink r:id="rId118" ref="B130"/>
    <hyperlink r:id="rId119" ref="B131"/>
    <hyperlink r:id="rId120" ref="B132"/>
    <hyperlink r:id="rId121" ref="B133"/>
    <hyperlink r:id="rId122" ref="B134"/>
    <hyperlink r:id="rId123" ref="B135"/>
    <hyperlink r:id="rId124" ref="B136"/>
    <hyperlink r:id="rId125" ref="B137"/>
    <hyperlink r:id="rId126" ref="B138"/>
    <hyperlink r:id="rId127" ref="B139"/>
    <hyperlink r:id="rId128" ref="B140"/>
    <hyperlink r:id="rId129" ref="B141"/>
    <hyperlink r:id="rId130" ref="B142"/>
    <hyperlink r:id="rId131" ref="B143"/>
    <hyperlink r:id="rId132" ref="B144"/>
    <hyperlink r:id="rId133" ref="B145"/>
    <hyperlink r:id="rId134" ref="B146"/>
    <hyperlink r:id="rId135" ref="B147"/>
    <hyperlink r:id="rId136" ref="B148"/>
    <hyperlink r:id="rId137" ref="B149"/>
    <hyperlink r:id="rId138" ref="B150"/>
    <hyperlink r:id="rId139" ref="B151"/>
    <hyperlink r:id="rId140" ref="B152"/>
    <hyperlink r:id="rId141" ref="B153"/>
    <hyperlink r:id="rId142" ref="B154"/>
    <hyperlink r:id="rId143" ref="B155"/>
    <hyperlink r:id="rId144" ref="B157"/>
    <hyperlink r:id="rId145" ref="B158"/>
    <hyperlink r:id="rId146" ref="B159"/>
    <hyperlink r:id="rId147" ref="B160"/>
    <hyperlink r:id="rId148" ref="B161"/>
    <hyperlink r:id="rId149" ref="B162"/>
    <hyperlink r:id="rId150" ref="B163"/>
    <hyperlink r:id="rId151" ref="B164"/>
    <hyperlink r:id="rId152" ref="B165"/>
    <hyperlink r:id="rId153" ref="B166"/>
    <hyperlink r:id="rId154" ref="B167"/>
    <hyperlink r:id="rId155" ref="B168"/>
    <hyperlink r:id="rId156" ref="B169"/>
    <hyperlink r:id="rId157" ref="B170"/>
    <hyperlink r:id="rId158" ref="B171"/>
    <hyperlink r:id="rId159" ref="B172"/>
    <hyperlink r:id="rId160" ref="B173"/>
    <hyperlink r:id="rId161" ref="B174"/>
    <hyperlink r:id="rId162" ref="B175"/>
    <hyperlink r:id="rId163" ref="B176"/>
    <hyperlink r:id="rId164" ref="B177"/>
    <hyperlink r:id="rId165" ref="B178"/>
    <hyperlink r:id="rId166" ref="B179"/>
    <hyperlink r:id="rId167" ref="B180"/>
    <hyperlink r:id="rId168" ref="B181"/>
    <hyperlink r:id="rId169" ref="B182"/>
    <hyperlink r:id="rId170" ref="B183"/>
    <hyperlink r:id="rId171" ref="B184"/>
    <hyperlink r:id="rId172" ref="B185"/>
    <hyperlink r:id="rId173" ref="B186"/>
    <hyperlink r:id="rId174" ref="B187"/>
    <hyperlink r:id="rId175" ref="B188"/>
    <hyperlink r:id="rId176" ref="B189"/>
    <hyperlink r:id="rId177" ref="B190"/>
    <hyperlink r:id="rId178" ref="B192"/>
    <hyperlink r:id="rId179" ref="B193"/>
    <hyperlink r:id="rId180" ref="B194"/>
    <hyperlink r:id="rId181" ref="B195"/>
    <hyperlink r:id="rId182" ref="B196"/>
    <hyperlink r:id="rId183" ref="B197"/>
    <hyperlink r:id="rId184" ref="B198"/>
    <hyperlink r:id="rId185" ref="B199"/>
    <hyperlink r:id="rId186" ref="B200"/>
    <hyperlink r:id="rId187" ref="B201"/>
    <hyperlink r:id="rId188" ref="B202"/>
    <hyperlink r:id="rId189" ref="B203"/>
    <hyperlink r:id="rId190" ref="B204"/>
    <hyperlink r:id="rId191" ref="B205"/>
    <hyperlink r:id="rId192" ref="B206"/>
    <hyperlink r:id="rId193" ref="B207"/>
    <hyperlink r:id="rId194" ref="B208"/>
    <hyperlink r:id="rId195" ref="B209"/>
    <hyperlink r:id="rId196" ref="B210"/>
    <hyperlink r:id="rId197" ref="B211"/>
    <hyperlink r:id="rId198" ref="B212"/>
    <hyperlink r:id="rId199" ref="B213"/>
    <hyperlink r:id="rId200" ref="B214"/>
    <hyperlink r:id="rId201" ref="B215"/>
    <hyperlink r:id="rId202" ref="B216"/>
    <hyperlink r:id="rId203" ref="B217"/>
    <hyperlink r:id="rId204" ref="B218"/>
    <hyperlink r:id="rId205" ref="B219"/>
    <hyperlink r:id="rId206" ref="B220"/>
    <hyperlink r:id="rId207" ref="B221"/>
    <hyperlink r:id="rId208" ref="B222"/>
    <hyperlink r:id="rId209" ref="B223"/>
    <hyperlink r:id="rId210" ref="B224"/>
    <hyperlink r:id="rId211" ref="B225"/>
    <hyperlink r:id="rId212" ref="B226"/>
    <hyperlink r:id="rId213" ref="B227"/>
    <hyperlink r:id="rId214" ref="B228"/>
    <hyperlink r:id="rId215" ref="B229"/>
    <hyperlink r:id="rId216" ref="B230"/>
    <hyperlink r:id="rId217" ref="B231"/>
    <hyperlink r:id="rId218" ref="B232"/>
    <hyperlink r:id="rId219" ref="B233"/>
    <hyperlink r:id="rId220" ref="B234"/>
    <hyperlink r:id="rId221" ref="B235"/>
    <hyperlink r:id="rId222" ref="B236"/>
    <hyperlink r:id="rId223" ref="B237"/>
    <hyperlink r:id="rId224" ref="B239"/>
    <hyperlink r:id="rId225" ref="B240"/>
    <hyperlink r:id="rId226" ref="B241"/>
    <hyperlink r:id="rId227" ref="B242"/>
    <hyperlink r:id="rId228" ref="B243"/>
    <hyperlink r:id="rId229" ref="B244"/>
    <hyperlink r:id="rId230" ref="B245"/>
    <hyperlink r:id="rId231" ref="B246"/>
    <hyperlink r:id="rId232" ref="B247"/>
    <hyperlink r:id="rId233" ref="B248"/>
    <hyperlink r:id="rId234" ref="B249"/>
    <hyperlink r:id="rId235" ref="B250"/>
    <hyperlink r:id="rId236" ref="B251"/>
    <hyperlink r:id="rId237" ref="B252"/>
    <hyperlink r:id="rId238" ref="B253"/>
    <hyperlink r:id="rId239" ref="B254"/>
    <hyperlink r:id="rId240" ref="B255"/>
    <hyperlink r:id="rId241" ref="B256"/>
    <hyperlink r:id="rId242" ref="B257"/>
    <hyperlink r:id="rId243" ref="B258"/>
    <hyperlink r:id="rId244" ref="B259"/>
    <hyperlink r:id="rId245" ref="B260"/>
    <hyperlink r:id="rId246" ref="B261"/>
    <hyperlink r:id="rId247" ref="B262"/>
    <hyperlink r:id="rId248" ref="B263"/>
    <hyperlink r:id="rId249" ref="B264"/>
    <hyperlink r:id="rId250" ref="B265"/>
    <hyperlink r:id="rId251" ref="B266"/>
    <hyperlink r:id="rId252" ref="B267"/>
    <hyperlink r:id="rId253" ref="B268"/>
    <hyperlink r:id="rId254" ref="B269"/>
    <hyperlink r:id="rId255" ref="B270"/>
    <hyperlink r:id="rId256" ref="B271"/>
    <hyperlink r:id="rId257" ref="B272"/>
    <hyperlink r:id="rId258" ref="B273"/>
    <hyperlink r:id="rId259" ref="B274"/>
    <hyperlink r:id="rId260" ref="B275"/>
    <hyperlink r:id="rId261" ref="B276"/>
    <hyperlink r:id="rId262" ref="B277"/>
    <hyperlink r:id="rId263" ref="B278"/>
    <hyperlink r:id="rId264" ref="B279"/>
    <hyperlink r:id="rId265" ref="B280"/>
    <hyperlink r:id="rId266" ref="B281"/>
    <hyperlink r:id="rId267" ref="B282"/>
    <hyperlink r:id="rId268" ref="B283"/>
    <hyperlink r:id="rId269" ref="B284"/>
    <hyperlink r:id="rId270" ref="B285"/>
    <hyperlink r:id="rId271" ref="B286"/>
    <hyperlink r:id="rId272" ref="B288"/>
    <hyperlink r:id="rId273" ref="B289"/>
    <hyperlink r:id="rId274" ref="B290"/>
    <hyperlink r:id="rId275" ref="B291"/>
    <hyperlink r:id="rId276" ref="B292"/>
    <hyperlink r:id="rId277" ref="B293"/>
    <hyperlink r:id="rId278" ref="B294"/>
    <hyperlink r:id="rId279" ref="B295"/>
    <hyperlink r:id="rId280" ref="B296"/>
    <hyperlink r:id="rId281" ref="B297"/>
    <hyperlink r:id="rId282" ref="B298"/>
    <hyperlink r:id="rId283" ref="B299"/>
    <hyperlink r:id="rId284" ref="B300"/>
    <hyperlink r:id="rId285" ref="B301"/>
    <hyperlink r:id="rId286" ref="B302"/>
    <hyperlink r:id="rId287" ref="B303"/>
    <hyperlink r:id="rId288" ref="B304"/>
    <hyperlink r:id="rId289" ref="B305"/>
    <hyperlink r:id="rId290" ref="B306"/>
    <hyperlink r:id="rId291" ref="B307"/>
    <hyperlink r:id="rId292" ref="B308"/>
    <hyperlink r:id="rId293" ref="B309"/>
    <hyperlink r:id="rId294" ref="B310"/>
    <hyperlink r:id="rId295" ref="B311"/>
    <hyperlink r:id="rId296" ref="B312"/>
    <hyperlink r:id="rId297" ref="B313"/>
    <hyperlink r:id="rId298" ref="B314"/>
    <hyperlink r:id="rId299" ref="B315"/>
    <hyperlink r:id="rId300" ref="B316"/>
    <hyperlink r:id="rId301" ref="B317"/>
    <hyperlink r:id="rId302" ref="B318"/>
    <hyperlink r:id="rId303" ref="B319"/>
    <hyperlink r:id="rId304" ref="B320"/>
    <hyperlink r:id="rId305" ref="B321"/>
    <hyperlink r:id="rId306" ref="B322"/>
    <hyperlink r:id="rId307" ref="B323"/>
    <hyperlink r:id="rId308" ref="B324"/>
    <hyperlink r:id="rId309" ref="B325"/>
    <hyperlink r:id="rId310" ref="B326"/>
    <hyperlink r:id="rId311" ref="B327"/>
    <hyperlink r:id="rId312" ref="B328"/>
    <hyperlink r:id="rId313" ref="B329"/>
    <hyperlink r:id="rId314" ref="B331"/>
    <hyperlink r:id="rId315" ref="B332"/>
    <hyperlink r:id="rId316" ref="B333"/>
    <hyperlink r:id="rId317" ref="B334"/>
    <hyperlink r:id="rId318" ref="B335"/>
    <hyperlink r:id="rId319" ref="B336"/>
    <hyperlink r:id="rId320" ref="B337"/>
    <hyperlink r:id="rId321" ref="B338"/>
    <hyperlink r:id="rId322" ref="B339"/>
    <hyperlink r:id="rId323" ref="B340"/>
    <hyperlink r:id="rId324" ref="B341"/>
    <hyperlink r:id="rId325" ref="B342"/>
    <hyperlink r:id="rId326" ref="B343"/>
    <hyperlink r:id="rId327" ref="B344"/>
    <hyperlink r:id="rId328" ref="B345"/>
    <hyperlink r:id="rId329" ref="B346"/>
    <hyperlink r:id="rId330" ref="B347"/>
    <hyperlink r:id="rId331" ref="B348"/>
    <hyperlink r:id="rId332" ref="B349"/>
    <hyperlink r:id="rId333" ref="B350"/>
    <hyperlink r:id="rId334" ref="B351"/>
    <hyperlink r:id="rId335" ref="B352"/>
    <hyperlink r:id="rId336" ref="B353"/>
    <hyperlink r:id="rId337" ref="B354"/>
    <hyperlink r:id="rId338" ref="B355"/>
    <hyperlink r:id="rId339" ref="B356"/>
    <hyperlink r:id="rId340" ref="B357"/>
    <hyperlink r:id="rId341" ref="B358"/>
    <hyperlink r:id="rId342" ref="B359"/>
    <hyperlink r:id="rId343" ref="B360"/>
    <hyperlink r:id="rId344" ref="B361"/>
    <hyperlink r:id="rId345" ref="B362"/>
    <hyperlink r:id="rId346" ref="B363"/>
    <hyperlink r:id="rId347" ref="B364"/>
    <hyperlink r:id="rId348" ref="B365"/>
    <hyperlink r:id="rId349" ref="B366"/>
    <hyperlink r:id="rId350" ref="B367"/>
    <hyperlink r:id="rId351" ref="B368"/>
    <hyperlink r:id="rId352" ref="B369"/>
    <hyperlink r:id="rId353" ref="B370"/>
    <hyperlink r:id="rId354" ref="B371"/>
    <hyperlink r:id="rId355" ref="B372"/>
    <hyperlink r:id="rId356" ref="B373"/>
    <hyperlink r:id="rId357" ref="B374"/>
    <hyperlink r:id="rId358" ref="B375"/>
    <hyperlink r:id="rId359" ref="B376"/>
    <hyperlink r:id="rId360" ref="B377"/>
    <hyperlink r:id="rId361" ref="B378"/>
    <hyperlink r:id="rId362" ref="B379"/>
    <hyperlink r:id="rId363" ref="B380"/>
    <hyperlink r:id="rId364" ref="B381"/>
    <hyperlink r:id="rId365" ref="B382"/>
    <hyperlink r:id="rId366" ref="B383"/>
    <hyperlink r:id="rId367" ref="B385"/>
    <hyperlink r:id="rId368" ref="B386"/>
    <hyperlink r:id="rId369" ref="B387"/>
    <hyperlink r:id="rId370" ref="B388"/>
    <hyperlink r:id="rId371" ref="B389"/>
    <hyperlink r:id="rId372" ref="B390"/>
    <hyperlink r:id="rId373" ref="B391"/>
    <hyperlink r:id="rId374" ref="B392"/>
    <hyperlink r:id="rId375" ref="B393"/>
    <hyperlink r:id="rId376" ref="B394"/>
    <hyperlink r:id="rId377" ref="B395"/>
    <hyperlink r:id="rId378" ref="B396"/>
    <hyperlink r:id="rId379" ref="B397"/>
    <hyperlink r:id="rId380" ref="B398"/>
    <hyperlink r:id="rId381" ref="B399"/>
    <hyperlink r:id="rId382" ref="B400"/>
    <hyperlink r:id="rId383" ref="B401"/>
    <hyperlink r:id="rId384" ref="B402"/>
    <hyperlink r:id="rId385" ref="B403"/>
    <hyperlink r:id="rId386" ref="B404"/>
    <hyperlink r:id="rId387" ref="B405"/>
    <hyperlink r:id="rId388" ref="B406"/>
    <hyperlink r:id="rId389" ref="B407"/>
    <hyperlink r:id="rId390" ref="B408"/>
    <hyperlink r:id="rId391" ref="B409"/>
    <hyperlink r:id="rId392" ref="B410"/>
    <hyperlink r:id="rId393" ref="B411"/>
    <hyperlink r:id="rId394" ref="B412"/>
    <hyperlink r:id="rId395" ref="B413"/>
    <hyperlink r:id="rId396" ref="B414"/>
    <hyperlink r:id="rId397" ref="B415"/>
    <hyperlink r:id="rId398" ref="B416"/>
    <hyperlink r:id="rId399" ref="B417"/>
    <hyperlink r:id="rId400" ref="B418"/>
    <hyperlink r:id="rId401" ref="B419"/>
    <hyperlink r:id="rId402" ref="B420"/>
    <hyperlink r:id="rId403" ref="B421"/>
    <hyperlink r:id="rId404" ref="B422"/>
    <hyperlink r:id="rId405" ref="B423"/>
    <hyperlink r:id="rId406" ref="B424"/>
    <hyperlink r:id="rId407" ref="B425"/>
    <hyperlink r:id="rId408" ref="B426"/>
    <hyperlink r:id="rId409" ref="B427"/>
    <hyperlink r:id="rId410" ref="B428"/>
    <hyperlink r:id="rId411" ref="B429"/>
    <hyperlink r:id="rId412" ref="B430"/>
    <hyperlink r:id="rId413" ref="B431"/>
    <hyperlink r:id="rId414" ref="B432"/>
    <hyperlink r:id="rId415" ref="B433"/>
    <hyperlink r:id="rId416" ref="B434"/>
    <hyperlink r:id="rId417" ref="B435"/>
    <hyperlink r:id="rId418" ref="B436"/>
    <hyperlink r:id="rId419" ref="B437"/>
    <hyperlink r:id="rId420" ref="B438"/>
    <hyperlink r:id="rId421" ref="B439"/>
    <hyperlink r:id="rId422" ref="B440"/>
    <hyperlink r:id="rId423" ref="B441"/>
    <hyperlink r:id="rId424" ref="B442"/>
    <hyperlink r:id="rId425" ref="B443"/>
    <hyperlink r:id="rId426" ref="B444"/>
    <hyperlink r:id="rId427" ref="B445"/>
    <hyperlink r:id="rId428" ref="B446"/>
    <hyperlink r:id="rId429" ref="B447"/>
    <hyperlink r:id="rId430" ref="B448"/>
    <hyperlink r:id="rId431" ref="B449"/>
    <hyperlink r:id="rId432" ref="B450"/>
    <hyperlink r:id="rId433" ref="B451"/>
    <hyperlink r:id="rId434" ref="B452"/>
    <hyperlink r:id="rId435" ref="B453"/>
    <hyperlink r:id="rId436" ref="B454"/>
    <hyperlink r:id="rId437" ref="B455"/>
    <hyperlink r:id="rId438" ref="B456"/>
    <hyperlink r:id="rId439" ref="B457"/>
    <hyperlink r:id="rId440" ref="B458"/>
    <hyperlink r:id="rId441" ref="B459"/>
    <hyperlink r:id="rId442" ref="B460"/>
    <hyperlink r:id="rId443" ref="B461"/>
    <hyperlink r:id="rId444" ref="B462"/>
    <hyperlink r:id="rId445" ref="B463"/>
    <hyperlink r:id="rId446" ref="B464"/>
    <hyperlink r:id="rId447" ref="B465"/>
    <hyperlink r:id="rId448" ref="B466"/>
    <hyperlink r:id="rId449" ref="B467"/>
    <hyperlink r:id="rId450" ref="B468"/>
    <hyperlink r:id="rId451" ref="B469"/>
    <hyperlink r:id="rId452" ref="B470"/>
    <hyperlink r:id="rId453" ref="B472"/>
    <hyperlink r:id="rId454" ref="B473"/>
    <hyperlink r:id="rId455" ref="B474"/>
    <hyperlink r:id="rId456" ref="B475"/>
    <hyperlink r:id="rId457" ref="B476"/>
    <hyperlink r:id="rId458" ref="B477"/>
    <hyperlink r:id="rId459" ref="B478"/>
    <hyperlink r:id="rId460" ref="B479"/>
    <hyperlink r:id="rId461" ref="B480"/>
    <hyperlink r:id="rId462" ref="B481"/>
    <hyperlink r:id="rId463" ref="B482"/>
    <hyperlink r:id="rId464" ref="B483"/>
    <hyperlink r:id="rId465" ref="B484"/>
    <hyperlink r:id="rId466" ref="B485"/>
    <hyperlink r:id="rId467" ref="B486"/>
    <hyperlink r:id="rId468" ref="B487"/>
    <hyperlink r:id="rId469" ref="B488"/>
    <hyperlink r:id="rId470" ref="B489"/>
    <hyperlink r:id="rId471" ref="B490"/>
    <hyperlink r:id="rId472" ref="B491"/>
    <hyperlink r:id="rId473" ref="B492"/>
    <hyperlink r:id="rId474" ref="B493"/>
    <hyperlink r:id="rId475" ref="B494"/>
    <hyperlink r:id="rId476" ref="B495"/>
    <hyperlink r:id="rId477" ref="B496"/>
    <hyperlink r:id="rId478" ref="B497"/>
    <hyperlink r:id="rId479" ref="B498"/>
    <hyperlink r:id="rId480" ref="B499"/>
    <hyperlink r:id="rId481" ref="B500"/>
    <hyperlink r:id="rId482" ref="B501"/>
    <hyperlink r:id="rId483" ref="B502"/>
    <hyperlink r:id="rId484" ref="B503"/>
    <hyperlink r:id="rId485" ref="B504"/>
    <hyperlink r:id="rId486" ref="B505"/>
    <hyperlink r:id="rId487" ref="B506"/>
    <hyperlink r:id="rId488" ref="B507"/>
    <hyperlink r:id="rId489" ref="B508"/>
    <hyperlink r:id="rId490" ref="B509"/>
    <hyperlink r:id="rId491" ref="B510"/>
    <hyperlink r:id="rId492" ref="B511"/>
    <hyperlink r:id="rId493" ref="B512"/>
    <hyperlink r:id="rId494" ref="B513"/>
    <hyperlink r:id="rId495" ref="B514"/>
    <hyperlink r:id="rId496" ref="B515"/>
    <hyperlink r:id="rId497" ref="B516"/>
    <hyperlink r:id="rId498" ref="B517"/>
    <hyperlink r:id="rId499" ref="B518"/>
    <hyperlink r:id="rId500" ref="B519"/>
    <hyperlink r:id="rId501" ref="B520"/>
    <hyperlink r:id="rId502" ref="B521"/>
    <hyperlink r:id="rId503" ref="B522"/>
    <hyperlink r:id="rId504" ref="B523"/>
    <hyperlink r:id="rId505" ref="B524"/>
    <hyperlink r:id="rId506" ref="B525"/>
    <hyperlink r:id="rId507" ref="B526"/>
    <hyperlink r:id="rId508" ref="B527"/>
    <hyperlink r:id="rId509" ref="B528"/>
    <hyperlink r:id="rId510" ref="B529"/>
    <hyperlink r:id="rId511" ref="B530"/>
    <hyperlink r:id="rId512" ref="B531"/>
    <hyperlink r:id="rId513" ref="B532"/>
    <hyperlink r:id="rId514" ref="B533"/>
    <hyperlink r:id="rId515" ref="B534"/>
    <hyperlink r:id="rId516" ref="B535"/>
    <hyperlink r:id="rId517" ref="B536"/>
    <hyperlink r:id="rId518" ref="B537"/>
    <hyperlink r:id="rId519" ref="B538"/>
    <hyperlink r:id="rId520" ref="B539"/>
    <hyperlink r:id="rId521" ref="B540"/>
    <hyperlink r:id="rId522" ref="B541"/>
    <hyperlink r:id="rId523" ref="B542"/>
    <hyperlink r:id="rId524" ref="B543"/>
    <hyperlink r:id="rId525" ref="B544"/>
    <hyperlink r:id="rId526" ref="B545"/>
    <hyperlink r:id="rId527" ref="B546"/>
    <hyperlink r:id="rId528" ref="B547"/>
    <hyperlink r:id="rId529" ref="B548"/>
    <hyperlink r:id="rId530" ref="B549"/>
    <hyperlink r:id="rId531" ref="B550"/>
    <hyperlink r:id="rId532" ref="B551"/>
    <hyperlink r:id="rId533" ref="B552"/>
    <hyperlink r:id="rId534" ref="B553"/>
    <hyperlink r:id="rId535" ref="B554"/>
    <hyperlink r:id="rId536" ref="B555"/>
    <hyperlink r:id="rId537" ref="B556"/>
    <hyperlink r:id="rId538" ref="B557"/>
    <hyperlink r:id="rId539" ref="B558"/>
    <hyperlink r:id="rId540" ref="B559"/>
    <hyperlink r:id="rId541" ref="B560"/>
  </hyperlinks>
  <drawing r:id="rId5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>
        <v>1.0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>
        <v>1.2</v>
      </c>
    </row>
    <row r="11">
      <c r="A11" s="1" t="s">
        <v>2</v>
      </c>
    </row>
    <row r="12">
      <c r="A12" s="3">
        <v>21.0</v>
      </c>
    </row>
    <row r="13">
      <c r="A13" s="1" t="s">
        <v>10</v>
      </c>
    </row>
    <row r="14">
      <c r="A14" s="1" t="s">
        <v>11</v>
      </c>
    </row>
    <row r="15">
      <c r="A15" s="1" t="s">
        <v>3</v>
      </c>
    </row>
    <row r="16">
      <c r="A16" s="1">
        <v>2.0</v>
      </c>
    </row>
    <row r="17">
      <c r="A17" s="1" t="s">
        <v>4</v>
      </c>
    </row>
    <row r="18">
      <c r="A18" s="1" t="s">
        <v>12</v>
      </c>
    </row>
    <row r="19">
      <c r="A19" s="1" t="s">
        <v>13</v>
      </c>
    </row>
    <row r="20">
      <c r="A20" s="1" t="s">
        <v>14</v>
      </c>
    </row>
    <row r="21">
      <c r="A21" s="1" t="s">
        <v>15</v>
      </c>
    </row>
    <row r="22">
      <c r="A22" s="1">
        <v>3.5</v>
      </c>
    </row>
    <row r="23">
      <c r="A23" s="1" t="s">
        <v>2</v>
      </c>
    </row>
    <row r="24">
      <c r="A24" s="3">
        <v>3.0</v>
      </c>
    </row>
    <row r="25">
      <c r="A25" s="1" t="s">
        <v>10</v>
      </c>
    </row>
    <row r="26">
      <c r="A26" s="1" t="s">
        <v>11</v>
      </c>
    </row>
    <row r="27">
      <c r="A27" s="1" t="s">
        <v>3</v>
      </c>
    </row>
    <row r="28">
      <c r="A28" s="1">
        <v>3.0</v>
      </c>
    </row>
    <row r="29">
      <c r="A29" s="1" t="s">
        <v>4</v>
      </c>
    </row>
    <row r="30">
      <c r="A30" s="1" t="s">
        <v>16</v>
      </c>
    </row>
    <row r="31">
      <c r="A31" s="1" t="s">
        <v>17</v>
      </c>
    </row>
    <row r="32">
      <c r="A32" s="1" t="s">
        <v>18</v>
      </c>
    </row>
    <row r="33">
      <c r="A33" s="1" t="s">
        <v>19</v>
      </c>
    </row>
    <row r="34">
      <c r="A34" s="1">
        <v>25.3</v>
      </c>
    </row>
    <row r="35">
      <c r="A35" s="1" t="s">
        <v>2</v>
      </c>
    </row>
    <row r="36">
      <c r="A36" s="3">
        <v>14.0</v>
      </c>
    </row>
    <row r="37">
      <c r="A37" s="1" t="s">
        <v>10</v>
      </c>
    </row>
    <row r="38">
      <c r="A38" s="1" t="s">
        <v>11</v>
      </c>
    </row>
    <row r="39">
      <c r="A39" s="1" t="s">
        <v>3</v>
      </c>
    </row>
    <row r="40">
      <c r="A40" s="1">
        <v>4.0</v>
      </c>
    </row>
    <row r="41">
      <c r="A41" s="1" t="s">
        <v>4</v>
      </c>
    </row>
    <row r="42">
      <c r="A42" s="1" t="s">
        <v>21</v>
      </c>
    </row>
    <row r="43">
      <c r="A43" s="1" t="s">
        <v>22</v>
      </c>
    </row>
    <row r="44">
      <c r="A44" s="1" t="s">
        <v>23</v>
      </c>
    </row>
    <row r="45">
      <c r="A45" s="1" t="s">
        <v>24</v>
      </c>
    </row>
    <row r="46">
      <c r="A46" s="1">
        <v>11.1</v>
      </c>
    </row>
    <row r="47">
      <c r="A47" s="1" t="s">
        <v>2</v>
      </c>
    </row>
    <row r="48">
      <c r="A48" s="3">
        <v>21.0</v>
      </c>
    </row>
    <row r="49">
      <c r="A49" s="1" t="s">
        <v>10</v>
      </c>
    </row>
    <row r="50">
      <c r="A50" s="1" t="s">
        <v>11</v>
      </c>
    </row>
    <row r="51">
      <c r="A51" s="1" t="s">
        <v>3</v>
      </c>
    </row>
    <row r="52">
      <c r="A52" s="1">
        <v>5.0</v>
      </c>
    </row>
    <row r="53">
      <c r="A53" s="1" t="s">
        <v>4</v>
      </c>
    </row>
    <row r="54">
      <c r="A54" s="1" t="s">
        <v>25</v>
      </c>
    </row>
    <row r="55">
      <c r="A55" s="1" t="s">
        <v>26</v>
      </c>
    </row>
    <row r="56">
      <c r="A56" s="1" t="s">
        <v>27</v>
      </c>
    </row>
    <row r="57">
      <c r="A57" s="1" t="s">
        <v>8</v>
      </c>
    </row>
    <row r="58">
      <c r="A58" s="1">
        <v>8.0</v>
      </c>
    </row>
    <row r="59">
      <c r="A59" s="1" t="s">
        <v>2</v>
      </c>
    </row>
    <row r="60">
      <c r="A60" s="3">
        <v>16.0</v>
      </c>
    </row>
    <row r="61">
      <c r="A61" s="1" t="s">
        <v>10</v>
      </c>
    </row>
    <row r="62">
      <c r="A62" s="1" t="s">
        <v>11</v>
      </c>
    </row>
    <row r="63">
      <c r="A63" s="1" t="s">
        <v>3</v>
      </c>
    </row>
    <row r="64">
      <c r="A64" s="1">
        <v>6.0</v>
      </c>
    </row>
    <row r="65">
      <c r="A65" s="1" t="s">
        <v>4</v>
      </c>
    </row>
    <row r="66">
      <c r="A66" s="1" t="s">
        <v>29</v>
      </c>
    </row>
    <row r="67">
      <c r="A67" s="1" t="s">
        <v>31</v>
      </c>
    </row>
    <row r="68">
      <c r="A68" s="1" t="s">
        <v>32</v>
      </c>
    </row>
    <row r="69">
      <c r="A69" s="1" t="s">
        <v>33</v>
      </c>
    </row>
    <row r="70">
      <c r="A70" s="1">
        <v>10.4</v>
      </c>
    </row>
    <row r="71">
      <c r="A71" s="1" t="s">
        <v>2</v>
      </c>
    </row>
    <row r="72">
      <c r="A72" s="3">
        <v>18.0</v>
      </c>
    </row>
    <row r="73">
      <c r="A73" s="1" t="s">
        <v>10</v>
      </c>
    </row>
    <row r="74">
      <c r="A74" s="1" t="s">
        <v>11</v>
      </c>
    </row>
    <row r="75">
      <c r="A75" s="1" t="s">
        <v>3</v>
      </c>
    </row>
    <row r="76">
      <c r="A76" s="1">
        <v>7.0</v>
      </c>
    </row>
    <row r="77">
      <c r="A77" s="1" t="s">
        <v>4</v>
      </c>
    </row>
    <row r="78">
      <c r="A78" s="1" t="s">
        <v>34</v>
      </c>
    </row>
    <row r="79">
      <c r="A79" s="1" t="s">
        <v>35</v>
      </c>
    </row>
    <row r="80">
      <c r="A80" s="1" t="s">
        <v>36</v>
      </c>
    </row>
    <row r="81">
      <c r="A81" s="1" t="s">
        <v>33</v>
      </c>
    </row>
    <row r="82">
      <c r="A82" s="1">
        <v>4.5</v>
      </c>
    </row>
    <row r="83">
      <c r="A83" s="1" t="s">
        <v>2</v>
      </c>
    </row>
    <row r="84">
      <c r="A84" s="3">
        <v>51.0</v>
      </c>
    </row>
    <row r="85">
      <c r="A85" s="1" t="s">
        <v>10</v>
      </c>
    </row>
    <row r="86">
      <c r="A86" s="1" t="s">
        <v>11</v>
      </c>
    </row>
    <row r="87">
      <c r="A87" s="1" t="s">
        <v>3</v>
      </c>
    </row>
    <row r="88">
      <c r="A88" s="1">
        <v>8.0</v>
      </c>
    </row>
    <row r="89">
      <c r="A89" s="1" t="s">
        <v>4</v>
      </c>
    </row>
    <row r="90">
      <c r="A90" s="1" t="s">
        <v>37</v>
      </c>
    </row>
    <row r="91">
      <c r="A91" s="1" t="s">
        <v>38</v>
      </c>
    </row>
    <row r="92">
      <c r="A92" s="1" t="s">
        <v>39</v>
      </c>
    </row>
    <row r="93">
      <c r="A93" s="1" t="s">
        <v>15</v>
      </c>
    </row>
    <row r="94">
      <c r="A94" s="1">
        <v>2.4</v>
      </c>
    </row>
    <row r="95">
      <c r="A95" s="1" t="s">
        <v>2</v>
      </c>
    </row>
    <row r="96">
      <c r="A96" s="3">
        <v>54.0</v>
      </c>
    </row>
    <row r="97">
      <c r="A97" s="1" t="s">
        <v>10</v>
      </c>
    </row>
    <row r="98">
      <c r="A98" s="1" t="s">
        <v>11</v>
      </c>
    </row>
    <row r="99">
      <c r="A99" s="1" t="s">
        <v>3</v>
      </c>
    </row>
    <row r="100">
      <c r="A100" s="1">
        <v>9.0</v>
      </c>
    </row>
    <row r="101">
      <c r="A101" s="1" t="s">
        <v>4</v>
      </c>
    </row>
    <row r="102">
      <c r="A102" s="1" t="s">
        <v>40</v>
      </c>
    </row>
    <row r="103">
      <c r="A103" s="1" t="s">
        <v>41</v>
      </c>
    </row>
    <row r="104">
      <c r="A104" s="1" t="s">
        <v>42</v>
      </c>
    </row>
    <row r="105">
      <c r="A105" s="1" t="s">
        <v>15</v>
      </c>
    </row>
    <row r="106">
      <c r="A106" s="1">
        <v>6.4</v>
      </c>
    </row>
    <row r="107">
      <c r="A107" s="1" t="s">
        <v>2</v>
      </c>
    </row>
    <row r="108">
      <c r="A108" s="3">
        <v>40.0</v>
      </c>
    </row>
    <row r="109">
      <c r="A109" s="1" t="s">
        <v>10</v>
      </c>
    </row>
    <row r="110">
      <c r="A110" s="1" t="s">
        <v>11</v>
      </c>
    </row>
    <row r="111">
      <c r="A111" s="1" t="s">
        <v>3</v>
      </c>
    </row>
    <row r="112">
      <c r="A112" s="1">
        <v>10.0</v>
      </c>
    </row>
    <row r="113">
      <c r="A113" s="1" t="s">
        <v>4</v>
      </c>
    </row>
    <row r="114">
      <c r="A114" s="1" t="s">
        <v>46</v>
      </c>
    </row>
    <row r="115">
      <c r="A115" s="1" t="s">
        <v>31</v>
      </c>
    </row>
    <row r="116">
      <c r="A116" s="1" t="s">
        <v>48</v>
      </c>
    </row>
    <row r="117">
      <c r="A117" s="1" t="s">
        <v>33</v>
      </c>
    </row>
    <row r="118">
      <c r="A118" s="1">
        <v>5.2</v>
      </c>
    </row>
    <row r="119">
      <c r="A119" s="1" t="s">
        <v>2</v>
      </c>
    </row>
    <row r="120">
      <c r="A120" s="3">
        <v>59.0</v>
      </c>
    </row>
    <row r="121">
      <c r="A121" s="1" t="s">
        <v>10</v>
      </c>
    </row>
    <row r="122">
      <c r="A122" s="1" t="s">
        <v>11</v>
      </c>
    </row>
    <row r="123">
      <c r="A123" s="1" t="s">
        <v>3</v>
      </c>
    </row>
    <row r="124">
      <c r="A124" s="1">
        <v>11.0</v>
      </c>
    </row>
    <row r="125">
      <c r="A125" s="1" t="s">
        <v>4</v>
      </c>
    </row>
    <row r="126">
      <c r="A126" s="1" t="s">
        <v>50</v>
      </c>
    </row>
    <row r="127">
      <c r="A127" s="1" t="s">
        <v>51</v>
      </c>
    </row>
    <row r="128">
      <c r="A128" s="1" t="s">
        <v>52</v>
      </c>
    </row>
    <row r="129">
      <c r="A129" s="1" t="s">
        <v>15</v>
      </c>
    </row>
    <row r="130">
      <c r="A130" s="1">
        <v>7.2</v>
      </c>
    </row>
    <row r="131">
      <c r="A131" s="1" t="s">
        <v>2</v>
      </c>
    </row>
    <row r="132">
      <c r="A132" s="3">
        <v>30.0</v>
      </c>
    </row>
    <row r="133">
      <c r="A133" s="1" t="s">
        <v>10</v>
      </c>
    </row>
    <row r="134">
      <c r="A134" s="1" t="s">
        <v>11</v>
      </c>
    </row>
    <row r="135">
      <c r="A135" s="1" t="s">
        <v>3</v>
      </c>
    </row>
    <row r="136">
      <c r="A136" s="1">
        <v>12.0</v>
      </c>
    </row>
    <row r="137">
      <c r="A137" s="1" t="s">
        <v>4</v>
      </c>
    </row>
    <row r="138">
      <c r="A138" s="1" t="s">
        <v>53</v>
      </c>
    </row>
    <row r="139">
      <c r="A139" s="1" t="s">
        <v>54</v>
      </c>
    </row>
    <row r="140">
      <c r="A140" s="1" t="s">
        <v>55</v>
      </c>
    </row>
    <row r="141">
      <c r="A141" s="1" t="s">
        <v>8</v>
      </c>
    </row>
    <row r="142">
      <c r="A142" s="1">
        <v>24.9</v>
      </c>
    </row>
    <row r="143">
      <c r="A143" s="1" t="s">
        <v>2</v>
      </c>
    </row>
    <row r="144">
      <c r="A144" s="3">
        <v>2.0</v>
      </c>
    </row>
    <row r="145">
      <c r="A145" s="1" t="s">
        <v>10</v>
      </c>
    </row>
    <row r="146">
      <c r="A146" s="1" t="s">
        <v>11</v>
      </c>
    </row>
    <row r="147">
      <c r="A147" s="1" t="s">
        <v>3</v>
      </c>
    </row>
    <row r="148">
      <c r="A148" s="1">
        <v>13.0</v>
      </c>
    </row>
    <row r="149">
      <c r="A149" s="1" t="s">
        <v>4</v>
      </c>
    </row>
    <row r="150">
      <c r="A150" s="1" t="s">
        <v>56</v>
      </c>
    </row>
    <row r="151">
      <c r="A151" s="1" t="s">
        <v>57</v>
      </c>
    </row>
    <row r="152">
      <c r="A152" s="1" t="s">
        <v>58</v>
      </c>
    </row>
    <row r="153">
      <c r="A153" s="1" t="s">
        <v>8</v>
      </c>
    </row>
    <row r="154">
      <c r="A154" s="1">
        <v>32.0</v>
      </c>
    </row>
    <row r="155">
      <c r="A155" s="1" t="s">
        <v>2</v>
      </c>
    </row>
    <row r="156">
      <c r="A156" s="3">
        <v>3.0</v>
      </c>
    </row>
    <row r="157">
      <c r="A157" s="1" t="s">
        <v>10</v>
      </c>
    </row>
    <row r="158">
      <c r="A158" s="1" t="s">
        <v>11</v>
      </c>
    </row>
    <row r="159">
      <c r="A159" s="1" t="s">
        <v>3</v>
      </c>
    </row>
    <row r="160">
      <c r="A160" s="1">
        <v>14.0</v>
      </c>
    </row>
    <row r="161">
      <c r="A161" s="1" t="s">
        <v>4</v>
      </c>
    </row>
    <row r="162">
      <c r="A162" s="1" t="s">
        <v>62</v>
      </c>
    </row>
    <row r="163">
      <c r="A163" s="1" t="s">
        <v>63</v>
      </c>
    </row>
    <row r="164">
      <c r="A164" s="1" t="s">
        <v>64</v>
      </c>
    </row>
    <row r="165">
      <c r="A165" s="1" t="s">
        <v>65</v>
      </c>
    </row>
    <row r="166">
      <c r="A166" s="1">
        <v>9.7</v>
      </c>
    </row>
    <row r="167">
      <c r="A167" s="1" t="s">
        <v>2</v>
      </c>
    </row>
    <row r="168">
      <c r="A168" s="3">
        <v>44.0</v>
      </c>
    </row>
    <row r="169">
      <c r="A169" s="1" t="s">
        <v>10</v>
      </c>
    </row>
    <row r="170">
      <c r="A170" s="1" t="s">
        <v>11</v>
      </c>
    </row>
    <row r="171">
      <c r="A171" s="1" t="s">
        <v>3</v>
      </c>
    </row>
    <row r="172">
      <c r="A172" s="1">
        <v>15.0</v>
      </c>
    </row>
    <row r="173">
      <c r="A173" s="1" t="s">
        <v>4</v>
      </c>
    </row>
    <row r="174">
      <c r="A174" s="1" t="s">
        <v>66</v>
      </c>
    </row>
    <row r="175">
      <c r="A175" s="1" t="s">
        <v>67</v>
      </c>
    </row>
    <row r="176">
      <c r="A176" s="1" t="s">
        <v>68</v>
      </c>
    </row>
    <row r="177">
      <c r="A177" s="1" t="s">
        <v>24</v>
      </c>
    </row>
    <row r="178">
      <c r="A178" s="1">
        <v>12.5</v>
      </c>
    </row>
    <row r="179">
      <c r="A179" s="1" t="s">
        <v>2</v>
      </c>
    </row>
    <row r="180">
      <c r="A180" s="3">
        <v>33.0</v>
      </c>
    </row>
    <row r="181">
      <c r="A181" s="1" t="s">
        <v>10</v>
      </c>
    </row>
    <row r="182">
      <c r="A182" s="1" t="s">
        <v>11</v>
      </c>
    </row>
    <row r="183">
      <c r="A183" s="1" t="s">
        <v>3</v>
      </c>
    </row>
    <row r="184">
      <c r="A184" s="1">
        <v>16.0</v>
      </c>
    </row>
    <row r="185">
      <c r="A185" s="1" t="s">
        <v>4</v>
      </c>
    </row>
    <row r="186">
      <c r="A186" s="1" t="s">
        <v>71</v>
      </c>
    </row>
    <row r="187">
      <c r="A187" s="1" t="s">
        <v>63</v>
      </c>
    </row>
    <row r="188">
      <c r="A188" s="1" t="s">
        <v>72</v>
      </c>
    </row>
    <row r="189">
      <c r="A189" s="1" t="s">
        <v>65</v>
      </c>
    </row>
    <row r="190">
      <c r="A190" s="1">
        <v>36.2</v>
      </c>
    </row>
    <row r="191">
      <c r="A191" s="1" t="s">
        <v>2</v>
      </c>
    </row>
    <row r="192">
      <c r="A192" s="3">
        <v>3.0</v>
      </c>
    </row>
    <row r="193">
      <c r="A193" s="1" t="s">
        <v>10</v>
      </c>
    </row>
    <row r="194">
      <c r="A194" s="1" t="s">
        <v>11</v>
      </c>
    </row>
    <row r="195">
      <c r="A195" s="1" t="s">
        <v>3</v>
      </c>
    </row>
    <row r="196">
      <c r="A196" s="1">
        <v>17.0</v>
      </c>
    </row>
    <row r="197">
      <c r="A197" s="1" t="s">
        <v>4</v>
      </c>
    </row>
    <row r="198">
      <c r="A198" s="1" t="s">
        <v>73</v>
      </c>
    </row>
    <row r="199">
      <c r="A199" s="1" t="s">
        <v>74</v>
      </c>
    </row>
    <row r="200">
      <c r="A200" s="1" t="s">
        <v>75</v>
      </c>
    </row>
    <row r="201">
      <c r="A201" s="1" t="s">
        <v>33</v>
      </c>
    </row>
    <row r="202">
      <c r="A202" s="1">
        <v>17.6</v>
      </c>
    </row>
    <row r="203">
      <c r="A203" s="1" t="s">
        <v>2</v>
      </c>
    </row>
    <row r="204">
      <c r="A204" s="3">
        <v>49.0</v>
      </c>
    </row>
    <row r="205">
      <c r="A205" s="1" t="s">
        <v>10</v>
      </c>
    </row>
    <row r="206">
      <c r="A206" s="1" t="s">
        <v>11</v>
      </c>
    </row>
    <row r="207">
      <c r="A207" s="1" t="s">
        <v>3</v>
      </c>
    </row>
    <row r="208">
      <c r="A208" s="1">
        <v>18.0</v>
      </c>
    </row>
    <row r="209">
      <c r="A209" s="1" t="s">
        <v>4</v>
      </c>
    </row>
    <row r="210">
      <c r="A210" s="1" t="s">
        <v>76</v>
      </c>
    </row>
    <row r="211">
      <c r="A211" s="1" t="s">
        <v>77</v>
      </c>
    </row>
    <row r="212">
      <c r="A212" s="1" t="s">
        <v>78</v>
      </c>
    </row>
    <row r="213">
      <c r="A213" s="1" t="s">
        <v>19</v>
      </c>
    </row>
    <row r="214">
      <c r="A214" s="1">
        <v>14.2</v>
      </c>
    </row>
    <row r="215">
      <c r="A215" s="1" t="s">
        <v>2</v>
      </c>
    </row>
    <row r="216">
      <c r="A216" s="3">
        <v>3.0</v>
      </c>
    </row>
    <row r="217">
      <c r="A217" s="1" t="s">
        <v>10</v>
      </c>
    </row>
    <row r="218">
      <c r="A218" s="1" t="s">
        <v>11</v>
      </c>
    </row>
    <row r="219">
      <c r="A219" s="1" t="s">
        <v>3</v>
      </c>
    </row>
    <row r="220">
      <c r="A220" s="1">
        <v>19.0</v>
      </c>
    </row>
    <row r="221">
      <c r="A221" s="1" t="s">
        <v>4</v>
      </c>
    </row>
    <row r="222">
      <c r="A222" s="1" t="s">
        <v>80</v>
      </c>
    </row>
    <row r="223">
      <c r="A223" s="1" t="s">
        <v>35</v>
      </c>
    </row>
    <row r="224">
      <c r="A224" s="1" t="s">
        <v>81</v>
      </c>
    </row>
    <row r="225">
      <c r="A225" s="1" t="s">
        <v>33</v>
      </c>
    </row>
    <row r="226">
      <c r="A226" s="1">
        <v>16.3</v>
      </c>
    </row>
    <row r="227">
      <c r="A227" s="1" t="s">
        <v>2</v>
      </c>
    </row>
    <row r="228">
      <c r="A228" s="3">
        <v>43.0</v>
      </c>
    </row>
    <row r="229">
      <c r="A229" s="1" t="s">
        <v>10</v>
      </c>
    </row>
    <row r="230">
      <c r="A230" s="1" t="s">
        <v>11</v>
      </c>
    </row>
    <row r="231">
      <c r="A231" s="1" t="s">
        <v>3</v>
      </c>
    </row>
    <row r="232">
      <c r="A232" s="1">
        <v>20.0</v>
      </c>
    </row>
    <row r="233">
      <c r="A233" s="1" t="s">
        <v>4</v>
      </c>
    </row>
    <row r="234">
      <c r="A234" s="1" t="s">
        <v>82</v>
      </c>
    </row>
    <row r="235">
      <c r="A235" s="1" t="s">
        <v>83</v>
      </c>
    </row>
    <row r="236">
      <c r="A236" s="1" t="s">
        <v>84</v>
      </c>
    </row>
    <row r="237">
      <c r="A237" s="1" t="s">
        <v>85</v>
      </c>
    </row>
    <row r="238">
      <c r="A238" s="1">
        <v>15.6</v>
      </c>
    </row>
    <row r="239">
      <c r="A239" s="1" t="s">
        <v>2</v>
      </c>
    </row>
    <row r="240">
      <c r="A240" s="3">
        <v>51.0</v>
      </c>
    </row>
    <row r="241">
      <c r="A241" s="1" t="s">
        <v>10</v>
      </c>
    </row>
    <row r="242">
      <c r="A242" s="1" t="s">
        <v>11</v>
      </c>
    </row>
    <row r="243">
      <c r="A243" s="1" t="s">
        <v>3</v>
      </c>
    </row>
    <row r="244">
      <c r="A244" s="1">
        <v>21.0</v>
      </c>
    </row>
    <row r="245">
      <c r="A245" s="1" t="s">
        <v>4</v>
      </c>
    </row>
    <row r="246">
      <c r="A246" s="1" t="s">
        <v>86</v>
      </c>
    </row>
    <row r="247">
      <c r="A247" s="1" t="s">
        <v>83</v>
      </c>
    </row>
    <row r="248">
      <c r="A248" s="1" t="s">
        <v>87</v>
      </c>
    </row>
    <row r="249">
      <c r="A249" s="1" t="s">
        <v>85</v>
      </c>
    </row>
    <row r="250">
      <c r="A250" s="1">
        <v>44.1</v>
      </c>
    </row>
    <row r="251">
      <c r="A251" s="1" t="s">
        <v>2</v>
      </c>
    </row>
    <row r="252">
      <c r="A252" s="3">
        <v>7.0</v>
      </c>
    </row>
    <row r="253">
      <c r="A253" s="1" t="s">
        <v>10</v>
      </c>
    </row>
    <row r="254">
      <c r="A254" s="1" t="s">
        <v>11</v>
      </c>
    </row>
    <row r="255">
      <c r="A255" s="1" t="s">
        <v>3</v>
      </c>
    </row>
    <row r="256">
      <c r="A256" s="1">
        <v>22.0</v>
      </c>
    </row>
    <row r="257">
      <c r="A257" s="1" t="s">
        <v>4</v>
      </c>
    </row>
    <row r="258">
      <c r="A258" s="1" t="s">
        <v>88</v>
      </c>
    </row>
    <row r="259">
      <c r="A259" s="1" t="s">
        <v>89</v>
      </c>
    </row>
    <row r="260">
      <c r="A260" s="1" t="s">
        <v>90</v>
      </c>
    </row>
    <row r="261">
      <c r="A261" s="1" t="s">
        <v>33</v>
      </c>
    </row>
    <row r="262">
      <c r="A262" s="1">
        <v>21.2</v>
      </c>
    </row>
    <row r="263">
      <c r="A263" s="1" t="s">
        <v>2</v>
      </c>
    </row>
    <row r="264">
      <c r="A264" s="3">
        <v>36.0</v>
      </c>
    </row>
    <row r="265">
      <c r="A265" s="1" t="s">
        <v>10</v>
      </c>
    </row>
    <row r="266">
      <c r="A266" s="1" t="s">
        <v>11</v>
      </c>
    </row>
    <row r="267">
      <c r="A267" s="1" t="s">
        <v>3</v>
      </c>
    </row>
    <row r="268">
      <c r="A268" s="1">
        <v>23.0</v>
      </c>
    </row>
    <row r="269">
      <c r="A269" s="1" t="s">
        <v>4</v>
      </c>
    </row>
    <row r="270">
      <c r="A270" s="1" t="s">
        <v>92</v>
      </c>
    </row>
    <row r="271">
      <c r="A271" s="1" t="s">
        <v>6</v>
      </c>
    </row>
    <row r="272">
      <c r="A272" s="1" t="s">
        <v>93</v>
      </c>
    </row>
    <row r="273">
      <c r="A273" s="1" t="s">
        <v>8</v>
      </c>
    </row>
    <row r="274">
      <c r="A274" s="1">
        <v>13.8</v>
      </c>
    </row>
    <row r="275">
      <c r="A275" s="1" t="s">
        <v>2</v>
      </c>
    </row>
    <row r="276">
      <c r="A276" s="3">
        <v>23.0</v>
      </c>
    </row>
    <row r="277">
      <c r="A277" s="1" t="s">
        <v>10</v>
      </c>
    </row>
    <row r="278">
      <c r="A278" s="1" t="s">
        <v>11</v>
      </c>
    </row>
    <row r="279">
      <c r="A279" s="1" t="s">
        <v>3</v>
      </c>
    </row>
    <row r="280">
      <c r="A280" s="1">
        <v>24.0</v>
      </c>
    </row>
    <row r="281">
      <c r="A281" s="1" t="s">
        <v>4</v>
      </c>
    </row>
    <row r="282">
      <c r="A282" s="1" t="s">
        <v>94</v>
      </c>
    </row>
    <row r="283">
      <c r="A283" s="1" t="s">
        <v>74</v>
      </c>
    </row>
    <row r="284">
      <c r="A284" s="1" t="s">
        <v>95</v>
      </c>
    </row>
    <row r="285">
      <c r="A285" s="1" t="s">
        <v>33</v>
      </c>
    </row>
    <row r="286">
      <c r="A286" s="1">
        <v>84.7</v>
      </c>
    </row>
    <row r="287">
      <c r="A287" s="1" t="s">
        <v>2</v>
      </c>
    </row>
    <row r="288">
      <c r="A288" s="3">
        <v>3.0</v>
      </c>
    </row>
    <row r="289">
      <c r="A289" s="1" t="s">
        <v>10</v>
      </c>
    </row>
    <row r="290">
      <c r="A290" s="1" t="s">
        <v>11</v>
      </c>
    </row>
    <row r="291">
      <c r="A291" s="1" t="s">
        <v>3</v>
      </c>
    </row>
    <row r="292">
      <c r="A292" s="1">
        <v>25.0</v>
      </c>
    </row>
    <row r="293">
      <c r="A293" s="1" t="s">
        <v>4</v>
      </c>
    </row>
    <row r="294">
      <c r="A294" s="1" t="s">
        <v>97</v>
      </c>
    </row>
    <row r="295">
      <c r="A295" s="1" t="s">
        <v>98</v>
      </c>
    </row>
    <row r="296">
      <c r="A296" s="1" t="s">
        <v>99</v>
      </c>
    </row>
    <row r="297">
      <c r="A297" s="1" t="s">
        <v>24</v>
      </c>
    </row>
    <row r="298">
      <c r="A298" s="1">
        <v>20.5</v>
      </c>
    </row>
    <row r="299">
      <c r="A299" s="1" t="s">
        <v>2</v>
      </c>
    </row>
    <row r="300">
      <c r="A300" s="3">
        <v>41.0</v>
      </c>
    </row>
    <row r="301">
      <c r="A301" s="1" t="s">
        <v>10</v>
      </c>
    </row>
    <row r="302">
      <c r="A302" s="1" t="s">
        <v>11</v>
      </c>
    </row>
    <row r="303">
      <c r="A303" s="1" t="s">
        <v>3</v>
      </c>
    </row>
    <row r="304">
      <c r="A304" s="1">
        <v>26.0</v>
      </c>
    </row>
    <row r="305">
      <c r="A305" s="1" t="s">
        <v>4</v>
      </c>
    </row>
    <row r="306">
      <c r="A306" s="1" t="s">
        <v>100</v>
      </c>
    </row>
    <row r="307">
      <c r="A307" s="1" t="s">
        <v>101</v>
      </c>
    </row>
    <row r="308">
      <c r="A308" s="1" t="s">
        <v>102</v>
      </c>
    </row>
    <row r="309">
      <c r="A309" s="1" t="s">
        <v>19</v>
      </c>
    </row>
    <row r="310">
      <c r="A310" s="1">
        <v>33.4</v>
      </c>
    </row>
    <row r="311">
      <c r="A311" s="1" t="s">
        <v>2</v>
      </c>
    </row>
    <row r="312">
      <c r="A312" s="3">
        <v>5.0</v>
      </c>
    </row>
    <row r="313">
      <c r="A313" s="1" t="s">
        <v>10</v>
      </c>
    </row>
    <row r="314">
      <c r="A314" s="1" t="s">
        <v>11</v>
      </c>
    </row>
    <row r="315">
      <c r="A315" s="1" t="s">
        <v>3</v>
      </c>
    </row>
    <row r="316">
      <c r="A316" s="1">
        <v>27.0</v>
      </c>
    </row>
    <row r="317">
      <c r="A317" s="1" t="s">
        <v>4</v>
      </c>
    </row>
    <row r="318">
      <c r="A318" s="1" t="s">
        <v>104</v>
      </c>
    </row>
    <row r="319">
      <c r="A319" s="1" t="s">
        <v>105</v>
      </c>
    </row>
    <row r="320">
      <c r="A320" s="1" t="s">
        <v>106</v>
      </c>
    </row>
    <row r="321">
      <c r="A321" s="1" t="s">
        <v>65</v>
      </c>
    </row>
    <row r="322">
      <c r="A322" s="1">
        <v>23.2</v>
      </c>
    </row>
    <row r="323">
      <c r="A323" s="1" t="s">
        <v>2</v>
      </c>
    </row>
    <row r="324">
      <c r="A324" s="3">
        <v>1.0</v>
      </c>
    </row>
    <row r="325">
      <c r="A325" s="1" t="s">
        <v>10</v>
      </c>
    </row>
    <row r="326">
      <c r="A326" s="1" t="s">
        <v>11</v>
      </c>
    </row>
    <row r="327">
      <c r="A327" s="1" t="s">
        <v>3</v>
      </c>
    </row>
    <row r="328">
      <c r="A328" s="1">
        <v>28.0</v>
      </c>
    </row>
    <row r="329">
      <c r="A329" s="1" t="s">
        <v>4</v>
      </c>
    </row>
    <row r="330">
      <c r="A330" s="1" t="s">
        <v>107</v>
      </c>
    </row>
    <row r="331">
      <c r="A331" s="1" t="s">
        <v>108</v>
      </c>
    </row>
    <row r="332">
      <c r="A332" s="1" t="s">
        <v>110</v>
      </c>
    </row>
    <row r="333">
      <c r="A333" s="1" t="s">
        <v>111</v>
      </c>
    </row>
    <row r="334">
      <c r="A334" s="1">
        <v>26.1</v>
      </c>
    </row>
    <row r="335">
      <c r="A335" s="1" t="s">
        <v>2</v>
      </c>
    </row>
    <row r="336">
      <c r="A336" s="3">
        <v>9.0</v>
      </c>
    </row>
    <row r="337">
      <c r="A337" s="1" t="s">
        <v>10</v>
      </c>
    </row>
    <row r="338">
      <c r="A338" s="1" t="s">
        <v>11</v>
      </c>
    </row>
    <row r="339">
      <c r="A339" s="1" t="s">
        <v>3</v>
      </c>
    </row>
    <row r="340">
      <c r="A340" s="1">
        <v>29.0</v>
      </c>
    </row>
    <row r="341">
      <c r="A341" s="1" t="s">
        <v>4</v>
      </c>
    </row>
    <row r="342">
      <c r="A342" s="1" t="s">
        <v>112</v>
      </c>
    </row>
    <row r="343">
      <c r="A343" s="1" t="s">
        <v>31</v>
      </c>
    </row>
    <row r="344">
      <c r="A344" s="1" t="s">
        <v>113</v>
      </c>
    </row>
    <row r="345">
      <c r="A345" s="1" t="s">
        <v>33</v>
      </c>
    </row>
    <row r="346">
      <c r="A346" s="1">
        <v>34.5</v>
      </c>
    </row>
    <row r="347">
      <c r="A347" s="1" t="s">
        <v>2</v>
      </c>
    </row>
    <row r="348">
      <c r="A348" s="3">
        <v>40.0</v>
      </c>
    </row>
    <row r="349">
      <c r="A349" s="1" t="s">
        <v>10</v>
      </c>
    </row>
    <row r="350">
      <c r="A350" s="1" t="s">
        <v>11</v>
      </c>
    </row>
    <row r="351">
      <c r="A351" s="1" t="s">
        <v>3</v>
      </c>
    </row>
    <row r="352">
      <c r="A352" s="1">
        <v>30.0</v>
      </c>
    </row>
    <row r="353">
      <c r="A353" s="1" t="s">
        <v>4</v>
      </c>
    </row>
    <row r="354">
      <c r="A354" s="1" t="s">
        <v>114</v>
      </c>
    </row>
    <row r="355">
      <c r="A355" s="1" t="s">
        <v>41</v>
      </c>
    </row>
    <row r="356">
      <c r="A356" s="1" t="s">
        <v>115</v>
      </c>
    </row>
    <row r="357">
      <c r="A357" s="1" t="s">
        <v>15</v>
      </c>
    </row>
    <row r="358">
      <c r="A358" s="1">
        <v>88.4</v>
      </c>
    </row>
    <row r="359">
      <c r="A359" s="1" t="s">
        <v>2</v>
      </c>
    </row>
    <row r="360">
      <c r="A360" s="3">
        <v>1.0</v>
      </c>
    </row>
    <row r="361">
      <c r="A361" s="1" t="s">
        <v>10</v>
      </c>
    </row>
    <row r="362">
      <c r="A362" s="1" t="s">
        <v>11</v>
      </c>
    </row>
    <row r="363">
      <c r="A363" s="1" t="s">
        <v>3</v>
      </c>
    </row>
    <row r="364">
      <c r="A364" s="1">
        <v>31.0</v>
      </c>
    </row>
    <row r="365">
      <c r="A365" s="1" t="s">
        <v>4</v>
      </c>
    </row>
    <row r="366">
      <c r="A366" s="1" t="s">
        <v>117</v>
      </c>
    </row>
    <row r="367">
      <c r="A367" s="1" t="s">
        <v>108</v>
      </c>
    </row>
    <row r="368">
      <c r="A368" s="1" t="s">
        <v>118</v>
      </c>
    </row>
    <row r="369">
      <c r="A369" s="1" t="s">
        <v>111</v>
      </c>
    </row>
    <row r="370">
      <c r="A370" s="1">
        <v>27.4</v>
      </c>
    </row>
    <row r="371">
      <c r="A371" s="1" t="s">
        <v>2</v>
      </c>
    </row>
    <row r="372">
      <c r="A372" s="3">
        <v>22.0</v>
      </c>
    </row>
    <row r="373">
      <c r="A373" s="1" t="s">
        <v>10</v>
      </c>
    </row>
    <row r="374">
      <c r="A374" s="1" t="s">
        <v>11</v>
      </c>
    </row>
    <row r="375">
      <c r="A375" s="1" t="s">
        <v>3</v>
      </c>
    </row>
    <row r="376">
      <c r="A376" s="1">
        <v>32.0</v>
      </c>
    </row>
    <row r="377">
      <c r="A377" s="1" t="s">
        <v>4</v>
      </c>
    </row>
    <row r="378">
      <c r="A378" s="1" t="s">
        <v>119</v>
      </c>
    </row>
    <row r="379">
      <c r="A379" s="1" t="s">
        <v>35</v>
      </c>
    </row>
    <row r="380">
      <c r="A380" s="1" t="s">
        <v>120</v>
      </c>
    </row>
    <row r="381">
      <c r="A381" s="1" t="s">
        <v>33</v>
      </c>
    </row>
    <row r="382">
      <c r="A382" s="1">
        <v>65.1</v>
      </c>
    </row>
    <row r="383">
      <c r="A383" s="1" t="s">
        <v>2</v>
      </c>
    </row>
    <row r="384">
      <c r="A384" s="3">
        <v>3.0</v>
      </c>
    </row>
    <row r="385">
      <c r="A385" s="1" t="s">
        <v>10</v>
      </c>
    </row>
    <row r="386">
      <c r="A386" s="1" t="s">
        <v>11</v>
      </c>
    </row>
    <row r="387">
      <c r="A387" s="1" t="s">
        <v>3</v>
      </c>
    </row>
    <row r="388">
      <c r="A388" s="1">
        <v>33.0</v>
      </c>
    </row>
    <row r="389">
      <c r="A389" s="1" t="s">
        <v>4</v>
      </c>
    </row>
    <row r="390">
      <c r="A390" s="1" t="s">
        <v>121</v>
      </c>
    </row>
    <row r="391">
      <c r="A391" s="1" t="s">
        <v>17</v>
      </c>
    </row>
    <row r="392">
      <c r="A392" s="1" t="s">
        <v>123</v>
      </c>
    </row>
    <row r="393">
      <c r="A393" s="1" t="s">
        <v>19</v>
      </c>
    </row>
    <row r="394">
      <c r="A394" s="1">
        <v>29.3</v>
      </c>
    </row>
    <row r="395">
      <c r="A395" s="1" t="s">
        <v>2</v>
      </c>
    </row>
    <row r="396">
      <c r="A396" s="3">
        <v>46.0</v>
      </c>
    </row>
    <row r="397">
      <c r="A397" s="1" t="s">
        <v>10</v>
      </c>
    </row>
    <row r="398">
      <c r="A398" s="1" t="s">
        <v>11</v>
      </c>
    </row>
    <row r="399">
      <c r="A399" s="1" t="s">
        <v>3</v>
      </c>
    </row>
    <row r="400">
      <c r="A400" s="1">
        <v>34.0</v>
      </c>
    </row>
    <row r="401">
      <c r="A401" s="1" t="s">
        <v>4</v>
      </c>
    </row>
    <row r="402">
      <c r="A402" s="1" t="s">
        <v>125</v>
      </c>
    </row>
    <row r="403">
      <c r="A403" s="1" t="s">
        <v>38</v>
      </c>
    </row>
    <row r="404">
      <c r="A404" s="1" t="s">
        <v>126</v>
      </c>
    </row>
    <row r="405">
      <c r="A405" s="1" t="s">
        <v>15</v>
      </c>
    </row>
    <row r="406">
      <c r="A406" s="1">
        <v>18.6</v>
      </c>
    </row>
    <row r="407">
      <c r="A407" s="1" t="s">
        <v>2</v>
      </c>
    </row>
    <row r="408">
      <c r="A408" s="3">
        <v>44.0</v>
      </c>
    </row>
    <row r="409">
      <c r="A409" s="1" t="s">
        <v>10</v>
      </c>
    </row>
    <row r="410">
      <c r="A410" s="1" t="s">
        <v>11</v>
      </c>
    </row>
    <row r="411">
      <c r="A411" s="1" t="s">
        <v>3</v>
      </c>
    </row>
    <row r="412">
      <c r="A412" s="1">
        <v>35.0</v>
      </c>
    </row>
    <row r="413">
      <c r="A413" s="1" t="s">
        <v>4</v>
      </c>
    </row>
    <row r="414">
      <c r="A414" s="1" t="s">
        <v>127</v>
      </c>
    </row>
    <row r="415">
      <c r="A415" s="1" t="s">
        <v>13</v>
      </c>
    </row>
    <row r="416">
      <c r="A416" s="1" t="s">
        <v>128</v>
      </c>
    </row>
    <row r="417">
      <c r="A417" s="1" t="s">
        <v>15</v>
      </c>
    </row>
    <row r="418">
      <c r="A418" s="1">
        <v>30.3</v>
      </c>
    </row>
    <row r="419">
      <c r="A419" s="1" t="s">
        <v>2</v>
      </c>
    </row>
    <row r="420">
      <c r="A420" s="3">
        <v>32.0</v>
      </c>
    </row>
    <row r="421">
      <c r="A421" s="1" t="s">
        <v>10</v>
      </c>
    </row>
    <row r="422">
      <c r="A422" s="1" t="s">
        <v>11</v>
      </c>
    </row>
    <row r="423">
      <c r="A423" s="1" t="s">
        <v>3</v>
      </c>
    </row>
    <row r="424">
      <c r="A424" s="1">
        <v>36.0</v>
      </c>
    </row>
    <row r="425">
      <c r="A425" s="1" t="s">
        <v>4</v>
      </c>
    </row>
    <row r="426">
      <c r="A426" s="1" t="s">
        <v>130</v>
      </c>
    </row>
    <row r="427">
      <c r="A427" s="1" t="s">
        <v>54</v>
      </c>
    </row>
    <row r="428">
      <c r="A428" s="1" t="s">
        <v>132</v>
      </c>
    </row>
    <row r="429">
      <c r="A429" s="1" t="s">
        <v>8</v>
      </c>
    </row>
    <row r="430">
      <c r="A430" s="1">
        <v>27.9</v>
      </c>
    </row>
    <row r="431">
      <c r="A431" s="1" t="s">
        <v>2</v>
      </c>
    </row>
    <row r="432">
      <c r="A432" s="3">
        <v>27.0</v>
      </c>
    </row>
    <row r="433">
      <c r="A433" s="1" t="s">
        <v>10</v>
      </c>
    </row>
    <row r="434">
      <c r="A434" s="1" t="s">
        <v>11</v>
      </c>
    </row>
    <row r="435">
      <c r="A435" s="1" t="s">
        <v>3</v>
      </c>
    </row>
    <row r="436">
      <c r="A436" s="1">
        <v>37.0</v>
      </c>
    </row>
    <row r="437">
      <c r="A437" s="1" t="s">
        <v>4</v>
      </c>
    </row>
    <row r="438">
      <c r="A438" s="1" t="s">
        <v>134</v>
      </c>
    </row>
    <row r="439">
      <c r="A439" s="1" t="s">
        <v>135</v>
      </c>
    </row>
    <row r="440">
      <c r="A440" s="1" t="s">
        <v>136</v>
      </c>
    </row>
    <row r="441">
      <c r="A441" s="1" t="s">
        <v>65</v>
      </c>
    </row>
    <row r="442">
      <c r="A442" s="1">
        <v>32.7</v>
      </c>
    </row>
    <row r="443">
      <c r="A443" s="1" t="s">
        <v>2</v>
      </c>
    </row>
    <row r="444">
      <c r="A444" s="3">
        <v>45.0</v>
      </c>
    </row>
    <row r="445">
      <c r="A445" s="1" t="s">
        <v>10</v>
      </c>
    </row>
    <row r="446">
      <c r="A446" s="1" t="s">
        <v>11</v>
      </c>
    </row>
    <row r="447">
      <c r="A447" s="1" t="s">
        <v>3</v>
      </c>
    </row>
    <row r="448">
      <c r="A448" s="1">
        <v>38.0</v>
      </c>
    </row>
    <row r="449">
      <c r="A449" s="1" t="s">
        <v>4</v>
      </c>
    </row>
    <row r="450">
      <c r="A450" s="1" t="s">
        <v>137</v>
      </c>
    </row>
    <row r="451">
      <c r="A451" s="1" t="s">
        <v>41</v>
      </c>
    </row>
    <row r="452">
      <c r="A452" s="1" t="s">
        <v>138</v>
      </c>
    </row>
    <row r="453">
      <c r="A453" s="1" t="s">
        <v>15</v>
      </c>
    </row>
    <row r="454">
      <c r="A454" s="1">
        <v>50.6</v>
      </c>
    </row>
    <row r="455">
      <c r="A455" s="1" t="s">
        <v>2</v>
      </c>
    </row>
    <row r="456">
      <c r="A456" s="3">
        <v>29.0</v>
      </c>
    </row>
    <row r="457">
      <c r="A457" s="1" t="s">
        <v>10</v>
      </c>
    </row>
    <row r="458">
      <c r="A458" s="1" t="s">
        <v>11</v>
      </c>
    </row>
    <row r="459">
      <c r="A459" s="1" t="s">
        <v>3</v>
      </c>
    </row>
    <row r="460">
      <c r="A460" s="1">
        <v>39.0</v>
      </c>
    </row>
    <row r="461">
      <c r="A461" s="1" t="s">
        <v>4</v>
      </c>
    </row>
    <row r="462">
      <c r="A462" s="1" t="s">
        <v>140</v>
      </c>
    </row>
    <row r="463">
      <c r="A463" s="1" t="s">
        <v>141</v>
      </c>
    </row>
    <row r="464">
      <c r="A464" s="1" t="s">
        <v>142</v>
      </c>
    </row>
    <row r="465">
      <c r="A465" s="1" t="s">
        <v>19</v>
      </c>
    </row>
    <row r="466">
      <c r="A466" s="1">
        <v>64.0</v>
      </c>
    </row>
    <row r="467">
      <c r="A467" s="1" t="s">
        <v>2</v>
      </c>
    </row>
    <row r="468">
      <c r="A468" s="3">
        <v>5.0</v>
      </c>
    </row>
    <row r="469">
      <c r="A469" s="1" t="s">
        <v>10</v>
      </c>
    </row>
    <row r="470">
      <c r="A470" s="1" t="s">
        <v>11</v>
      </c>
    </row>
    <row r="471">
      <c r="A471" s="1" t="s">
        <v>3</v>
      </c>
    </row>
    <row r="472">
      <c r="A472" s="1">
        <v>40.0</v>
      </c>
    </row>
    <row r="473">
      <c r="A473" s="1" t="s">
        <v>4</v>
      </c>
    </row>
    <row r="474">
      <c r="A474" s="1" t="s">
        <v>143</v>
      </c>
    </row>
    <row r="475">
      <c r="A475" s="1" t="s">
        <v>22</v>
      </c>
    </row>
    <row r="476">
      <c r="A476" s="1" t="s">
        <v>144</v>
      </c>
    </row>
    <row r="477">
      <c r="A477" s="1" t="s">
        <v>24</v>
      </c>
    </row>
    <row r="478">
      <c r="A478" s="1">
        <v>45.7</v>
      </c>
    </row>
    <row r="479">
      <c r="A479" s="1" t="s">
        <v>2</v>
      </c>
    </row>
    <row r="480">
      <c r="A480" s="3">
        <v>37.0</v>
      </c>
    </row>
    <row r="481">
      <c r="A481" s="1" t="s">
        <v>10</v>
      </c>
    </row>
    <row r="482">
      <c r="A482" s="1" t="s">
        <v>11</v>
      </c>
    </row>
    <row r="483">
      <c r="A483" s="1" t="s">
        <v>3</v>
      </c>
    </row>
    <row r="484">
      <c r="A484" s="1">
        <v>41.0</v>
      </c>
    </row>
    <row r="485">
      <c r="A485" s="1" t="s">
        <v>4</v>
      </c>
    </row>
    <row r="486">
      <c r="A486" s="1" t="s">
        <v>146</v>
      </c>
    </row>
    <row r="487">
      <c r="A487" s="1" t="s">
        <v>147</v>
      </c>
    </row>
    <row r="488">
      <c r="A488" s="1" t="s">
        <v>149</v>
      </c>
    </row>
    <row r="489">
      <c r="A489" s="1" t="s">
        <v>15</v>
      </c>
    </row>
    <row r="490">
      <c r="A490" s="1">
        <v>50.0</v>
      </c>
    </row>
    <row r="491">
      <c r="A491" s="1" t="s">
        <v>2</v>
      </c>
    </row>
    <row r="492">
      <c r="A492" s="3">
        <v>2.0</v>
      </c>
    </row>
    <row r="493">
      <c r="A493" s="1" t="s">
        <v>10</v>
      </c>
    </row>
    <row r="494">
      <c r="A494" s="1" t="s">
        <v>11</v>
      </c>
    </row>
    <row r="495">
      <c r="A495" s="1" t="s">
        <v>3</v>
      </c>
    </row>
    <row r="496">
      <c r="A496" s="1">
        <v>42.0</v>
      </c>
    </row>
    <row r="497">
      <c r="A497" s="1" t="s">
        <v>4</v>
      </c>
    </row>
    <row r="498">
      <c r="A498" s="1" t="s">
        <v>151</v>
      </c>
    </row>
    <row r="499">
      <c r="A499" s="1" t="s">
        <v>147</v>
      </c>
    </row>
    <row r="500">
      <c r="A500" s="1" t="s">
        <v>152</v>
      </c>
    </row>
    <row r="501">
      <c r="A501" s="1" t="s">
        <v>15</v>
      </c>
    </row>
    <row r="502">
      <c r="A502" s="1">
        <v>40.1</v>
      </c>
    </row>
    <row r="503">
      <c r="A503" s="1" t="s">
        <v>2</v>
      </c>
    </row>
    <row r="504">
      <c r="A504" s="3">
        <v>32.0</v>
      </c>
    </row>
    <row r="505">
      <c r="A505" s="1" t="s">
        <v>10</v>
      </c>
    </row>
    <row r="506">
      <c r="A506" s="1" t="s">
        <v>11</v>
      </c>
    </row>
    <row r="507">
      <c r="A507" s="1" t="s">
        <v>3</v>
      </c>
    </row>
    <row r="508">
      <c r="A508" s="1">
        <v>43.0</v>
      </c>
    </row>
    <row r="509">
      <c r="A509" s="1" t="s">
        <v>146</v>
      </c>
    </row>
    <row r="510">
      <c r="A510" s="1" t="s">
        <v>154</v>
      </c>
    </row>
    <row r="511">
      <c r="A511" s="1" t="s">
        <v>155</v>
      </c>
    </row>
    <row r="512">
      <c r="A512" s="1" t="s">
        <v>85</v>
      </c>
    </row>
    <row r="513">
      <c r="A513" s="1">
        <v>31.0</v>
      </c>
    </row>
    <row r="514">
      <c r="A514" s="1" t="s">
        <v>2</v>
      </c>
    </row>
    <row r="515">
      <c r="A515" s="1" t="s">
        <v>157</v>
      </c>
    </row>
    <row r="516">
      <c r="A516" s="1" t="s">
        <v>10</v>
      </c>
    </row>
    <row r="517">
      <c r="A517" s="1" t="s">
        <v>11</v>
      </c>
    </row>
    <row r="518">
      <c r="A518" s="1" t="s">
        <v>3</v>
      </c>
    </row>
    <row r="519">
      <c r="A519" s="1">
        <v>44.0</v>
      </c>
    </row>
    <row r="520">
      <c r="A520" s="1" t="s">
        <v>4</v>
      </c>
    </row>
    <row r="521">
      <c r="A521" s="1" t="s">
        <v>158</v>
      </c>
    </row>
    <row r="522">
      <c r="A522" s="1" t="s">
        <v>89</v>
      </c>
    </row>
    <row r="523">
      <c r="A523" s="1" t="s">
        <v>159</v>
      </c>
    </row>
    <row r="524">
      <c r="A524" s="1" t="s">
        <v>33</v>
      </c>
    </row>
    <row r="525">
      <c r="A525" s="1">
        <v>94.0</v>
      </c>
    </row>
    <row r="526">
      <c r="A526" s="1" t="s">
        <v>2</v>
      </c>
    </row>
    <row r="527">
      <c r="A527" s="1" t="s">
        <v>157</v>
      </c>
    </row>
    <row r="528">
      <c r="A528" s="1" t="s">
        <v>10</v>
      </c>
    </row>
    <row r="529">
      <c r="A529" s="1" t="s">
        <v>11</v>
      </c>
    </row>
    <row r="530">
      <c r="A530" s="1" t="s">
        <v>3</v>
      </c>
    </row>
    <row r="531">
      <c r="A531" s="1">
        <v>45.0</v>
      </c>
    </row>
    <row r="532">
      <c r="A532" s="1" t="s">
        <v>4</v>
      </c>
    </row>
    <row r="533">
      <c r="A533" s="1" t="s">
        <v>162</v>
      </c>
    </row>
    <row r="534">
      <c r="A534" s="1" t="s">
        <v>17</v>
      </c>
    </row>
    <row r="535">
      <c r="A535" s="1" t="s">
        <v>163</v>
      </c>
    </row>
    <row r="536">
      <c r="A536" s="1" t="s">
        <v>19</v>
      </c>
    </row>
    <row r="537">
      <c r="A537" s="1">
        <v>63.0</v>
      </c>
    </row>
    <row r="538">
      <c r="A538" s="1" t="s">
        <v>2</v>
      </c>
    </row>
    <row r="539">
      <c r="A539" s="3">
        <v>17.0</v>
      </c>
    </row>
    <row r="540">
      <c r="A540" s="1" t="s">
        <v>10</v>
      </c>
    </row>
    <row r="541">
      <c r="A541" s="1" t="s">
        <v>11</v>
      </c>
    </row>
    <row r="542">
      <c r="A542" s="1" t="s">
        <v>3</v>
      </c>
    </row>
    <row r="543">
      <c r="A543" s="1">
        <v>46.0</v>
      </c>
    </row>
    <row r="544">
      <c r="A544" s="1" t="s">
        <v>4</v>
      </c>
    </row>
    <row r="545">
      <c r="A545" s="1" t="s">
        <v>165</v>
      </c>
    </row>
    <row r="546">
      <c r="A546" s="1" t="s">
        <v>166</v>
      </c>
    </row>
    <row r="547">
      <c r="A547" s="1" t="s">
        <v>168</v>
      </c>
    </row>
    <row r="548">
      <c r="A548" s="1" t="s">
        <v>65</v>
      </c>
    </row>
    <row r="549">
      <c r="A549" s="1">
        <v>39.0</v>
      </c>
    </row>
    <row r="550">
      <c r="A550" s="1" t="s">
        <v>2</v>
      </c>
    </row>
    <row r="551">
      <c r="A551" s="3">
        <v>10.0</v>
      </c>
    </row>
    <row r="552">
      <c r="A552" s="1" t="s">
        <v>10</v>
      </c>
    </row>
    <row r="553">
      <c r="A553" s="1" t="s">
        <v>11</v>
      </c>
    </row>
    <row r="554">
      <c r="A554" s="1" t="s">
        <v>3</v>
      </c>
    </row>
    <row r="555">
      <c r="A555" s="1">
        <v>47.0</v>
      </c>
    </row>
    <row r="556">
      <c r="A556" s="1" t="s">
        <v>4</v>
      </c>
    </row>
    <row r="557">
      <c r="A557" s="1" t="s">
        <v>170</v>
      </c>
    </row>
    <row r="558">
      <c r="A558" s="1" t="s">
        <v>154</v>
      </c>
    </row>
    <row r="559">
      <c r="A559" s="1" t="s">
        <v>171</v>
      </c>
    </row>
    <row r="560">
      <c r="A560" s="1" t="s">
        <v>85</v>
      </c>
    </row>
    <row r="561">
      <c r="A561" s="1">
        <v>22.3</v>
      </c>
    </row>
    <row r="562">
      <c r="A562" s="1" t="s">
        <v>2</v>
      </c>
    </row>
    <row r="563">
      <c r="A563" s="3">
        <v>26.0</v>
      </c>
    </row>
    <row r="564">
      <c r="A564" s="1" t="s">
        <v>10</v>
      </c>
    </row>
    <row r="565">
      <c r="A565" s="1" t="s">
        <v>11</v>
      </c>
    </row>
    <row r="566">
      <c r="A566" s="1" t="s">
        <v>3</v>
      </c>
    </row>
    <row r="567">
      <c r="A567" s="1">
        <v>48.0</v>
      </c>
    </row>
    <row r="568">
      <c r="A568" s="1" t="s">
        <v>4</v>
      </c>
    </row>
    <row r="569">
      <c r="A569" s="1" t="s">
        <v>173</v>
      </c>
    </row>
    <row r="570">
      <c r="A570" s="1" t="s">
        <v>83</v>
      </c>
    </row>
    <row r="571">
      <c r="A571" s="1" t="s">
        <v>174</v>
      </c>
    </row>
    <row r="572">
      <c r="A572" s="1" t="s">
        <v>85</v>
      </c>
    </row>
    <row r="573">
      <c r="A573" s="1">
        <v>35.9</v>
      </c>
    </row>
    <row r="574">
      <c r="A574" s="1" t="s">
        <v>2</v>
      </c>
    </row>
    <row r="575">
      <c r="A575" s="3">
        <v>22.0</v>
      </c>
    </row>
    <row r="576">
      <c r="A576" s="1" t="s">
        <v>10</v>
      </c>
    </row>
    <row r="577">
      <c r="A577" s="1" t="s">
        <v>11</v>
      </c>
    </row>
    <row r="578">
      <c r="A578" s="1" t="s">
        <v>3</v>
      </c>
    </row>
    <row r="579">
      <c r="A579" s="1">
        <v>49.0</v>
      </c>
    </row>
    <row r="580">
      <c r="A580" s="1" t="s">
        <v>4</v>
      </c>
    </row>
    <row r="581">
      <c r="A581" s="1" t="s">
        <v>177</v>
      </c>
    </row>
    <row r="582">
      <c r="A582" s="1" t="s">
        <v>98</v>
      </c>
    </row>
    <row r="583">
      <c r="A583" s="1" t="s">
        <v>178</v>
      </c>
    </row>
    <row r="584">
      <c r="A584" s="1" t="s">
        <v>24</v>
      </c>
    </row>
    <row r="585">
      <c r="A585" s="1">
        <v>37.4</v>
      </c>
    </row>
    <row r="586">
      <c r="A586" s="1" t="s">
        <v>2</v>
      </c>
    </row>
    <row r="587">
      <c r="A587" s="3">
        <v>30.0</v>
      </c>
    </row>
    <row r="588">
      <c r="A588" s="1" t="s">
        <v>10</v>
      </c>
    </row>
    <row r="589">
      <c r="A589" s="1" t="s">
        <v>11</v>
      </c>
    </row>
    <row r="590">
      <c r="A590" s="1" t="s">
        <v>3</v>
      </c>
    </row>
    <row r="591">
      <c r="A591" s="1">
        <v>50.0</v>
      </c>
    </row>
    <row r="592">
      <c r="A592" s="1" t="s">
        <v>4</v>
      </c>
    </row>
    <row r="593">
      <c r="A593" s="1" t="s">
        <v>180</v>
      </c>
    </row>
    <row r="594">
      <c r="A594" s="1" t="s">
        <v>166</v>
      </c>
    </row>
    <row r="595">
      <c r="A595" s="1" t="s">
        <v>181</v>
      </c>
    </row>
    <row r="596">
      <c r="A596" s="1" t="s">
        <v>65</v>
      </c>
    </row>
    <row r="597">
      <c r="A597" s="1">
        <v>78.9</v>
      </c>
    </row>
    <row r="598">
      <c r="A598" s="1" t="s">
        <v>2</v>
      </c>
    </row>
    <row r="599">
      <c r="A599" s="1" t="s">
        <v>157</v>
      </c>
    </row>
    <row r="600">
      <c r="A600" s="1" t="s">
        <v>10</v>
      </c>
    </row>
    <row r="601">
      <c r="A601" s="1" t="s">
        <v>11</v>
      </c>
    </row>
    <row r="602">
      <c r="A602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5" t="s">
        <v>9</v>
      </c>
      <c r="F1" s="5" t="s">
        <v>28</v>
      </c>
    </row>
    <row r="2">
      <c r="A2" s="7" t="s">
        <v>30</v>
      </c>
      <c r="B2" s="8" t="s">
        <v>47</v>
      </c>
      <c r="C2" s="10" t="s">
        <v>2</v>
      </c>
      <c r="D2" s="7" t="s">
        <v>59</v>
      </c>
      <c r="E2" s="7" t="s">
        <v>60</v>
      </c>
      <c r="F2" s="7" t="s">
        <v>61</v>
      </c>
      <c r="G2" s="10" t="s">
        <v>2</v>
      </c>
      <c r="H2" s="7" t="s">
        <v>59</v>
      </c>
      <c r="I2" s="7" t="s">
        <v>60</v>
      </c>
      <c r="J2" s="7" t="s">
        <v>61</v>
      </c>
    </row>
    <row r="3">
      <c r="A3" s="12">
        <v>1.0</v>
      </c>
      <c r="B3" s="15" t="s">
        <v>70</v>
      </c>
      <c r="C3" s="16">
        <v>2.0</v>
      </c>
      <c r="D3" s="12" t="s">
        <v>91</v>
      </c>
      <c r="E3" s="20">
        <f>+1</f>
        <v>1</v>
      </c>
      <c r="F3" s="22"/>
      <c r="G3" s="16">
        <v>1.0</v>
      </c>
      <c r="H3" s="12" t="s">
        <v>91</v>
      </c>
      <c r="I3" s="23">
        <f>+0</f>
        <v>0</v>
      </c>
      <c r="J3" s="22"/>
    </row>
    <row r="4">
      <c r="A4" s="12">
        <v>2.0</v>
      </c>
      <c r="B4" s="15" t="s">
        <v>131</v>
      </c>
      <c r="C4" s="16">
        <v>5.0</v>
      </c>
      <c r="D4" s="12" t="s">
        <v>139</v>
      </c>
      <c r="E4" s="20">
        <f>+3</f>
        <v>3</v>
      </c>
      <c r="F4" s="22"/>
      <c r="G4" s="16">
        <v>6.0</v>
      </c>
      <c r="H4" s="12" t="s">
        <v>139</v>
      </c>
      <c r="I4" s="20">
        <f>+4</f>
        <v>4</v>
      </c>
      <c r="J4" s="22"/>
    </row>
    <row r="5">
      <c r="A5" s="12">
        <v>3.0</v>
      </c>
      <c r="B5" s="15" t="s">
        <v>148</v>
      </c>
      <c r="C5" s="16">
        <v>4.0</v>
      </c>
      <c r="D5" s="12" t="s">
        <v>153</v>
      </c>
      <c r="E5" s="20">
        <f>+1</f>
        <v>1</v>
      </c>
      <c r="F5" s="22"/>
      <c r="G5" s="16">
        <v>5.0</v>
      </c>
      <c r="H5" s="12" t="s">
        <v>153</v>
      </c>
      <c r="I5" s="20">
        <f>+2</f>
        <v>2</v>
      </c>
      <c r="J5" s="22"/>
    </row>
    <row r="6">
      <c r="A6" s="12">
        <v>4.0</v>
      </c>
      <c r="B6" s="15" t="s">
        <v>161</v>
      </c>
      <c r="C6" s="16">
        <v>3.0</v>
      </c>
      <c r="D6" s="12" t="s">
        <v>169</v>
      </c>
      <c r="E6" s="26">
        <v>-1.0</v>
      </c>
      <c r="F6" s="22"/>
      <c r="G6" s="16">
        <v>4.0</v>
      </c>
      <c r="H6" s="12" t="s">
        <v>169</v>
      </c>
      <c r="I6" s="23">
        <f>+0</f>
        <v>0</v>
      </c>
      <c r="J6" s="22"/>
    </row>
    <row r="7">
      <c r="A7" s="12">
        <v>5.0</v>
      </c>
      <c r="B7" s="15" t="s">
        <v>176</v>
      </c>
      <c r="C7" s="16">
        <v>1.0</v>
      </c>
      <c r="D7" s="12" t="s">
        <v>183</v>
      </c>
      <c r="E7" s="26">
        <v>-4.0</v>
      </c>
      <c r="F7" s="22"/>
      <c r="G7" s="16">
        <v>2.0</v>
      </c>
      <c r="H7" s="12" t="s">
        <v>183</v>
      </c>
      <c r="I7" s="26">
        <v>-3.0</v>
      </c>
      <c r="J7" s="22"/>
    </row>
    <row r="8">
      <c r="A8" s="12">
        <v>6.0</v>
      </c>
      <c r="B8" s="15" t="s">
        <v>185</v>
      </c>
      <c r="C8" s="16">
        <v>8.0</v>
      </c>
      <c r="D8" s="12" t="s">
        <v>188</v>
      </c>
      <c r="E8" s="20">
        <f>+2</f>
        <v>2</v>
      </c>
      <c r="F8" s="22"/>
      <c r="G8" s="16">
        <v>9.0</v>
      </c>
      <c r="H8" s="12" t="s">
        <v>188</v>
      </c>
      <c r="I8" s="20">
        <f>+3</f>
        <v>3</v>
      </c>
      <c r="J8" s="22"/>
    </row>
    <row r="9">
      <c r="A9" s="12">
        <v>7.0</v>
      </c>
      <c r="B9" s="15" t="s">
        <v>191</v>
      </c>
      <c r="C9" s="16">
        <v>7.0</v>
      </c>
      <c r="D9" s="12" t="s">
        <v>193</v>
      </c>
      <c r="E9" s="23">
        <f>+0</f>
        <v>0</v>
      </c>
      <c r="F9" s="22"/>
      <c r="G9" s="16">
        <v>7.0</v>
      </c>
      <c r="H9" s="12" t="s">
        <v>193</v>
      </c>
      <c r="I9" s="23">
        <f>+0</f>
        <v>0</v>
      </c>
      <c r="J9" s="22"/>
    </row>
    <row r="10">
      <c r="A10" s="12">
        <v>8.0</v>
      </c>
      <c r="B10" s="15" t="s">
        <v>195</v>
      </c>
      <c r="C10" s="16">
        <v>13.0</v>
      </c>
      <c r="D10" s="12" t="s">
        <v>196</v>
      </c>
      <c r="E10" s="20">
        <f>+5</f>
        <v>5</v>
      </c>
      <c r="F10" s="22"/>
      <c r="G10" s="16">
        <v>16.0</v>
      </c>
      <c r="H10" s="12" t="s">
        <v>198</v>
      </c>
      <c r="I10" s="20">
        <f>+8</f>
        <v>8</v>
      </c>
      <c r="J10" s="22"/>
    </row>
    <row r="11">
      <c r="A11" s="12">
        <v>9.0</v>
      </c>
      <c r="B11" s="15" t="s">
        <v>202</v>
      </c>
      <c r="C11" s="16">
        <v>9.0</v>
      </c>
      <c r="D11" s="12" t="s">
        <v>122</v>
      </c>
      <c r="E11" s="23">
        <f>+0</f>
        <v>0</v>
      </c>
      <c r="F11" s="22"/>
      <c r="G11" s="16">
        <v>11.0</v>
      </c>
      <c r="H11" s="12" t="s">
        <v>156</v>
      </c>
      <c r="I11" s="20">
        <f>+2</f>
        <v>2</v>
      </c>
      <c r="J11" s="22"/>
    </row>
    <row r="12">
      <c r="A12" s="12">
        <v>10.0</v>
      </c>
      <c r="B12" s="15" t="s">
        <v>206</v>
      </c>
      <c r="C12" s="16">
        <v>17.0</v>
      </c>
      <c r="D12" s="12" t="s">
        <v>207</v>
      </c>
      <c r="E12" s="20">
        <f>+7</f>
        <v>7</v>
      </c>
      <c r="F12" s="22"/>
      <c r="G12" s="16">
        <v>15.0</v>
      </c>
      <c r="H12" s="12" t="s">
        <v>196</v>
      </c>
      <c r="I12" s="20">
        <f>+5</f>
        <v>5</v>
      </c>
      <c r="J12" s="22"/>
    </row>
    <row r="13">
      <c r="A13" s="12">
        <v>11.0</v>
      </c>
      <c r="B13" s="15" t="s">
        <v>210</v>
      </c>
      <c r="C13" s="16">
        <v>6.0</v>
      </c>
      <c r="D13" s="12" t="s">
        <v>109</v>
      </c>
      <c r="E13" s="26">
        <v>-5.0</v>
      </c>
      <c r="F13" s="22"/>
      <c r="G13" s="16">
        <v>3.0</v>
      </c>
      <c r="H13" s="12" t="s">
        <v>109</v>
      </c>
      <c r="I13" s="26">
        <v>-8.0</v>
      </c>
      <c r="J13" s="22"/>
    </row>
    <row r="14">
      <c r="A14" s="12">
        <v>12.0</v>
      </c>
      <c r="B14" s="15" t="s">
        <v>216</v>
      </c>
      <c r="C14" s="16">
        <v>16.0</v>
      </c>
      <c r="D14" s="12" t="s">
        <v>198</v>
      </c>
      <c r="E14" s="20">
        <f>+4</f>
        <v>4</v>
      </c>
      <c r="F14" s="22"/>
      <c r="G14" s="16">
        <v>17.0</v>
      </c>
      <c r="H14" s="12" t="s">
        <v>207</v>
      </c>
      <c r="I14" s="20">
        <f>+5</f>
        <v>5</v>
      </c>
      <c r="J14" s="22"/>
    </row>
    <row r="15">
      <c r="A15" s="12">
        <v>13.0</v>
      </c>
      <c r="B15" s="15" t="s">
        <v>220</v>
      </c>
      <c r="C15" s="16">
        <v>12.0</v>
      </c>
      <c r="D15" s="12" t="s">
        <v>156</v>
      </c>
      <c r="E15" s="26">
        <v>-1.0</v>
      </c>
      <c r="F15" s="22"/>
      <c r="G15" s="16">
        <v>8.0</v>
      </c>
      <c r="H15" s="12" t="s">
        <v>122</v>
      </c>
      <c r="I15" s="26">
        <v>-5.0</v>
      </c>
      <c r="J15" s="22"/>
    </row>
    <row r="16">
      <c r="A16" s="12">
        <v>14.0</v>
      </c>
      <c r="B16" s="15" t="s">
        <v>224</v>
      </c>
      <c r="C16" s="16">
        <v>10.0</v>
      </c>
      <c r="D16" s="12" t="s">
        <v>217</v>
      </c>
      <c r="E16" s="26">
        <v>-4.0</v>
      </c>
      <c r="F16" s="22"/>
      <c r="G16" s="16">
        <v>12.0</v>
      </c>
      <c r="H16" s="12" t="s">
        <v>217</v>
      </c>
      <c r="I16" s="26">
        <v>-2.0</v>
      </c>
      <c r="J16" s="22"/>
    </row>
    <row r="17">
      <c r="A17" s="12">
        <v>15.0</v>
      </c>
      <c r="B17" s="15" t="s">
        <v>228</v>
      </c>
      <c r="C17" s="16">
        <v>11.0</v>
      </c>
      <c r="D17" s="12" t="s">
        <v>129</v>
      </c>
      <c r="E17" s="26">
        <v>-4.0</v>
      </c>
      <c r="F17" s="22"/>
      <c r="G17" s="16">
        <v>10.0</v>
      </c>
      <c r="H17" s="12" t="s">
        <v>129</v>
      </c>
      <c r="I17" s="26">
        <v>-5.0</v>
      </c>
      <c r="J17" s="22"/>
    </row>
    <row r="18">
      <c r="A18" s="12">
        <v>16.0</v>
      </c>
      <c r="B18" s="15" t="s">
        <v>230</v>
      </c>
      <c r="C18" s="16">
        <v>15.0</v>
      </c>
      <c r="D18" s="12" t="s">
        <v>232</v>
      </c>
      <c r="E18" s="26">
        <v>-1.0</v>
      </c>
      <c r="F18" s="22"/>
      <c r="G18" s="16">
        <v>19.0</v>
      </c>
      <c r="H18" s="12" t="s">
        <v>232</v>
      </c>
      <c r="I18" s="20">
        <f>+3</f>
        <v>3</v>
      </c>
      <c r="J18" s="22"/>
    </row>
    <row r="19">
      <c r="A19" s="12">
        <v>17.0</v>
      </c>
      <c r="B19" s="15" t="s">
        <v>234</v>
      </c>
      <c r="C19" s="16">
        <v>21.0</v>
      </c>
      <c r="D19" s="12" t="s">
        <v>179</v>
      </c>
      <c r="E19" s="20">
        <f>+4</f>
        <v>4</v>
      </c>
      <c r="F19" s="22"/>
      <c r="G19" s="16">
        <v>24.0</v>
      </c>
      <c r="H19" s="12" t="s">
        <v>199</v>
      </c>
      <c r="I19" s="20">
        <f>+7</f>
        <v>7</v>
      </c>
      <c r="J19" s="22"/>
    </row>
    <row r="20">
      <c r="A20" s="12">
        <v>18.0</v>
      </c>
      <c r="B20" s="15" t="s">
        <v>239</v>
      </c>
      <c r="C20" s="16">
        <v>14.0</v>
      </c>
      <c r="D20" s="12" t="s">
        <v>237</v>
      </c>
      <c r="E20" s="26">
        <v>-4.0</v>
      </c>
      <c r="F20" s="22"/>
      <c r="G20" s="16">
        <v>13.0</v>
      </c>
      <c r="H20" s="12" t="s">
        <v>237</v>
      </c>
      <c r="I20" s="26">
        <v>-5.0</v>
      </c>
      <c r="J20" s="22"/>
    </row>
    <row r="21">
      <c r="A21" s="12">
        <v>19.0</v>
      </c>
      <c r="B21" s="15" t="s">
        <v>246</v>
      </c>
      <c r="C21" s="16">
        <v>31.0</v>
      </c>
      <c r="D21" s="12" t="s">
        <v>227</v>
      </c>
      <c r="E21" s="20">
        <f>+12</f>
        <v>12</v>
      </c>
      <c r="F21" s="22"/>
      <c r="G21" s="16">
        <v>29.0</v>
      </c>
      <c r="H21" s="12" t="s">
        <v>227</v>
      </c>
      <c r="I21" s="20">
        <f>+10</f>
        <v>10</v>
      </c>
      <c r="J21" s="22"/>
    </row>
    <row r="22">
      <c r="A22" s="12">
        <v>20.0</v>
      </c>
      <c r="B22" s="15" t="s">
        <v>253</v>
      </c>
      <c r="C22" s="16">
        <v>20.0</v>
      </c>
      <c r="D22" s="12" t="s">
        <v>222</v>
      </c>
      <c r="E22" s="23">
        <f>+0</f>
        <v>0</v>
      </c>
      <c r="F22" s="22"/>
      <c r="G22" s="16">
        <v>18.0</v>
      </c>
      <c r="H22" s="12" t="s">
        <v>222</v>
      </c>
      <c r="I22" s="26">
        <v>-2.0</v>
      </c>
      <c r="J22" s="22"/>
    </row>
    <row r="23">
      <c r="A23" s="12">
        <v>21.0</v>
      </c>
      <c r="B23" s="15" t="s">
        <v>259</v>
      </c>
      <c r="C23" s="16">
        <v>32.0</v>
      </c>
      <c r="D23" s="12" t="s">
        <v>235</v>
      </c>
      <c r="E23" s="20">
        <f>+11</f>
        <v>11</v>
      </c>
      <c r="F23" s="22"/>
      <c r="G23" s="16">
        <v>32.0</v>
      </c>
      <c r="H23" s="12" t="s">
        <v>235</v>
      </c>
      <c r="I23" s="20">
        <f>+11</f>
        <v>11</v>
      </c>
      <c r="J23" s="22"/>
    </row>
    <row r="24">
      <c r="A24" s="12">
        <v>22.0</v>
      </c>
      <c r="B24" s="15" t="s">
        <v>265</v>
      </c>
      <c r="C24" s="16">
        <v>42.0</v>
      </c>
      <c r="D24" s="12" t="s">
        <v>260</v>
      </c>
      <c r="E24" s="20">
        <f>+20</f>
        <v>20</v>
      </c>
      <c r="F24" s="22"/>
      <c r="G24" s="16">
        <v>43.0</v>
      </c>
      <c r="H24" s="12" t="s">
        <v>264</v>
      </c>
      <c r="I24" s="20">
        <f>+21</f>
        <v>21</v>
      </c>
      <c r="J24" s="22"/>
    </row>
    <row r="25">
      <c r="A25" s="12">
        <v>23.0</v>
      </c>
      <c r="B25" s="15" t="s">
        <v>272</v>
      </c>
      <c r="C25" s="16">
        <v>29.0</v>
      </c>
      <c r="D25" s="12" t="s">
        <v>201</v>
      </c>
      <c r="E25" s="20">
        <f>+6</f>
        <v>6</v>
      </c>
      <c r="F25" s="22"/>
      <c r="G25" s="16">
        <v>31.0</v>
      </c>
      <c r="H25" s="12" t="s">
        <v>209</v>
      </c>
      <c r="I25" s="20">
        <f>+8</f>
        <v>8</v>
      </c>
      <c r="J25" s="22"/>
    </row>
    <row r="26">
      <c r="A26" s="12">
        <v>24.0</v>
      </c>
      <c r="B26" s="15" t="s">
        <v>278</v>
      </c>
      <c r="C26" s="16">
        <v>26.0</v>
      </c>
      <c r="D26" s="12" t="s">
        <v>184</v>
      </c>
      <c r="E26" s="20">
        <f>+2</f>
        <v>2</v>
      </c>
      <c r="F26" s="22"/>
      <c r="G26" s="16">
        <v>23.0</v>
      </c>
      <c r="H26" s="12" t="s">
        <v>184</v>
      </c>
      <c r="I26" s="26">
        <v>-1.0</v>
      </c>
      <c r="J26" s="22"/>
    </row>
    <row r="27">
      <c r="A27" s="12">
        <v>25.0</v>
      </c>
      <c r="B27" s="15" t="s">
        <v>287</v>
      </c>
      <c r="C27" s="16">
        <v>24.0</v>
      </c>
      <c r="D27" s="12" t="s">
        <v>267</v>
      </c>
      <c r="E27" s="26">
        <v>-1.0</v>
      </c>
      <c r="F27" s="22"/>
      <c r="G27" s="16">
        <v>28.0</v>
      </c>
      <c r="H27" s="12" t="s">
        <v>269</v>
      </c>
      <c r="I27" s="20">
        <f>+3</f>
        <v>3</v>
      </c>
      <c r="J27" s="22"/>
    </row>
    <row r="28">
      <c r="A28" s="12">
        <v>26.0</v>
      </c>
      <c r="B28" s="15" t="s">
        <v>293</v>
      </c>
      <c r="C28" s="16">
        <v>41.0</v>
      </c>
      <c r="D28" s="12" t="s">
        <v>225</v>
      </c>
      <c r="E28" s="20">
        <f>+15</f>
        <v>15</v>
      </c>
      <c r="F28" s="22"/>
      <c r="G28" s="16">
        <v>36.0</v>
      </c>
      <c r="H28" s="12" t="s">
        <v>219</v>
      </c>
      <c r="I28" s="20">
        <f>+10</f>
        <v>10</v>
      </c>
      <c r="J28" s="22"/>
    </row>
    <row r="29">
      <c r="A29" s="12">
        <v>27.0</v>
      </c>
      <c r="B29" s="15" t="s">
        <v>299</v>
      </c>
      <c r="C29" s="16">
        <v>19.0</v>
      </c>
      <c r="D29" s="12" t="s">
        <v>164</v>
      </c>
      <c r="E29" s="26">
        <v>-8.0</v>
      </c>
      <c r="F29" s="22"/>
      <c r="G29" s="16">
        <v>14.0</v>
      </c>
      <c r="H29" s="12" t="s">
        <v>164</v>
      </c>
      <c r="I29" s="26">
        <v>-13.0</v>
      </c>
      <c r="J29" s="22"/>
    </row>
    <row r="30">
      <c r="A30" s="12">
        <v>28.0</v>
      </c>
      <c r="B30" s="15" t="s">
        <v>302</v>
      </c>
      <c r="C30" s="16">
        <v>75.0</v>
      </c>
      <c r="D30" s="12" t="s">
        <v>281</v>
      </c>
      <c r="E30" s="20">
        <f>+47</f>
        <v>47</v>
      </c>
      <c r="F30" s="22"/>
      <c r="G30" s="16">
        <v>84.0</v>
      </c>
      <c r="H30" s="12" t="s">
        <v>305</v>
      </c>
      <c r="I30" s="20">
        <f>+56</f>
        <v>56</v>
      </c>
      <c r="J30" s="22"/>
    </row>
    <row r="31">
      <c r="A31" s="12">
        <v>29.0</v>
      </c>
      <c r="B31" s="15" t="s">
        <v>306</v>
      </c>
      <c r="C31" s="16">
        <v>34.0</v>
      </c>
      <c r="D31" s="12" t="s">
        <v>209</v>
      </c>
      <c r="E31" s="20">
        <f>+5</f>
        <v>5</v>
      </c>
      <c r="F31" s="22"/>
      <c r="G31" s="16">
        <v>44.0</v>
      </c>
      <c r="H31" s="12" t="s">
        <v>231</v>
      </c>
      <c r="I31" s="20">
        <f>+15</f>
        <v>15</v>
      </c>
      <c r="J31" s="22"/>
    </row>
    <row r="32">
      <c r="A32" s="12">
        <v>30.0</v>
      </c>
      <c r="B32" s="15" t="s">
        <v>311</v>
      </c>
      <c r="C32" s="16">
        <v>25.0</v>
      </c>
      <c r="D32" s="12" t="s">
        <v>269</v>
      </c>
      <c r="E32" s="26">
        <v>-5.0</v>
      </c>
      <c r="F32" s="22"/>
      <c r="G32" s="16">
        <v>26.0</v>
      </c>
      <c r="H32" s="12" t="s">
        <v>255</v>
      </c>
      <c r="I32" s="26">
        <v>-4.0</v>
      </c>
      <c r="J32" s="22"/>
    </row>
    <row r="33">
      <c r="A33" s="12">
        <v>31.0</v>
      </c>
      <c r="B33" s="15" t="s">
        <v>316</v>
      </c>
      <c r="C33" s="16">
        <v>18.0</v>
      </c>
      <c r="D33" s="12" t="s">
        <v>245</v>
      </c>
      <c r="E33" s="26">
        <v>-13.0</v>
      </c>
      <c r="F33" s="22"/>
      <c r="G33" s="16">
        <v>20.0</v>
      </c>
      <c r="H33" s="12" t="s">
        <v>245</v>
      </c>
      <c r="I33" s="26">
        <v>-11.0</v>
      </c>
      <c r="J33" s="22"/>
    </row>
    <row r="34">
      <c r="A34" s="12">
        <v>32.0</v>
      </c>
      <c r="B34" s="15" t="s">
        <v>321</v>
      </c>
      <c r="C34" s="16">
        <v>35.0</v>
      </c>
      <c r="D34" s="12" t="s">
        <v>250</v>
      </c>
      <c r="E34" s="20">
        <f>+3</f>
        <v>3</v>
      </c>
      <c r="F34" s="22"/>
      <c r="G34" s="16">
        <v>35.0</v>
      </c>
      <c r="H34" s="12" t="s">
        <v>250</v>
      </c>
      <c r="I34" s="20">
        <f>+3</f>
        <v>3</v>
      </c>
      <c r="J34" s="22"/>
    </row>
    <row r="35">
      <c r="A35" s="12">
        <v>33.0</v>
      </c>
      <c r="B35" s="15" t="s">
        <v>326</v>
      </c>
      <c r="C35" s="16">
        <v>33.0</v>
      </c>
      <c r="D35" s="12" t="s">
        <v>257</v>
      </c>
      <c r="E35" s="23">
        <f>+0</f>
        <v>0</v>
      </c>
      <c r="F35" s="22"/>
      <c r="G35" s="16">
        <v>37.0</v>
      </c>
      <c r="H35" s="12" t="s">
        <v>257</v>
      </c>
      <c r="I35" s="20">
        <f>+4</f>
        <v>4</v>
      </c>
      <c r="J35" s="22"/>
    </row>
    <row r="36">
      <c r="A36" s="12">
        <v>34.0</v>
      </c>
      <c r="B36" s="15" t="s">
        <v>334</v>
      </c>
      <c r="C36" s="16">
        <v>27.0</v>
      </c>
      <c r="D36" s="12" t="s">
        <v>274</v>
      </c>
      <c r="E36" s="26">
        <v>-7.0</v>
      </c>
      <c r="F36" s="22"/>
      <c r="G36" s="16">
        <v>34.0</v>
      </c>
      <c r="H36" s="12" t="s">
        <v>309</v>
      </c>
      <c r="I36" s="23">
        <f>+0</f>
        <v>0</v>
      </c>
      <c r="J36" s="22"/>
    </row>
    <row r="37">
      <c r="A37" s="12">
        <v>35.0</v>
      </c>
      <c r="B37" s="15" t="s">
        <v>340</v>
      </c>
      <c r="C37" s="16">
        <v>23.0</v>
      </c>
      <c r="D37" s="12" t="s">
        <v>255</v>
      </c>
      <c r="E37" s="26">
        <v>-12.0</v>
      </c>
      <c r="F37" s="22"/>
      <c r="G37" s="16">
        <v>27.0</v>
      </c>
      <c r="H37" s="12" t="s">
        <v>267</v>
      </c>
      <c r="I37" s="26">
        <v>-8.0</v>
      </c>
      <c r="J37" s="22"/>
    </row>
    <row r="38">
      <c r="A38" s="12">
        <v>36.0</v>
      </c>
      <c r="B38" s="15" t="s">
        <v>346</v>
      </c>
      <c r="C38" s="16">
        <v>28.0</v>
      </c>
      <c r="D38" s="12" t="s">
        <v>199</v>
      </c>
      <c r="E38" s="26">
        <v>-8.0</v>
      </c>
      <c r="F38" s="22"/>
      <c r="G38" s="16">
        <v>22.0</v>
      </c>
      <c r="H38" s="12" t="s">
        <v>179</v>
      </c>
      <c r="I38" s="26">
        <v>-14.0</v>
      </c>
      <c r="J38" s="22"/>
    </row>
    <row r="39">
      <c r="A39" s="12">
        <v>37.0</v>
      </c>
      <c r="B39" s="15" t="s">
        <v>351</v>
      </c>
      <c r="C39" s="16">
        <v>22.0</v>
      </c>
      <c r="D39" s="12" t="s">
        <v>248</v>
      </c>
      <c r="E39" s="26">
        <v>-15.0</v>
      </c>
      <c r="F39" s="22"/>
      <c r="G39" s="16">
        <v>21.0</v>
      </c>
      <c r="H39" s="12" t="s">
        <v>248</v>
      </c>
      <c r="I39" s="26">
        <v>-16.0</v>
      </c>
      <c r="J39" s="22"/>
    </row>
    <row r="40">
      <c r="A40" s="12">
        <v>38.0</v>
      </c>
      <c r="B40" s="15" t="s">
        <v>354</v>
      </c>
      <c r="C40" s="16">
        <v>38.0</v>
      </c>
      <c r="D40" s="12" t="s">
        <v>312</v>
      </c>
      <c r="E40" s="23">
        <f>+0</f>
        <v>0</v>
      </c>
      <c r="F40" s="22"/>
      <c r="G40" s="16">
        <v>45.0</v>
      </c>
      <c r="H40" s="12" t="s">
        <v>317</v>
      </c>
      <c r="I40" s="20">
        <f>+7</f>
        <v>7</v>
      </c>
      <c r="J40" s="22"/>
    </row>
    <row r="41">
      <c r="A41" s="12">
        <v>39.0</v>
      </c>
      <c r="B41" s="15" t="s">
        <v>361</v>
      </c>
      <c r="C41" s="16">
        <v>37.0</v>
      </c>
      <c r="D41" s="12" t="s">
        <v>219</v>
      </c>
      <c r="E41" s="26">
        <v>-2.0</v>
      </c>
      <c r="F41" s="22"/>
      <c r="G41" s="16">
        <v>33.0</v>
      </c>
      <c r="H41" s="12" t="s">
        <v>212</v>
      </c>
      <c r="I41" s="26">
        <v>-6.0</v>
      </c>
      <c r="J41" s="22"/>
    </row>
    <row r="42">
      <c r="A42" s="12">
        <v>40.0</v>
      </c>
      <c r="B42" s="15" t="s">
        <v>366</v>
      </c>
      <c r="C42" s="16">
        <v>46.0</v>
      </c>
      <c r="D42" s="12" t="s">
        <v>264</v>
      </c>
      <c r="E42" s="20">
        <f>+6</f>
        <v>6</v>
      </c>
      <c r="F42" s="22"/>
      <c r="G42" s="16">
        <v>42.0</v>
      </c>
      <c r="H42" s="12" t="s">
        <v>260</v>
      </c>
      <c r="I42" s="20">
        <f>+2</f>
        <v>2</v>
      </c>
      <c r="J42" s="22"/>
    </row>
    <row r="43">
      <c r="A43" s="12">
        <v>41.0</v>
      </c>
      <c r="B43" s="15" t="s">
        <v>373</v>
      </c>
      <c r="C43" s="16">
        <v>54.0</v>
      </c>
      <c r="D43" s="12" t="s">
        <v>292</v>
      </c>
      <c r="E43" s="20">
        <f>+13</f>
        <v>13</v>
      </c>
      <c r="F43" s="22"/>
      <c r="G43" s="16">
        <v>59.0</v>
      </c>
      <c r="H43" s="12" t="s">
        <v>307</v>
      </c>
      <c r="I43" s="20">
        <f>+18</f>
        <v>18</v>
      </c>
      <c r="J43" s="22"/>
    </row>
    <row r="44">
      <c r="A44" s="12">
        <v>42.0</v>
      </c>
      <c r="B44" s="15" t="s">
        <v>378</v>
      </c>
      <c r="C44" s="16">
        <v>30.0</v>
      </c>
      <c r="D44" s="12" t="s">
        <v>309</v>
      </c>
      <c r="E44" s="26">
        <v>-12.0</v>
      </c>
      <c r="F44" s="22"/>
      <c r="G44" s="16">
        <v>30.0</v>
      </c>
      <c r="H44" s="12" t="s">
        <v>274</v>
      </c>
      <c r="I44" s="26">
        <v>-12.0</v>
      </c>
      <c r="J44" s="22"/>
    </row>
    <row r="45">
      <c r="A45" s="12">
        <v>43.0</v>
      </c>
      <c r="B45" s="15" t="s">
        <v>384</v>
      </c>
      <c r="C45" s="16">
        <v>36.0</v>
      </c>
      <c r="D45" s="12" t="s">
        <v>212</v>
      </c>
      <c r="E45" s="26">
        <v>-7.0</v>
      </c>
      <c r="F45" s="22"/>
      <c r="G45" s="16">
        <v>25.0</v>
      </c>
      <c r="H45" s="12" t="s">
        <v>201</v>
      </c>
      <c r="I45" s="26">
        <v>-18.0</v>
      </c>
      <c r="J45" s="22"/>
    </row>
    <row r="46">
      <c r="A46" s="12">
        <v>44.0</v>
      </c>
      <c r="B46" s="15" t="s">
        <v>387</v>
      </c>
      <c r="C46" s="16">
        <v>39.0</v>
      </c>
      <c r="D46" s="12" t="s">
        <v>252</v>
      </c>
      <c r="E46" s="26">
        <v>-5.0</v>
      </c>
      <c r="F46" s="22"/>
      <c r="G46" s="16">
        <v>38.0</v>
      </c>
      <c r="H46" s="12" t="s">
        <v>252</v>
      </c>
      <c r="I46" s="26">
        <v>-6.0</v>
      </c>
      <c r="J46" s="22"/>
    </row>
    <row r="47">
      <c r="A47" s="12">
        <v>45.0</v>
      </c>
      <c r="B47" s="15" t="s">
        <v>389</v>
      </c>
      <c r="C47" s="16">
        <v>60.0</v>
      </c>
      <c r="D47" s="12" t="s">
        <v>300</v>
      </c>
      <c r="E47" s="20">
        <f>+15</f>
        <v>15</v>
      </c>
      <c r="F47" s="22"/>
      <c r="G47" s="16">
        <v>58.0</v>
      </c>
      <c r="H47" s="12" t="s">
        <v>300</v>
      </c>
      <c r="I47" s="20">
        <f>+13</f>
        <v>13</v>
      </c>
      <c r="J47" s="22"/>
    </row>
    <row r="48">
      <c r="A48" s="12">
        <v>46.0</v>
      </c>
      <c r="B48" s="15" t="s">
        <v>393</v>
      </c>
      <c r="C48" s="16">
        <v>53.0</v>
      </c>
      <c r="D48" s="12" t="s">
        <v>290</v>
      </c>
      <c r="E48" s="20">
        <f>+7</f>
        <v>7</v>
      </c>
      <c r="F48" s="22"/>
      <c r="G48" s="16">
        <v>62.0</v>
      </c>
      <c r="H48" s="12" t="s">
        <v>328</v>
      </c>
      <c r="I48" s="20">
        <f>+16</f>
        <v>16</v>
      </c>
      <c r="J48" s="22"/>
    </row>
    <row r="49">
      <c r="A49" s="12">
        <v>47.0</v>
      </c>
      <c r="B49" s="15" t="s">
        <v>396</v>
      </c>
      <c r="C49" s="16">
        <v>51.0</v>
      </c>
      <c r="D49" s="12" t="s">
        <v>283</v>
      </c>
      <c r="E49" s="20">
        <f>+4</f>
        <v>4</v>
      </c>
      <c r="F49" s="22"/>
      <c r="G49" s="16">
        <v>46.0</v>
      </c>
      <c r="H49" s="12" t="s">
        <v>276</v>
      </c>
      <c r="I49" s="26">
        <v>-1.0</v>
      </c>
      <c r="J49" s="22"/>
    </row>
    <row r="50">
      <c r="A50" s="12">
        <v>48.0</v>
      </c>
      <c r="B50" s="15" t="s">
        <v>397</v>
      </c>
      <c r="C50" s="16">
        <v>40.0</v>
      </c>
      <c r="D50" s="12" t="s">
        <v>314</v>
      </c>
      <c r="E50" s="26">
        <v>-8.0</v>
      </c>
      <c r="F50" s="22"/>
      <c r="G50" s="16">
        <v>40.0</v>
      </c>
      <c r="H50" s="12" t="s">
        <v>312</v>
      </c>
      <c r="I50" s="26">
        <v>-8.0</v>
      </c>
      <c r="J50" s="22"/>
    </row>
    <row r="51">
      <c r="A51" s="12">
        <v>49.0</v>
      </c>
      <c r="B51" s="15" t="s">
        <v>401</v>
      </c>
      <c r="C51" s="16">
        <v>52.0</v>
      </c>
      <c r="D51" s="12" t="s">
        <v>288</v>
      </c>
      <c r="E51" s="20">
        <f>+3</f>
        <v>3</v>
      </c>
      <c r="F51" s="22"/>
      <c r="G51" s="16">
        <v>51.0</v>
      </c>
      <c r="H51" s="12" t="s">
        <v>288</v>
      </c>
      <c r="I51" s="20">
        <f>+2</f>
        <v>2</v>
      </c>
      <c r="J51" s="22"/>
    </row>
    <row r="52">
      <c r="A52" s="12">
        <v>50.0</v>
      </c>
      <c r="B52" s="15" t="s">
        <v>405</v>
      </c>
      <c r="C52" s="16">
        <v>43.0</v>
      </c>
      <c r="D52" s="12" t="s">
        <v>317</v>
      </c>
      <c r="E52" s="26">
        <v>-7.0</v>
      </c>
      <c r="F52" s="22"/>
      <c r="G52" s="16">
        <v>48.0</v>
      </c>
      <c r="H52" s="12" t="s">
        <v>325</v>
      </c>
      <c r="I52" s="26">
        <v>-2.0</v>
      </c>
      <c r="J52" s="22"/>
    </row>
    <row r="53">
      <c r="A53" s="12">
        <v>51.0</v>
      </c>
      <c r="B53" s="15" t="s">
        <v>409</v>
      </c>
      <c r="C53" s="16">
        <v>73.0</v>
      </c>
      <c r="D53" s="12" t="s">
        <v>352</v>
      </c>
      <c r="E53" s="20">
        <f>+22</f>
        <v>22</v>
      </c>
      <c r="F53" s="22"/>
      <c r="G53" s="16">
        <v>67.0</v>
      </c>
      <c r="H53" s="12" t="s">
        <v>352</v>
      </c>
      <c r="I53" s="20">
        <f>+16</f>
        <v>16</v>
      </c>
      <c r="J53" s="22"/>
    </row>
    <row r="54">
      <c r="A54" s="12">
        <v>52.0</v>
      </c>
      <c r="B54" s="15" t="s">
        <v>414</v>
      </c>
      <c r="C54" s="16">
        <v>64.0</v>
      </c>
      <c r="D54" s="12" t="s">
        <v>328</v>
      </c>
      <c r="E54" s="20">
        <f>+12</f>
        <v>12</v>
      </c>
      <c r="F54" s="22"/>
      <c r="G54" s="16">
        <v>55.0</v>
      </c>
      <c r="H54" s="12" t="s">
        <v>292</v>
      </c>
      <c r="I54" s="20">
        <f>+3</f>
        <v>3</v>
      </c>
      <c r="J54" s="22"/>
    </row>
    <row r="55">
      <c r="A55" s="12">
        <v>53.0</v>
      </c>
      <c r="B55" s="15" t="s">
        <v>417</v>
      </c>
      <c r="C55" s="16">
        <v>49.0</v>
      </c>
      <c r="D55" s="12" t="s">
        <v>231</v>
      </c>
      <c r="E55" s="26">
        <v>-4.0</v>
      </c>
      <c r="F55" s="22"/>
      <c r="G55" s="16">
        <v>65.0</v>
      </c>
      <c r="H55" s="12" t="s">
        <v>271</v>
      </c>
      <c r="I55" s="20">
        <f>+12</f>
        <v>12</v>
      </c>
      <c r="J55" s="22"/>
    </row>
    <row r="56">
      <c r="A56" s="12">
        <v>54.0</v>
      </c>
      <c r="B56" s="15" t="s">
        <v>422</v>
      </c>
      <c r="C56" s="16">
        <v>45.0</v>
      </c>
      <c r="D56" s="12" t="s">
        <v>330</v>
      </c>
      <c r="E56" s="26">
        <v>-9.0</v>
      </c>
      <c r="F56" s="22"/>
      <c r="G56" s="16">
        <v>54.0</v>
      </c>
      <c r="H56" s="12" t="s">
        <v>349</v>
      </c>
      <c r="I56" s="23">
        <f>+0</f>
        <v>0</v>
      </c>
      <c r="J56" s="22"/>
    </row>
    <row r="57">
      <c r="A57" s="12">
        <v>55.0</v>
      </c>
      <c r="B57" s="15" t="s">
        <v>425</v>
      </c>
      <c r="C57" s="16">
        <v>65.0</v>
      </c>
      <c r="D57" s="12" t="s">
        <v>271</v>
      </c>
      <c r="E57" s="20">
        <f>+10</f>
        <v>10</v>
      </c>
      <c r="F57" s="22"/>
      <c r="G57" s="16">
        <v>88.0</v>
      </c>
      <c r="H57" s="12" t="s">
        <v>342</v>
      </c>
      <c r="I57" s="20">
        <f>+33</f>
        <v>33</v>
      </c>
      <c r="J57" s="22"/>
    </row>
    <row r="58">
      <c r="A58" s="12">
        <v>56.0</v>
      </c>
      <c r="B58" s="15" t="s">
        <v>429</v>
      </c>
      <c r="C58" s="16">
        <v>48.0</v>
      </c>
      <c r="D58" s="12" t="s">
        <v>349</v>
      </c>
      <c r="E58" s="26">
        <v>-8.0</v>
      </c>
      <c r="F58" s="22"/>
      <c r="G58" s="16">
        <v>53.0</v>
      </c>
      <c r="H58" s="12" t="s">
        <v>339</v>
      </c>
      <c r="I58" s="26">
        <v>-3.0</v>
      </c>
      <c r="J58" s="22"/>
    </row>
    <row r="59">
      <c r="A59" s="12">
        <v>57.0</v>
      </c>
      <c r="B59" s="15" t="s">
        <v>433</v>
      </c>
      <c r="C59" s="16">
        <v>67.0</v>
      </c>
      <c r="D59" s="12" t="s">
        <v>279</v>
      </c>
      <c r="E59" s="20">
        <f>+10</f>
        <v>10</v>
      </c>
      <c r="F59" s="22"/>
      <c r="G59" s="16">
        <v>78.0</v>
      </c>
      <c r="H59" s="12" t="s">
        <v>297</v>
      </c>
      <c r="I59" s="20">
        <f>+21</f>
        <v>21</v>
      </c>
      <c r="J59" s="22"/>
    </row>
    <row r="60">
      <c r="A60" s="12">
        <v>59.0</v>
      </c>
      <c r="B60" s="15" t="s">
        <v>437</v>
      </c>
      <c r="C60" s="16">
        <v>68.0</v>
      </c>
      <c r="D60" s="12" t="s">
        <v>337</v>
      </c>
      <c r="E60" s="20">
        <f>+9</f>
        <v>9</v>
      </c>
      <c r="F60" s="22"/>
      <c r="G60" s="16">
        <v>56.0</v>
      </c>
      <c r="H60" s="12" t="s">
        <v>295</v>
      </c>
      <c r="I60" s="26">
        <v>-3.0</v>
      </c>
      <c r="J60" s="22"/>
    </row>
    <row r="61">
      <c r="A61" s="12">
        <v>60.0</v>
      </c>
      <c r="B61" s="15" t="s">
        <v>442</v>
      </c>
      <c r="C61" s="16">
        <v>58.0</v>
      </c>
      <c r="D61" s="12" t="s">
        <v>262</v>
      </c>
      <c r="E61" s="26">
        <v>-2.0</v>
      </c>
      <c r="F61" s="22"/>
      <c r="G61" s="16">
        <v>49.0</v>
      </c>
      <c r="H61" s="12" t="s">
        <v>243</v>
      </c>
      <c r="I61" s="26">
        <v>-11.0</v>
      </c>
      <c r="J61" s="22"/>
    </row>
    <row r="62">
      <c r="A62" s="12">
        <v>61.0</v>
      </c>
      <c r="B62" s="15" t="s">
        <v>446</v>
      </c>
      <c r="C62" s="16">
        <v>44.0</v>
      </c>
      <c r="D62" s="12" t="s">
        <v>325</v>
      </c>
      <c r="E62" s="26">
        <v>-17.0</v>
      </c>
      <c r="F62" s="22"/>
      <c r="G62" s="16">
        <v>50.0</v>
      </c>
      <c r="H62" s="12" t="s">
        <v>330</v>
      </c>
      <c r="I62" s="26">
        <v>-11.0</v>
      </c>
      <c r="J62" s="22"/>
    </row>
    <row r="63">
      <c r="A63" s="12">
        <v>62.0</v>
      </c>
      <c r="B63" s="15" t="s">
        <v>450</v>
      </c>
      <c r="C63" s="16">
        <v>59.0</v>
      </c>
      <c r="D63" s="12" t="s">
        <v>303</v>
      </c>
      <c r="E63" s="26">
        <v>-3.0</v>
      </c>
      <c r="F63" s="22"/>
      <c r="G63" s="16">
        <v>63.0</v>
      </c>
      <c r="H63" s="12" t="s">
        <v>337</v>
      </c>
      <c r="I63" s="20">
        <f>+1</f>
        <v>1</v>
      </c>
      <c r="J63" s="22"/>
    </row>
    <row r="64">
      <c r="A64" s="12">
        <v>63.0</v>
      </c>
      <c r="B64" s="15" t="s">
        <v>454</v>
      </c>
      <c r="C64" s="16">
        <v>55.0</v>
      </c>
      <c r="D64" s="12" t="s">
        <v>295</v>
      </c>
      <c r="E64" s="26">
        <v>-8.0</v>
      </c>
      <c r="F64" s="22"/>
      <c r="G64" s="16">
        <v>52.0</v>
      </c>
      <c r="H64" s="12" t="s">
        <v>290</v>
      </c>
      <c r="I64" s="26">
        <v>-11.0</v>
      </c>
      <c r="J64" s="22"/>
    </row>
    <row r="65">
      <c r="A65" s="12">
        <v>64.0</v>
      </c>
      <c r="B65" s="15" t="s">
        <v>457</v>
      </c>
      <c r="C65" s="16">
        <v>50.0</v>
      </c>
      <c r="D65" s="12" t="s">
        <v>276</v>
      </c>
      <c r="E65" s="26">
        <v>-14.0</v>
      </c>
      <c r="F65" s="22"/>
      <c r="G65" s="16">
        <v>47.0</v>
      </c>
      <c r="H65" s="12" t="s">
        <v>283</v>
      </c>
      <c r="I65" s="26">
        <v>-17.0</v>
      </c>
      <c r="J65" s="22"/>
    </row>
    <row r="66">
      <c r="A66" s="12">
        <v>65.0</v>
      </c>
      <c r="B66" s="15" t="s">
        <v>462</v>
      </c>
      <c r="C66" s="16">
        <v>85.0</v>
      </c>
      <c r="D66" s="12" t="s">
        <v>379</v>
      </c>
      <c r="E66" s="20">
        <f>+20</f>
        <v>20</v>
      </c>
      <c r="F66" s="22"/>
      <c r="G66" s="16">
        <v>81.0</v>
      </c>
      <c r="H66" s="12" t="s">
        <v>362</v>
      </c>
      <c r="I66" s="20">
        <f>+16</f>
        <v>16</v>
      </c>
      <c r="J66" s="22"/>
    </row>
    <row r="67">
      <c r="A67" s="12">
        <v>66.0</v>
      </c>
      <c r="B67" s="15" t="s">
        <v>467</v>
      </c>
      <c r="C67" s="16">
        <v>56.0</v>
      </c>
      <c r="D67" s="12" t="s">
        <v>243</v>
      </c>
      <c r="E67" s="26">
        <v>-10.0</v>
      </c>
      <c r="F67" s="22"/>
      <c r="G67" s="16">
        <v>64.0</v>
      </c>
      <c r="H67" s="12" t="s">
        <v>262</v>
      </c>
      <c r="I67" s="26">
        <v>-2.0</v>
      </c>
      <c r="J67" s="22"/>
    </row>
    <row r="68">
      <c r="A68" s="12">
        <v>67.0</v>
      </c>
      <c r="B68" s="15" t="s">
        <v>472</v>
      </c>
      <c r="C68" s="16">
        <v>61.0</v>
      </c>
      <c r="D68" s="12" t="s">
        <v>307</v>
      </c>
      <c r="E68" s="26">
        <v>-6.0</v>
      </c>
      <c r="F68" s="22"/>
      <c r="G68" s="16">
        <v>57.0</v>
      </c>
      <c r="H68" s="12" t="s">
        <v>303</v>
      </c>
      <c r="I68" s="26">
        <v>-10.0</v>
      </c>
      <c r="J68" s="22"/>
    </row>
    <row r="69">
      <c r="A69" s="12">
        <v>68.0</v>
      </c>
      <c r="B69" s="15" t="s">
        <v>475</v>
      </c>
      <c r="C69" s="16">
        <v>70.0</v>
      </c>
      <c r="D69" s="12" t="s">
        <v>347</v>
      </c>
      <c r="E69" s="20">
        <f>+2</f>
        <v>2</v>
      </c>
      <c r="F69" s="22"/>
      <c r="G69" s="16">
        <v>66.0</v>
      </c>
      <c r="H69" s="12" t="s">
        <v>344</v>
      </c>
      <c r="I69" s="26">
        <v>-2.0</v>
      </c>
      <c r="J69" s="22"/>
    </row>
    <row r="70">
      <c r="A70" s="12">
        <v>69.0</v>
      </c>
      <c r="B70" s="15" t="s">
        <v>480</v>
      </c>
      <c r="C70" s="16">
        <v>57.0</v>
      </c>
      <c r="D70" s="12" t="s">
        <v>364</v>
      </c>
      <c r="E70" s="26">
        <v>-12.0</v>
      </c>
      <c r="F70" s="22"/>
      <c r="G70" s="16">
        <v>70.0</v>
      </c>
      <c r="H70" s="12" t="s">
        <v>369</v>
      </c>
      <c r="I70" s="20">
        <f>+1</f>
        <v>1</v>
      </c>
      <c r="J70" s="22"/>
    </row>
    <row r="71">
      <c r="A71" s="12">
        <v>70.0</v>
      </c>
      <c r="B71" s="15" t="s">
        <v>484</v>
      </c>
      <c r="C71" s="16">
        <v>76.0</v>
      </c>
      <c r="D71" s="12" t="s">
        <v>355</v>
      </c>
      <c r="E71" s="20">
        <f>+6</f>
        <v>6</v>
      </c>
      <c r="F71" s="22"/>
      <c r="G71" s="16">
        <v>73.0</v>
      </c>
      <c r="H71" s="12" t="s">
        <v>355</v>
      </c>
      <c r="I71" s="20">
        <f>+3</f>
        <v>3</v>
      </c>
      <c r="J71" s="22"/>
    </row>
    <row r="72">
      <c r="A72" s="12">
        <v>72.0</v>
      </c>
      <c r="B72" s="15" t="s">
        <v>488</v>
      </c>
      <c r="C72" s="16">
        <v>86.0</v>
      </c>
      <c r="D72" s="12" t="s">
        <v>342</v>
      </c>
      <c r="E72" s="20">
        <f>+14</f>
        <v>14</v>
      </c>
      <c r="F72" s="22"/>
      <c r="G72" s="16">
        <v>94.0</v>
      </c>
      <c r="H72" s="12" t="s">
        <v>371</v>
      </c>
      <c r="I72" s="20">
        <f>+22</f>
        <v>22</v>
      </c>
      <c r="J72" s="22"/>
    </row>
    <row r="73">
      <c r="A73" s="12">
        <v>73.0</v>
      </c>
      <c r="B73" s="15" t="s">
        <v>494</v>
      </c>
      <c r="C73" s="16">
        <v>92.0</v>
      </c>
      <c r="D73" s="12" t="s">
        <v>371</v>
      </c>
      <c r="E73" s="20">
        <f>+19</f>
        <v>19</v>
      </c>
      <c r="F73" s="22"/>
      <c r="G73" s="16">
        <v>92.0</v>
      </c>
      <c r="H73" s="12" t="s">
        <v>357</v>
      </c>
      <c r="I73" s="20">
        <f>+19</f>
        <v>19</v>
      </c>
      <c r="J73" s="22"/>
    </row>
    <row r="74">
      <c r="A74" s="12">
        <v>74.0</v>
      </c>
      <c r="B74" s="15" t="s">
        <v>500</v>
      </c>
      <c r="C74" s="16">
        <v>80.0</v>
      </c>
      <c r="D74" s="12" t="s">
        <v>305</v>
      </c>
      <c r="E74" s="20">
        <f>+6</f>
        <v>6</v>
      </c>
      <c r="F74" s="22"/>
      <c r="G74" s="16">
        <v>76.0</v>
      </c>
      <c r="H74" s="12" t="s">
        <v>281</v>
      </c>
      <c r="I74" s="20">
        <f>+2</f>
        <v>2</v>
      </c>
      <c r="J74" s="22"/>
    </row>
    <row r="75">
      <c r="A75" s="12">
        <v>75.0</v>
      </c>
      <c r="B75" s="15" t="s">
        <v>507</v>
      </c>
      <c r="C75" s="16">
        <v>72.0</v>
      </c>
      <c r="D75" s="12" t="s">
        <v>376</v>
      </c>
      <c r="E75" s="26">
        <v>-3.0</v>
      </c>
      <c r="F75" s="22"/>
      <c r="G75" s="16">
        <v>75.0</v>
      </c>
      <c r="H75" s="12" t="s">
        <v>376</v>
      </c>
      <c r="I75" s="23">
        <f>+0</f>
        <v>0</v>
      </c>
      <c r="J75" s="22"/>
    </row>
    <row r="76">
      <c r="A76" s="12">
        <v>77.0</v>
      </c>
      <c r="B76" s="15" t="s">
        <v>514</v>
      </c>
      <c r="C76" s="16">
        <v>69.0</v>
      </c>
      <c r="D76" s="12" t="s">
        <v>344</v>
      </c>
      <c r="E76" s="26">
        <v>-8.0</v>
      </c>
      <c r="F76" s="22"/>
      <c r="G76" s="16">
        <v>60.0</v>
      </c>
      <c r="H76" s="12" t="s">
        <v>322</v>
      </c>
      <c r="I76" s="26">
        <v>-17.0</v>
      </c>
      <c r="J76" s="22"/>
    </row>
    <row r="77">
      <c r="A77" s="12">
        <v>78.0</v>
      </c>
      <c r="B77" s="15" t="s">
        <v>519</v>
      </c>
      <c r="C77" s="16">
        <v>82.0</v>
      </c>
      <c r="D77" s="12" t="s">
        <v>359</v>
      </c>
      <c r="E77" s="20">
        <f>+4</f>
        <v>4</v>
      </c>
      <c r="F77" s="22"/>
      <c r="G77" s="16">
        <v>85.0</v>
      </c>
      <c r="H77" s="12" t="s">
        <v>379</v>
      </c>
      <c r="I77" s="20">
        <f>+7</f>
        <v>7</v>
      </c>
      <c r="J77" s="22"/>
    </row>
    <row r="78">
      <c r="A78" s="12">
        <v>79.0</v>
      </c>
      <c r="B78" s="15" t="s">
        <v>524</v>
      </c>
      <c r="C78" s="16">
        <v>63.0</v>
      </c>
      <c r="D78" s="12" t="s">
        <v>322</v>
      </c>
      <c r="E78" s="26">
        <v>-16.0</v>
      </c>
      <c r="F78" s="22"/>
      <c r="G78" s="16">
        <v>69.0</v>
      </c>
      <c r="H78" s="12" t="s">
        <v>347</v>
      </c>
      <c r="I78" s="26">
        <v>-10.0</v>
      </c>
      <c r="J78" s="22"/>
    </row>
    <row r="79">
      <c r="A79" s="12">
        <v>80.0</v>
      </c>
      <c r="B79" s="15" t="s">
        <v>529</v>
      </c>
      <c r="C79" s="16">
        <v>96.0</v>
      </c>
      <c r="D79" s="12" t="s">
        <v>412</v>
      </c>
      <c r="E79" s="20">
        <f>+16</f>
        <v>16</v>
      </c>
      <c r="F79" s="22"/>
      <c r="G79" s="16">
        <v>89.0</v>
      </c>
      <c r="H79" s="12" t="s">
        <v>392</v>
      </c>
      <c r="I79" s="20">
        <f>+9</f>
        <v>9</v>
      </c>
      <c r="J79" s="22"/>
    </row>
    <row r="80">
      <c r="A80" s="12">
        <v>81.0</v>
      </c>
      <c r="B80" s="15" t="s">
        <v>536</v>
      </c>
      <c r="C80" s="16">
        <v>74.0</v>
      </c>
      <c r="D80" s="12" t="s">
        <v>383</v>
      </c>
      <c r="E80" s="26">
        <v>-7.0</v>
      </c>
      <c r="F80" s="22"/>
      <c r="G80" s="16">
        <v>82.0</v>
      </c>
      <c r="H80" s="12" t="s">
        <v>395</v>
      </c>
      <c r="I80" s="20">
        <f>+1</f>
        <v>1</v>
      </c>
      <c r="J80" s="22"/>
    </row>
    <row r="81">
      <c r="A81" s="12">
        <v>82.0</v>
      </c>
      <c r="B81" s="15" t="s">
        <v>541</v>
      </c>
      <c r="C81" s="16">
        <v>79.0</v>
      </c>
      <c r="D81" s="12" t="s">
        <v>319</v>
      </c>
      <c r="E81" s="26">
        <v>-3.0</v>
      </c>
      <c r="F81" s="22"/>
      <c r="G81" s="16">
        <v>72.0</v>
      </c>
      <c r="H81" s="12" t="s">
        <v>279</v>
      </c>
      <c r="I81" s="26">
        <v>-10.0</v>
      </c>
      <c r="J81" s="22"/>
    </row>
    <row r="82">
      <c r="A82" s="12">
        <v>83.0</v>
      </c>
      <c r="B82" s="15" t="s">
        <v>547</v>
      </c>
      <c r="C82" s="16">
        <v>103.0</v>
      </c>
      <c r="D82" s="12" t="s">
        <v>420</v>
      </c>
      <c r="E82" s="20">
        <f>+20</f>
        <v>20</v>
      </c>
      <c r="F82" s="22"/>
      <c r="G82" s="16">
        <v>103.0</v>
      </c>
      <c r="H82" s="12" t="s">
        <v>420</v>
      </c>
      <c r="I82" s="20">
        <f>+20</f>
        <v>20</v>
      </c>
      <c r="J82" s="22"/>
    </row>
    <row r="83">
      <c r="A83" s="12">
        <v>84.0</v>
      </c>
      <c r="B83" s="15" t="s">
        <v>554</v>
      </c>
      <c r="C83" s="16">
        <v>47.0</v>
      </c>
      <c r="D83" s="12" t="s">
        <v>339</v>
      </c>
      <c r="E83" s="26">
        <v>-37.0</v>
      </c>
      <c r="F83" s="22"/>
      <c r="G83" s="16">
        <v>41.0</v>
      </c>
      <c r="H83" s="12" t="s">
        <v>314</v>
      </c>
      <c r="I83" s="26">
        <v>-43.0</v>
      </c>
      <c r="J83" s="22"/>
    </row>
    <row r="84">
      <c r="A84" s="12">
        <v>85.0</v>
      </c>
      <c r="B84" s="15" t="s">
        <v>560</v>
      </c>
      <c r="C84" s="16">
        <v>77.0</v>
      </c>
      <c r="D84" s="12" t="s">
        <v>297</v>
      </c>
      <c r="E84" s="26">
        <v>-8.0</v>
      </c>
      <c r="F84" s="22"/>
      <c r="G84" s="16">
        <v>80.0</v>
      </c>
      <c r="H84" s="12" t="s">
        <v>319</v>
      </c>
      <c r="I84" s="26">
        <v>-5.0</v>
      </c>
      <c r="J84" s="22"/>
    </row>
    <row r="85">
      <c r="A85" s="12">
        <v>87.0</v>
      </c>
      <c r="B85" s="15" t="s">
        <v>565</v>
      </c>
      <c r="C85" s="16">
        <v>105.0</v>
      </c>
      <c r="D85" s="12" t="s">
        <v>431</v>
      </c>
      <c r="E85" s="20">
        <f>+18</f>
        <v>18</v>
      </c>
      <c r="F85" s="22"/>
      <c r="G85" s="16">
        <v>101.0</v>
      </c>
      <c r="H85" s="12" t="s">
        <v>431</v>
      </c>
      <c r="I85" s="20">
        <f>+14</f>
        <v>14</v>
      </c>
      <c r="J85" s="22"/>
    </row>
    <row r="86">
      <c r="A86" s="12">
        <v>88.0</v>
      </c>
      <c r="B86" s="15" t="s">
        <v>571</v>
      </c>
      <c r="C86" s="16">
        <v>62.0</v>
      </c>
      <c r="D86" s="12" t="s">
        <v>367</v>
      </c>
      <c r="E86" s="26">
        <v>-26.0</v>
      </c>
      <c r="F86" s="22"/>
      <c r="G86" s="16">
        <v>61.0</v>
      </c>
      <c r="H86" s="12" t="s">
        <v>364</v>
      </c>
      <c r="I86" s="26">
        <v>-27.0</v>
      </c>
      <c r="J86" s="22"/>
    </row>
    <row r="87">
      <c r="A87" s="12">
        <v>89.0</v>
      </c>
      <c r="B87" s="15" t="s">
        <v>577</v>
      </c>
      <c r="C87" s="16">
        <v>81.0</v>
      </c>
      <c r="D87" s="12" t="s">
        <v>390</v>
      </c>
      <c r="E87" s="26">
        <v>-8.0</v>
      </c>
      <c r="F87" s="22"/>
      <c r="G87" s="16">
        <v>79.0</v>
      </c>
      <c r="H87" s="12" t="s">
        <v>390</v>
      </c>
      <c r="I87" s="26">
        <v>-10.0</v>
      </c>
      <c r="J87" s="22"/>
    </row>
    <row r="88">
      <c r="A88" s="12">
        <v>91.0</v>
      </c>
      <c r="B88" s="15" t="s">
        <v>582</v>
      </c>
      <c r="C88" s="16">
        <v>175.0</v>
      </c>
      <c r="D88" s="12" t="s">
        <v>586</v>
      </c>
      <c r="E88" s="20">
        <f>+84</f>
        <v>84</v>
      </c>
      <c r="F88" s="22"/>
      <c r="G88" s="16">
        <v>238.0</v>
      </c>
      <c r="H88" s="12" t="s">
        <v>588</v>
      </c>
      <c r="I88" s="29" t="s">
        <v>157</v>
      </c>
      <c r="J88" s="22"/>
    </row>
    <row r="89">
      <c r="A89" s="12">
        <v>92.0</v>
      </c>
      <c r="B89" s="15" t="s">
        <v>595</v>
      </c>
      <c r="C89" s="16">
        <v>95.0</v>
      </c>
      <c r="D89" s="12" t="s">
        <v>407</v>
      </c>
      <c r="E89" s="20">
        <f>+3</f>
        <v>3</v>
      </c>
      <c r="F89" s="22"/>
      <c r="G89" s="16">
        <v>93.0</v>
      </c>
      <c r="H89" s="12" t="s">
        <v>404</v>
      </c>
      <c r="I89" s="20">
        <f>+1</f>
        <v>1</v>
      </c>
      <c r="J89" s="22"/>
    </row>
    <row r="90">
      <c r="A90" s="12">
        <v>94.0</v>
      </c>
      <c r="B90" s="15" t="s">
        <v>601</v>
      </c>
      <c r="C90" s="16">
        <v>84.0</v>
      </c>
      <c r="D90" s="12" t="s">
        <v>362</v>
      </c>
      <c r="E90" s="26">
        <v>-10.0</v>
      </c>
      <c r="F90" s="22"/>
      <c r="G90" s="16">
        <v>74.0</v>
      </c>
      <c r="H90" s="12" t="s">
        <v>359</v>
      </c>
      <c r="I90" s="26">
        <v>-20.0</v>
      </c>
      <c r="J90" s="22"/>
    </row>
    <row r="91">
      <c r="A91" s="12">
        <v>95.0</v>
      </c>
      <c r="B91" s="15" t="s">
        <v>607</v>
      </c>
      <c r="C91" s="16">
        <v>66.0</v>
      </c>
      <c r="D91" s="12" t="s">
        <v>369</v>
      </c>
      <c r="E91" s="26">
        <v>-29.0</v>
      </c>
      <c r="F91" s="22"/>
      <c r="G91" s="16">
        <v>77.0</v>
      </c>
      <c r="H91" s="12" t="s">
        <v>383</v>
      </c>
      <c r="I91" s="26">
        <v>-18.0</v>
      </c>
      <c r="J91" s="22"/>
    </row>
    <row r="92">
      <c r="A92" s="12">
        <v>96.0</v>
      </c>
      <c r="B92" s="15" t="s">
        <v>612</v>
      </c>
      <c r="C92" s="16">
        <v>88.0</v>
      </c>
      <c r="D92" s="12" t="s">
        <v>357</v>
      </c>
      <c r="E92" s="26">
        <v>-8.0</v>
      </c>
      <c r="F92" s="22"/>
      <c r="G92" s="16">
        <v>87.0</v>
      </c>
      <c r="H92" s="12" t="s">
        <v>335</v>
      </c>
      <c r="I92" s="26">
        <v>-9.0</v>
      </c>
      <c r="J92" s="22"/>
    </row>
    <row r="93">
      <c r="A93" s="12">
        <v>98.0</v>
      </c>
      <c r="B93" s="15" t="s">
        <v>616</v>
      </c>
      <c r="C93" s="16">
        <v>97.0</v>
      </c>
      <c r="D93" s="12" t="s">
        <v>410</v>
      </c>
      <c r="E93" s="26">
        <v>-1.0</v>
      </c>
      <c r="F93" s="22"/>
      <c r="G93" s="16">
        <v>104.0</v>
      </c>
      <c r="H93" s="12" t="s">
        <v>436</v>
      </c>
      <c r="I93" s="20">
        <f>+6</f>
        <v>6</v>
      </c>
      <c r="J93" s="22"/>
    </row>
    <row r="94">
      <c r="A94" s="12">
        <v>99.0</v>
      </c>
      <c r="B94" s="15" t="s">
        <v>620</v>
      </c>
      <c r="C94" s="16">
        <v>98.0</v>
      </c>
      <c r="D94" s="12" t="s">
        <v>415</v>
      </c>
      <c r="E94" s="26">
        <v>-1.0</v>
      </c>
      <c r="F94" s="22"/>
      <c r="G94" s="16">
        <v>86.0</v>
      </c>
      <c r="H94" s="12" t="s">
        <v>386</v>
      </c>
      <c r="I94" s="26">
        <v>-13.0</v>
      </c>
      <c r="J94" s="22"/>
    </row>
    <row r="95">
      <c r="A95" s="12">
        <v>100.0</v>
      </c>
      <c r="B95" s="15" t="s">
        <v>627</v>
      </c>
      <c r="C95" s="16">
        <v>117.0</v>
      </c>
      <c r="D95" s="12" t="s">
        <v>463</v>
      </c>
      <c r="E95" s="20">
        <f>+17</f>
        <v>17</v>
      </c>
      <c r="F95" s="22"/>
      <c r="G95" s="16">
        <v>126.0</v>
      </c>
      <c r="H95" s="12" t="s">
        <v>463</v>
      </c>
      <c r="I95" s="20">
        <f>+26</f>
        <v>26</v>
      </c>
      <c r="J95" s="22"/>
    </row>
    <row r="96">
      <c r="A96" s="12">
        <v>101.0</v>
      </c>
      <c r="B96" s="15" t="s">
        <v>633</v>
      </c>
      <c r="C96" s="16">
        <v>89.0</v>
      </c>
      <c r="D96" s="12" t="s">
        <v>386</v>
      </c>
      <c r="E96" s="26">
        <v>-12.0</v>
      </c>
      <c r="F96" s="22"/>
      <c r="G96" s="16">
        <v>90.0</v>
      </c>
      <c r="H96" s="12" t="s">
        <v>399</v>
      </c>
      <c r="I96" s="26">
        <v>-11.0</v>
      </c>
      <c r="J96" s="22"/>
    </row>
    <row r="97">
      <c r="A97" s="12">
        <v>102.0</v>
      </c>
      <c r="B97" s="15" t="s">
        <v>639</v>
      </c>
      <c r="C97" s="16">
        <v>125.0</v>
      </c>
      <c r="D97" s="12" t="s">
        <v>476</v>
      </c>
      <c r="E97" s="20">
        <f>+23</f>
        <v>23</v>
      </c>
      <c r="F97" s="22"/>
      <c r="G97" s="16">
        <v>136.0</v>
      </c>
      <c r="H97" s="12" t="s">
        <v>498</v>
      </c>
      <c r="I97" s="20">
        <f>+34</f>
        <v>34</v>
      </c>
      <c r="J97" s="22"/>
    </row>
    <row r="98">
      <c r="A98" s="12">
        <v>103.0</v>
      </c>
      <c r="B98" s="15" t="s">
        <v>645</v>
      </c>
      <c r="C98" s="16">
        <v>83.0</v>
      </c>
      <c r="D98" s="12" t="s">
        <v>335</v>
      </c>
      <c r="E98" s="26">
        <v>-20.0</v>
      </c>
      <c r="F98" s="22"/>
      <c r="G98" s="16">
        <v>39.0</v>
      </c>
      <c r="H98" s="12" t="s">
        <v>225</v>
      </c>
      <c r="I98" s="26">
        <v>-64.0</v>
      </c>
      <c r="J98" s="22"/>
    </row>
    <row r="99">
      <c r="A99" s="12">
        <v>104.0</v>
      </c>
      <c r="B99" s="15" t="s">
        <v>648</v>
      </c>
      <c r="C99" s="16">
        <v>126.0</v>
      </c>
      <c r="D99" s="12" t="s">
        <v>428</v>
      </c>
      <c r="E99" s="20">
        <f>+22</f>
        <v>22</v>
      </c>
      <c r="F99" s="22"/>
      <c r="G99" s="16">
        <v>164.0</v>
      </c>
      <c r="H99" s="12" t="s">
        <v>630</v>
      </c>
      <c r="I99" s="20">
        <f>+60</f>
        <v>60</v>
      </c>
      <c r="J99" s="22"/>
    </row>
    <row r="100">
      <c r="A100" s="12">
        <v>105.0</v>
      </c>
      <c r="B100" s="15" t="s">
        <v>652</v>
      </c>
      <c r="C100" s="16">
        <v>102.0</v>
      </c>
      <c r="D100" s="12" t="s">
        <v>418</v>
      </c>
      <c r="E100" s="26">
        <v>-3.0</v>
      </c>
      <c r="F100" s="22"/>
      <c r="G100" s="16">
        <v>110.0</v>
      </c>
      <c r="H100" s="12" t="s">
        <v>439</v>
      </c>
      <c r="I100" s="20">
        <f>+5</f>
        <v>5</v>
      </c>
      <c r="J100" s="22"/>
    </row>
    <row r="101">
      <c r="A101" s="12">
        <v>106.0</v>
      </c>
      <c r="B101" s="15" t="s">
        <v>656</v>
      </c>
      <c r="C101" s="16">
        <v>90.0</v>
      </c>
      <c r="D101" s="12" t="s">
        <v>399</v>
      </c>
      <c r="E101" s="26">
        <v>-16.0</v>
      </c>
      <c r="F101" s="22"/>
      <c r="G101" s="16">
        <v>99.0</v>
      </c>
      <c r="H101" s="12" t="s">
        <v>418</v>
      </c>
      <c r="I101" s="26">
        <v>-7.0</v>
      </c>
      <c r="J101" s="22"/>
    </row>
    <row r="102">
      <c r="A102" s="12">
        <v>107.0</v>
      </c>
      <c r="B102" s="15" t="s">
        <v>660</v>
      </c>
      <c r="C102" s="16">
        <v>115.0</v>
      </c>
      <c r="D102" s="12" t="s">
        <v>458</v>
      </c>
      <c r="E102" s="20">
        <f>+8</f>
        <v>8</v>
      </c>
      <c r="F102" s="22"/>
      <c r="G102" s="16">
        <v>118.0</v>
      </c>
      <c r="H102" s="12" t="s">
        <v>447</v>
      </c>
      <c r="I102" s="20">
        <f>+11</f>
        <v>11</v>
      </c>
      <c r="J102" s="22"/>
    </row>
    <row r="103">
      <c r="A103" s="12">
        <v>108.0</v>
      </c>
      <c r="B103" s="15" t="s">
        <v>663</v>
      </c>
      <c r="C103" s="16">
        <v>87.0</v>
      </c>
      <c r="D103" s="12" t="s">
        <v>402</v>
      </c>
      <c r="E103" s="26">
        <v>-21.0</v>
      </c>
      <c r="F103" s="22"/>
      <c r="G103" s="16">
        <v>83.0</v>
      </c>
      <c r="H103" s="12" t="s">
        <v>402</v>
      </c>
      <c r="I103" s="26">
        <v>-25.0</v>
      </c>
      <c r="J103" s="22"/>
    </row>
    <row r="104">
      <c r="A104" s="12">
        <v>109.0</v>
      </c>
      <c r="B104" s="15" t="s">
        <v>667</v>
      </c>
      <c r="C104" s="16">
        <v>158.0</v>
      </c>
      <c r="D104" s="12" t="s">
        <v>544</v>
      </c>
      <c r="E104" s="20">
        <f>+49</f>
        <v>49</v>
      </c>
      <c r="F104" s="22"/>
      <c r="G104" s="16">
        <v>196.0</v>
      </c>
      <c r="H104" s="12" t="s">
        <v>670</v>
      </c>
      <c r="I104" s="20">
        <f>+87</f>
        <v>87</v>
      </c>
      <c r="J104" s="22"/>
    </row>
    <row r="105">
      <c r="A105" s="12">
        <v>110.0</v>
      </c>
      <c r="B105" s="15" t="s">
        <v>672</v>
      </c>
      <c r="C105" s="16">
        <v>104.0</v>
      </c>
      <c r="D105" s="12" t="s">
        <v>436</v>
      </c>
      <c r="E105" s="26">
        <v>-6.0</v>
      </c>
      <c r="F105" s="22"/>
      <c r="G105" s="16">
        <v>98.0</v>
      </c>
      <c r="H105" s="12" t="s">
        <v>415</v>
      </c>
      <c r="I105" s="26">
        <v>-12.0</v>
      </c>
      <c r="J105" s="22"/>
    </row>
    <row r="106">
      <c r="A106" s="12">
        <v>111.0</v>
      </c>
      <c r="B106" s="15" t="s">
        <v>676</v>
      </c>
      <c r="C106" s="16">
        <v>122.0</v>
      </c>
      <c r="D106" s="12" t="s">
        <v>470</v>
      </c>
      <c r="E106" s="20">
        <f>+11</f>
        <v>11</v>
      </c>
      <c r="F106" s="22"/>
      <c r="G106" s="16">
        <v>128.0</v>
      </c>
      <c r="H106" s="12" t="s">
        <v>470</v>
      </c>
      <c r="I106" s="20">
        <f>+17</f>
        <v>17</v>
      </c>
      <c r="J106" s="22"/>
    </row>
    <row r="107">
      <c r="A107" s="12">
        <v>112.0</v>
      </c>
      <c r="B107" s="15" t="s">
        <v>680</v>
      </c>
      <c r="C107" s="16">
        <v>71.0</v>
      </c>
      <c r="D107" s="12" t="s">
        <v>374</v>
      </c>
      <c r="E107" s="26">
        <v>-41.0</v>
      </c>
      <c r="F107" s="22"/>
      <c r="G107" s="16">
        <v>71.0</v>
      </c>
      <c r="H107" s="12" t="s">
        <v>374</v>
      </c>
      <c r="I107" s="26">
        <v>-41.0</v>
      </c>
      <c r="J107" s="22"/>
    </row>
    <row r="108">
      <c r="A108" s="12">
        <v>114.0</v>
      </c>
      <c r="B108" s="15" t="s">
        <v>683</v>
      </c>
      <c r="C108" s="16">
        <v>134.0</v>
      </c>
      <c r="D108" s="12" t="s">
        <v>501</v>
      </c>
      <c r="E108" s="20">
        <f>+20</f>
        <v>20</v>
      </c>
      <c r="F108" s="22"/>
      <c r="G108" s="16">
        <v>159.0</v>
      </c>
      <c r="H108" s="12" t="s">
        <v>553</v>
      </c>
      <c r="I108" s="20">
        <f>+45</f>
        <v>45</v>
      </c>
      <c r="J108" s="22"/>
    </row>
    <row r="109">
      <c r="A109" s="12">
        <v>115.0</v>
      </c>
      <c r="B109" s="15" t="s">
        <v>688</v>
      </c>
      <c r="C109" s="16">
        <v>107.0</v>
      </c>
      <c r="D109" s="12" t="s">
        <v>439</v>
      </c>
      <c r="E109" s="26">
        <v>-8.0</v>
      </c>
      <c r="F109" s="22"/>
      <c r="G109" s="16">
        <v>111.0</v>
      </c>
      <c r="H109" s="12" t="s">
        <v>441</v>
      </c>
      <c r="I109" s="26">
        <v>-4.0</v>
      </c>
      <c r="J109" s="22"/>
    </row>
    <row r="110">
      <c r="A110" s="12">
        <v>116.0</v>
      </c>
      <c r="B110" s="15" t="s">
        <v>694</v>
      </c>
      <c r="C110" s="16">
        <v>94.0</v>
      </c>
      <c r="D110" s="12" t="s">
        <v>423</v>
      </c>
      <c r="E110" s="26">
        <v>-22.0</v>
      </c>
      <c r="F110" s="22"/>
      <c r="G110" s="16">
        <v>95.0</v>
      </c>
      <c r="H110" s="12" t="s">
        <v>423</v>
      </c>
      <c r="I110" s="26">
        <v>-21.0</v>
      </c>
      <c r="J110" s="22"/>
    </row>
    <row r="111">
      <c r="A111" s="12">
        <v>117.0</v>
      </c>
      <c r="B111" s="15" t="s">
        <v>699</v>
      </c>
      <c r="C111" s="16">
        <v>93.0</v>
      </c>
      <c r="D111" s="12" t="s">
        <v>392</v>
      </c>
      <c r="E111" s="26">
        <v>-24.0</v>
      </c>
      <c r="F111" s="22"/>
      <c r="G111" s="16">
        <v>91.0</v>
      </c>
      <c r="H111" s="12" t="s">
        <v>412</v>
      </c>
      <c r="I111" s="26">
        <v>-26.0</v>
      </c>
      <c r="J111" s="22"/>
    </row>
    <row r="112">
      <c r="A112" s="12">
        <v>119.0</v>
      </c>
      <c r="B112" s="15" t="s">
        <v>703</v>
      </c>
      <c r="C112" s="16">
        <v>132.0</v>
      </c>
      <c r="D112" s="12" t="s">
        <v>498</v>
      </c>
      <c r="E112" s="20">
        <f>+13</f>
        <v>13</v>
      </c>
      <c r="F112" s="22"/>
      <c r="G112" s="16">
        <v>140.0</v>
      </c>
      <c r="H112" s="12" t="s">
        <v>508</v>
      </c>
      <c r="I112" s="20">
        <f>+21</f>
        <v>21</v>
      </c>
      <c r="J112" s="22"/>
    </row>
    <row r="113">
      <c r="A113" s="12">
        <v>120.0</v>
      </c>
      <c r="B113" s="15" t="s">
        <v>711</v>
      </c>
      <c r="C113" s="16">
        <v>139.0</v>
      </c>
      <c r="D113" s="12" t="s">
        <v>508</v>
      </c>
      <c r="E113" s="20">
        <f>+19</f>
        <v>19</v>
      </c>
      <c r="F113" s="22"/>
      <c r="G113" s="16">
        <v>132.0</v>
      </c>
      <c r="H113" s="12" t="s">
        <v>476</v>
      </c>
      <c r="I113" s="20">
        <f>+12</f>
        <v>12</v>
      </c>
      <c r="J113" s="22"/>
    </row>
    <row r="114">
      <c r="A114" s="12">
        <v>121.0</v>
      </c>
      <c r="B114" s="15" t="s">
        <v>716</v>
      </c>
      <c r="C114" s="16">
        <v>99.0</v>
      </c>
      <c r="D114" s="12" t="s">
        <v>426</v>
      </c>
      <c r="E114" s="26">
        <v>-22.0</v>
      </c>
      <c r="F114" s="22"/>
      <c r="G114" s="16">
        <v>106.0</v>
      </c>
      <c r="H114" s="12" t="s">
        <v>444</v>
      </c>
      <c r="I114" s="26">
        <v>-15.0</v>
      </c>
      <c r="J114" s="22"/>
    </row>
    <row r="115">
      <c r="A115" s="12">
        <v>122.0</v>
      </c>
      <c r="B115" s="15" t="s">
        <v>721</v>
      </c>
      <c r="C115" s="16">
        <v>120.0</v>
      </c>
      <c r="D115" s="12" t="s">
        <v>503</v>
      </c>
      <c r="E115" s="26">
        <v>-2.0</v>
      </c>
      <c r="F115" s="22"/>
      <c r="G115" s="16">
        <v>120.0</v>
      </c>
      <c r="H115" s="12" t="s">
        <v>551</v>
      </c>
      <c r="I115" s="26">
        <v>-2.0</v>
      </c>
      <c r="J115" s="22"/>
    </row>
    <row r="116">
      <c r="A116" s="12">
        <v>123.0</v>
      </c>
      <c r="B116" s="15" t="s">
        <v>726</v>
      </c>
      <c r="C116" s="16">
        <v>101.0</v>
      </c>
      <c r="D116" s="12" t="s">
        <v>444</v>
      </c>
      <c r="E116" s="26">
        <v>-22.0</v>
      </c>
      <c r="F116" s="22"/>
      <c r="G116" s="16">
        <v>105.0</v>
      </c>
      <c r="H116" s="12" t="s">
        <v>434</v>
      </c>
      <c r="I116" s="26">
        <v>-18.0</v>
      </c>
      <c r="J116" s="22"/>
    </row>
    <row r="117">
      <c r="A117" s="12">
        <v>124.0</v>
      </c>
      <c r="B117" s="15" t="s">
        <v>731</v>
      </c>
      <c r="C117" s="16">
        <v>130.0</v>
      </c>
      <c r="D117" s="12" t="s">
        <v>483</v>
      </c>
      <c r="E117" s="20">
        <f>+6</f>
        <v>6</v>
      </c>
      <c r="F117" s="22"/>
      <c r="G117" s="16">
        <v>134.0</v>
      </c>
      <c r="H117" s="12" t="s">
        <v>483</v>
      </c>
      <c r="I117" s="20">
        <f>+10</f>
        <v>10</v>
      </c>
      <c r="J117" s="22"/>
    </row>
    <row r="118">
      <c r="A118" s="12">
        <v>126.0</v>
      </c>
      <c r="B118" s="15" t="s">
        <v>737</v>
      </c>
      <c r="C118" s="16">
        <v>106.0</v>
      </c>
      <c r="D118" s="12" t="s">
        <v>449</v>
      </c>
      <c r="E118" s="26">
        <v>-20.0</v>
      </c>
      <c r="F118" s="22"/>
      <c r="G118" s="16">
        <v>108.0</v>
      </c>
      <c r="H118" s="12" t="s">
        <v>449</v>
      </c>
      <c r="I118" s="26">
        <v>-18.0</v>
      </c>
      <c r="J118" s="22"/>
    </row>
    <row r="119">
      <c r="A119" s="12">
        <v>128.0</v>
      </c>
      <c r="B119" s="15" t="s">
        <v>743</v>
      </c>
      <c r="C119" s="16">
        <v>109.0</v>
      </c>
      <c r="D119" s="12" t="s">
        <v>441</v>
      </c>
      <c r="E119" s="26">
        <v>-19.0</v>
      </c>
      <c r="F119" s="22"/>
      <c r="G119" s="16">
        <v>97.0</v>
      </c>
      <c r="H119" s="12" t="s">
        <v>410</v>
      </c>
      <c r="I119" s="26">
        <v>-31.0</v>
      </c>
      <c r="J119" s="22"/>
    </row>
    <row r="120">
      <c r="A120" s="12">
        <v>129.0</v>
      </c>
      <c r="B120" s="15" t="s">
        <v>747</v>
      </c>
      <c r="C120" s="16">
        <v>108.0</v>
      </c>
      <c r="D120" s="12" t="s">
        <v>465</v>
      </c>
      <c r="E120" s="26">
        <v>-21.0</v>
      </c>
      <c r="F120" s="22"/>
      <c r="G120" s="16">
        <v>143.0</v>
      </c>
      <c r="H120" s="12" t="s">
        <v>512</v>
      </c>
      <c r="I120" s="20">
        <f>+14</f>
        <v>14</v>
      </c>
      <c r="J120" s="22"/>
    </row>
    <row r="121">
      <c r="A121" s="12">
        <v>130.0</v>
      </c>
      <c r="B121" s="15" t="s">
        <v>751</v>
      </c>
      <c r="C121" s="16">
        <v>151.0</v>
      </c>
      <c r="D121" s="12" t="s">
        <v>525</v>
      </c>
      <c r="E121" s="20">
        <f>+21</f>
        <v>21</v>
      </c>
      <c r="F121" s="22"/>
      <c r="G121" s="16">
        <v>148.0</v>
      </c>
      <c r="H121" s="12" t="s">
        <v>520</v>
      </c>
      <c r="I121" s="20">
        <f>+18</f>
        <v>18</v>
      </c>
      <c r="J121" s="22"/>
    </row>
    <row r="122">
      <c r="A122" s="12">
        <v>131.0</v>
      </c>
      <c r="B122" s="15" t="s">
        <v>756</v>
      </c>
      <c r="C122" s="16">
        <v>142.0</v>
      </c>
      <c r="D122" s="12" t="s">
        <v>452</v>
      </c>
      <c r="E122" s="20">
        <f>+11</f>
        <v>11</v>
      </c>
      <c r="F122" s="22"/>
      <c r="G122" s="16">
        <v>147.0</v>
      </c>
      <c r="H122" s="12" t="s">
        <v>452</v>
      </c>
      <c r="I122" s="20">
        <f>+16</f>
        <v>16</v>
      </c>
      <c r="J122" s="22"/>
    </row>
    <row r="123">
      <c r="A123" s="12">
        <v>132.0</v>
      </c>
      <c r="B123" s="15" t="s">
        <v>761</v>
      </c>
      <c r="C123" s="16">
        <v>153.0</v>
      </c>
      <c r="D123" s="12" t="s">
        <v>522</v>
      </c>
      <c r="E123" s="20">
        <f>+21</f>
        <v>21</v>
      </c>
      <c r="F123" s="22"/>
      <c r="G123" s="16">
        <v>152.0</v>
      </c>
      <c r="H123" s="12" t="s">
        <v>522</v>
      </c>
      <c r="I123" s="20">
        <f>+20</f>
        <v>20</v>
      </c>
      <c r="J123" s="22"/>
    </row>
    <row r="124">
      <c r="A124" s="12">
        <v>135.0</v>
      </c>
      <c r="B124" s="15" t="s">
        <v>766</v>
      </c>
      <c r="C124" s="16">
        <v>176.0</v>
      </c>
      <c r="D124" s="12" t="s">
        <v>575</v>
      </c>
      <c r="E124" s="20">
        <f>+41</f>
        <v>41</v>
      </c>
      <c r="F124" s="22"/>
      <c r="G124" s="16">
        <v>181.0</v>
      </c>
      <c r="H124" s="12" t="s">
        <v>568</v>
      </c>
      <c r="I124" s="20">
        <f>+46</f>
        <v>46</v>
      </c>
      <c r="J124" s="22"/>
    </row>
    <row r="125">
      <c r="A125" s="12">
        <v>138.0</v>
      </c>
      <c r="B125" s="15" t="s">
        <v>771</v>
      </c>
      <c r="C125" s="16">
        <v>141.0</v>
      </c>
      <c r="D125" s="12" t="s">
        <v>520</v>
      </c>
      <c r="E125" s="20">
        <f>+3</f>
        <v>3</v>
      </c>
      <c r="F125" s="22"/>
      <c r="G125" s="16">
        <v>151.0</v>
      </c>
      <c r="H125" s="12" t="s">
        <v>525</v>
      </c>
      <c r="I125" s="20">
        <f>+13</f>
        <v>13</v>
      </c>
      <c r="J125" s="22"/>
    </row>
    <row r="126">
      <c r="A126" s="12">
        <v>140.0</v>
      </c>
      <c r="B126" s="15" t="s">
        <v>775</v>
      </c>
      <c r="C126" s="16">
        <v>110.0</v>
      </c>
      <c r="D126" s="12" t="s">
        <v>447</v>
      </c>
      <c r="E126" s="26">
        <v>-30.0</v>
      </c>
      <c r="F126" s="22"/>
      <c r="G126" s="16">
        <v>123.0</v>
      </c>
      <c r="H126" s="12" t="s">
        <v>458</v>
      </c>
      <c r="I126" s="26">
        <v>-17.0</v>
      </c>
      <c r="J126" s="22"/>
    </row>
    <row r="127">
      <c r="A127" s="12">
        <v>141.0</v>
      </c>
      <c r="B127" s="15" t="s">
        <v>779</v>
      </c>
      <c r="C127" s="16">
        <v>91.0</v>
      </c>
      <c r="D127" s="12" t="s">
        <v>404</v>
      </c>
      <c r="E127" s="26">
        <v>-50.0</v>
      </c>
      <c r="F127" s="22"/>
      <c r="G127" s="16">
        <v>96.0</v>
      </c>
      <c r="H127" s="12" t="s">
        <v>407</v>
      </c>
      <c r="I127" s="26">
        <v>-45.0</v>
      </c>
      <c r="J127" s="22"/>
    </row>
    <row r="128">
      <c r="A128" s="12">
        <v>142.0</v>
      </c>
      <c r="B128" s="15" t="s">
        <v>782</v>
      </c>
      <c r="C128" s="16">
        <v>169.0</v>
      </c>
      <c r="D128" s="12" t="s">
        <v>566</v>
      </c>
      <c r="E128" s="20">
        <f>+27</f>
        <v>27</v>
      </c>
      <c r="F128" s="22"/>
      <c r="G128" s="16">
        <v>193.0</v>
      </c>
      <c r="H128" s="12" t="s">
        <v>589</v>
      </c>
      <c r="I128" s="20">
        <f>+51</f>
        <v>51</v>
      </c>
      <c r="J128" s="22"/>
    </row>
    <row r="129">
      <c r="A129" s="12">
        <v>143.0</v>
      </c>
      <c r="B129" s="15" t="s">
        <v>785</v>
      </c>
      <c r="C129" s="16">
        <v>113.0</v>
      </c>
      <c r="D129" s="12" t="s">
        <v>455</v>
      </c>
      <c r="E129" s="26">
        <v>-30.0</v>
      </c>
      <c r="F129" s="22"/>
      <c r="G129" s="16">
        <v>125.0</v>
      </c>
      <c r="H129" s="12" t="s">
        <v>573</v>
      </c>
      <c r="I129" s="26">
        <v>-18.0</v>
      </c>
      <c r="J129" s="22"/>
    </row>
    <row r="130">
      <c r="A130" s="12">
        <v>145.0</v>
      </c>
      <c r="B130" s="15" t="s">
        <v>788</v>
      </c>
      <c r="C130" s="16">
        <v>111.0</v>
      </c>
      <c r="D130" s="12" t="s">
        <v>468</v>
      </c>
      <c r="E130" s="26">
        <v>-34.0</v>
      </c>
      <c r="F130" s="22"/>
      <c r="G130" s="16">
        <v>114.0</v>
      </c>
      <c r="H130" s="12" t="s">
        <v>468</v>
      </c>
      <c r="I130" s="26">
        <v>-31.0</v>
      </c>
      <c r="J130" s="22"/>
    </row>
    <row r="131">
      <c r="A131" s="12">
        <v>147.0</v>
      </c>
      <c r="B131" s="15" t="s">
        <v>791</v>
      </c>
      <c r="C131" s="16">
        <v>233.0</v>
      </c>
      <c r="D131" s="12" t="s">
        <v>793</v>
      </c>
      <c r="E131" s="20">
        <f>+86</f>
        <v>86</v>
      </c>
      <c r="F131" s="22"/>
      <c r="G131" s="16">
        <v>292.0</v>
      </c>
      <c r="H131" s="12" t="s">
        <v>795</v>
      </c>
      <c r="I131" s="29" t="s">
        <v>157</v>
      </c>
      <c r="J131" s="22"/>
    </row>
    <row r="132">
      <c r="A132" s="12">
        <v>148.0</v>
      </c>
      <c r="B132" s="15" t="s">
        <v>796</v>
      </c>
      <c r="C132" s="16">
        <v>140.0</v>
      </c>
      <c r="D132" s="12" t="s">
        <v>517</v>
      </c>
      <c r="E132" s="26">
        <v>-8.0</v>
      </c>
      <c r="F132" s="22"/>
      <c r="G132" s="16">
        <v>138.0</v>
      </c>
      <c r="H132" s="12" t="s">
        <v>501</v>
      </c>
      <c r="I132" s="26">
        <v>-10.0</v>
      </c>
      <c r="J132" s="22"/>
    </row>
    <row r="133">
      <c r="A133" s="12">
        <v>149.0</v>
      </c>
      <c r="B133" s="15" t="s">
        <v>799</v>
      </c>
      <c r="C133" s="16">
        <v>162.0</v>
      </c>
      <c r="D133" s="12" t="s">
        <v>549</v>
      </c>
      <c r="E133" s="20">
        <f>+13</f>
        <v>13</v>
      </c>
      <c r="F133" s="22"/>
      <c r="G133" s="16">
        <v>205.0</v>
      </c>
      <c r="H133" s="12" t="s">
        <v>632</v>
      </c>
      <c r="I133" s="20">
        <f>+56</f>
        <v>56</v>
      </c>
      <c r="J133" s="22"/>
    </row>
    <row r="134">
      <c r="A134" s="12">
        <v>150.0</v>
      </c>
      <c r="B134" s="15" t="s">
        <v>805</v>
      </c>
      <c r="C134" s="16">
        <v>78.0</v>
      </c>
      <c r="D134" s="12" t="s">
        <v>395</v>
      </c>
      <c r="E134" s="26">
        <v>-72.0</v>
      </c>
      <c r="F134" s="22"/>
      <c r="G134" s="16">
        <v>68.0</v>
      </c>
      <c r="H134" s="12" t="s">
        <v>367</v>
      </c>
      <c r="I134" s="26">
        <v>-82.0</v>
      </c>
      <c r="J134" s="22"/>
    </row>
    <row r="135">
      <c r="A135" s="12">
        <v>152.0</v>
      </c>
      <c r="B135" s="15" t="s">
        <v>809</v>
      </c>
      <c r="C135" s="16">
        <v>166.0</v>
      </c>
      <c r="D135" s="12" t="s">
        <v>630</v>
      </c>
      <c r="E135" s="20">
        <f>+14</f>
        <v>14</v>
      </c>
      <c r="F135" s="22"/>
      <c r="G135" s="16">
        <v>167.0</v>
      </c>
      <c r="H135" s="12" t="s">
        <v>647</v>
      </c>
      <c r="I135" s="20">
        <f>+15</f>
        <v>15</v>
      </c>
      <c r="J135" s="22"/>
    </row>
    <row r="136">
      <c r="A136" s="12">
        <v>153.0</v>
      </c>
      <c r="B136" s="15" t="s">
        <v>813</v>
      </c>
      <c r="C136" s="16">
        <v>258.0</v>
      </c>
      <c r="D136" s="12" t="s">
        <v>815</v>
      </c>
      <c r="E136" s="29" t="s">
        <v>157</v>
      </c>
      <c r="F136" s="22"/>
      <c r="G136" s="16" t="s">
        <v>157</v>
      </c>
      <c r="H136" s="12" t="s">
        <v>157</v>
      </c>
      <c r="I136" s="29" t="s">
        <v>157</v>
      </c>
      <c r="J136" s="22"/>
    </row>
    <row r="137">
      <c r="A137" s="12">
        <v>155.0</v>
      </c>
      <c r="B137" s="15" t="s">
        <v>817</v>
      </c>
      <c r="C137" s="16">
        <v>165.0</v>
      </c>
      <c r="D137" s="12" t="s">
        <v>819</v>
      </c>
      <c r="E137" s="20">
        <f>+10</f>
        <v>10</v>
      </c>
      <c r="F137" s="22"/>
      <c r="G137" s="16">
        <v>163.0</v>
      </c>
      <c r="H137" s="12" t="s">
        <v>819</v>
      </c>
      <c r="I137" s="20">
        <f>+8</f>
        <v>8</v>
      </c>
      <c r="J137" s="22"/>
    </row>
    <row r="138">
      <c r="A138" s="12">
        <v>156.0</v>
      </c>
      <c r="B138" s="15" t="s">
        <v>824</v>
      </c>
      <c r="C138" s="16">
        <v>223.0</v>
      </c>
      <c r="D138" s="12" t="s">
        <v>588</v>
      </c>
      <c r="E138" s="20">
        <f>+67</f>
        <v>67</v>
      </c>
      <c r="F138" s="22"/>
      <c r="G138" s="16">
        <v>263.0</v>
      </c>
      <c r="H138" s="12" t="s">
        <v>827</v>
      </c>
      <c r="I138" s="29" t="s">
        <v>157</v>
      </c>
      <c r="J138" s="22"/>
    </row>
    <row r="139">
      <c r="A139" s="12">
        <v>157.0</v>
      </c>
      <c r="B139" s="15" t="s">
        <v>830</v>
      </c>
      <c r="C139" s="16">
        <v>131.0</v>
      </c>
      <c r="D139" s="12" t="s">
        <v>493</v>
      </c>
      <c r="E139" s="26">
        <v>-26.0</v>
      </c>
      <c r="F139" s="22"/>
      <c r="G139" s="16">
        <v>158.0</v>
      </c>
      <c r="H139" s="12" t="s">
        <v>539</v>
      </c>
      <c r="I139" s="20">
        <f>+1</f>
        <v>1</v>
      </c>
      <c r="J139" s="22"/>
    </row>
    <row r="140">
      <c r="A140" s="12">
        <v>159.0</v>
      </c>
      <c r="B140" s="15" t="s">
        <v>834</v>
      </c>
      <c r="C140" s="16">
        <v>171.0</v>
      </c>
      <c r="D140" s="12" t="s">
        <v>568</v>
      </c>
      <c r="E140" s="20">
        <f>+12</f>
        <v>12</v>
      </c>
      <c r="F140" s="22"/>
      <c r="G140" s="16">
        <v>197.0</v>
      </c>
      <c r="H140" s="12" t="s">
        <v>600</v>
      </c>
      <c r="I140" s="20">
        <f>+38</f>
        <v>38</v>
      </c>
      <c r="J140" s="22"/>
    </row>
    <row r="141">
      <c r="A141" s="12">
        <v>163.0</v>
      </c>
      <c r="B141" s="15" t="s">
        <v>837</v>
      </c>
      <c r="C141" s="16">
        <v>195.0</v>
      </c>
      <c r="D141" s="12" t="s">
        <v>600</v>
      </c>
      <c r="E141" s="20">
        <f>+32</f>
        <v>32</v>
      </c>
      <c r="F141" s="22"/>
      <c r="G141" s="16">
        <v>202.0</v>
      </c>
      <c r="H141" s="12" t="s">
        <v>615</v>
      </c>
      <c r="I141" s="20">
        <f>+39</f>
        <v>39</v>
      </c>
      <c r="J141" s="22"/>
    </row>
    <row r="142">
      <c r="A142" s="12">
        <v>166.0</v>
      </c>
      <c r="B142" s="15" t="s">
        <v>840</v>
      </c>
      <c r="C142" s="16">
        <v>152.0</v>
      </c>
      <c r="D142" s="12" t="s">
        <v>530</v>
      </c>
      <c r="E142" s="26">
        <v>-14.0</v>
      </c>
      <c r="F142" s="22"/>
      <c r="G142" s="16">
        <v>155.0</v>
      </c>
      <c r="H142" s="12" t="s">
        <v>530</v>
      </c>
      <c r="I142" s="26">
        <v>-11.0</v>
      </c>
      <c r="J142" s="22"/>
    </row>
    <row r="143">
      <c r="A143" s="12">
        <v>167.0</v>
      </c>
      <c r="B143" s="15" t="s">
        <v>843</v>
      </c>
      <c r="C143" s="16">
        <v>100.0</v>
      </c>
      <c r="D143" s="12" t="s">
        <v>434</v>
      </c>
      <c r="E143" s="26">
        <v>-67.0</v>
      </c>
      <c r="F143" s="22"/>
      <c r="G143" s="16">
        <v>100.0</v>
      </c>
      <c r="H143" s="12" t="s">
        <v>426</v>
      </c>
      <c r="I143" s="26">
        <v>-67.0</v>
      </c>
      <c r="J143" s="22"/>
    </row>
    <row r="144">
      <c r="A144" s="12">
        <v>169.0</v>
      </c>
      <c r="B144" s="15" t="s">
        <v>846</v>
      </c>
      <c r="C144" s="16">
        <v>116.0</v>
      </c>
      <c r="D144" s="12" t="s">
        <v>478</v>
      </c>
      <c r="E144" s="26">
        <v>-53.0</v>
      </c>
      <c r="F144" s="22"/>
      <c r="G144" s="16">
        <v>130.0</v>
      </c>
      <c r="H144" s="12" t="s">
        <v>486</v>
      </c>
      <c r="I144" s="26">
        <v>-39.0</v>
      </c>
      <c r="J144" s="22"/>
    </row>
    <row r="145">
      <c r="A145" s="12">
        <v>171.0</v>
      </c>
      <c r="B145" s="15" t="s">
        <v>848</v>
      </c>
      <c r="C145" s="16">
        <v>128.0</v>
      </c>
      <c r="D145" s="12" t="s">
        <v>491</v>
      </c>
      <c r="E145" s="26">
        <v>-43.0</v>
      </c>
      <c r="F145" s="22"/>
      <c r="G145" s="16">
        <v>137.0</v>
      </c>
      <c r="H145" s="12" t="s">
        <v>510</v>
      </c>
      <c r="I145" s="26">
        <v>-34.0</v>
      </c>
      <c r="J145" s="22"/>
    </row>
    <row r="146">
      <c r="A146" s="12">
        <v>172.0</v>
      </c>
      <c r="B146" s="15" t="s">
        <v>851</v>
      </c>
      <c r="C146" s="16">
        <v>179.0</v>
      </c>
      <c r="D146" s="12" t="s">
        <v>578</v>
      </c>
      <c r="E146" s="20">
        <f>+7</f>
        <v>7</v>
      </c>
      <c r="F146" s="22"/>
      <c r="G146" s="16">
        <v>182.0</v>
      </c>
      <c r="H146" s="12" t="s">
        <v>575</v>
      </c>
      <c r="I146" s="20">
        <f>+10</f>
        <v>10</v>
      </c>
      <c r="J146" s="22"/>
    </row>
    <row r="147">
      <c r="A147" s="12">
        <v>176.0</v>
      </c>
      <c r="B147" s="15" t="s">
        <v>854</v>
      </c>
      <c r="C147" s="16">
        <v>186.0</v>
      </c>
      <c r="D147" s="12" t="s">
        <v>580</v>
      </c>
      <c r="E147" s="20">
        <f>+10</f>
        <v>10</v>
      </c>
      <c r="F147" s="22"/>
      <c r="G147" s="16">
        <v>187.0</v>
      </c>
      <c r="H147" s="12" t="s">
        <v>578</v>
      </c>
      <c r="I147" s="20">
        <f>+11</f>
        <v>11</v>
      </c>
      <c r="J147" s="22"/>
    </row>
    <row r="148">
      <c r="A148" s="12">
        <v>178.0</v>
      </c>
      <c r="B148" s="15" t="s">
        <v>857</v>
      </c>
      <c r="C148" s="16">
        <v>172.0</v>
      </c>
      <c r="D148" s="12" t="s">
        <v>858</v>
      </c>
      <c r="E148" s="26">
        <v>-6.0</v>
      </c>
      <c r="F148" s="22"/>
      <c r="G148" s="16">
        <v>169.0</v>
      </c>
      <c r="H148" s="12" t="s">
        <v>858</v>
      </c>
      <c r="I148" s="26">
        <v>-9.0</v>
      </c>
      <c r="J148" s="22"/>
    </row>
    <row r="149">
      <c r="A149" s="12">
        <v>179.0</v>
      </c>
      <c r="B149" s="15" t="s">
        <v>860</v>
      </c>
      <c r="C149" s="16">
        <v>112.0</v>
      </c>
      <c r="D149" s="12" t="s">
        <v>473</v>
      </c>
      <c r="E149" s="26">
        <v>-67.0</v>
      </c>
      <c r="F149" s="22"/>
      <c r="G149" s="16">
        <v>109.0</v>
      </c>
      <c r="H149" s="12" t="s">
        <v>465</v>
      </c>
      <c r="I149" s="26">
        <v>-70.0</v>
      </c>
      <c r="J149" s="22"/>
    </row>
    <row r="150">
      <c r="A150" s="12">
        <v>181.0</v>
      </c>
      <c r="B150" s="15" t="s">
        <v>863</v>
      </c>
      <c r="C150" s="16">
        <v>148.0</v>
      </c>
      <c r="D150" s="12" t="s">
        <v>539</v>
      </c>
      <c r="E150" s="26">
        <v>-33.0</v>
      </c>
      <c r="F150" s="22"/>
      <c r="G150" s="16">
        <v>176.0</v>
      </c>
      <c r="H150" s="12" t="s">
        <v>570</v>
      </c>
      <c r="I150" s="26">
        <v>-5.0</v>
      </c>
      <c r="J150" s="22"/>
    </row>
    <row r="151">
      <c r="A151" s="12">
        <v>182.0</v>
      </c>
      <c r="B151" s="15" t="s">
        <v>865</v>
      </c>
      <c r="C151" s="16">
        <v>204.0</v>
      </c>
      <c r="D151" s="12" t="s">
        <v>618</v>
      </c>
      <c r="E151" s="20">
        <f>+22</f>
        <v>22</v>
      </c>
      <c r="F151" s="22"/>
      <c r="G151" s="16">
        <v>199.0</v>
      </c>
      <c r="H151" s="12" t="s">
        <v>603</v>
      </c>
      <c r="I151" s="20">
        <f>+17</f>
        <v>17</v>
      </c>
      <c r="J151" s="22"/>
    </row>
    <row r="152">
      <c r="A152" s="12">
        <v>187.0</v>
      </c>
      <c r="B152" s="15" t="s">
        <v>868</v>
      </c>
      <c r="C152" s="16">
        <v>217.0</v>
      </c>
      <c r="D152" s="12" t="s">
        <v>642</v>
      </c>
      <c r="E152" s="20">
        <f>+30</f>
        <v>30</v>
      </c>
      <c r="F152" s="22"/>
      <c r="G152" s="16">
        <v>229.0</v>
      </c>
      <c r="H152" s="12" t="s">
        <v>677</v>
      </c>
      <c r="I152" s="20">
        <f>+42</f>
        <v>42</v>
      </c>
      <c r="J152" s="22"/>
    </row>
    <row r="153">
      <c r="A153" s="12">
        <v>189.0</v>
      </c>
      <c r="B153" s="15" t="s">
        <v>872</v>
      </c>
      <c r="C153" s="16">
        <v>262.0</v>
      </c>
      <c r="D153" s="12" t="s">
        <v>752</v>
      </c>
      <c r="E153" s="20">
        <f>+73</f>
        <v>73</v>
      </c>
      <c r="F153" s="22"/>
      <c r="G153" s="16">
        <v>271.0</v>
      </c>
      <c r="H153" s="12" t="s">
        <v>762</v>
      </c>
      <c r="I153" s="20">
        <f>+82</f>
        <v>82</v>
      </c>
      <c r="J153" s="22"/>
    </row>
    <row r="154">
      <c r="A154" s="12">
        <v>192.0</v>
      </c>
      <c r="B154" s="15" t="s">
        <v>875</v>
      </c>
      <c r="C154" s="16">
        <v>137.0</v>
      </c>
      <c r="D154" s="12" t="s">
        <v>877</v>
      </c>
      <c r="E154" s="26">
        <v>-55.0</v>
      </c>
      <c r="F154" s="22"/>
      <c r="G154" s="16">
        <v>142.0</v>
      </c>
      <c r="H154" s="12" t="s">
        <v>877</v>
      </c>
      <c r="I154" s="26">
        <v>-50.0</v>
      </c>
      <c r="J154" s="22"/>
    </row>
    <row r="155">
      <c r="A155" s="12">
        <v>195.0</v>
      </c>
      <c r="B155" s="15" t="s">
        <v>879</v>
      </c>
      <c r="C155" s="16">
        <v>160.0</v>
      </c>
      <c r="D155" s="12" t="s">
        <v>546</v>
      </c>
      <c r="E155" s="26">
        <v>-35.0</v>
      </c>
      <c r="F155" s="22"/>
      <c r="G155" s="16">
        <v>175.0</v>
      </c>
      <c r="H155" s="12" t="s">
        <v>561</v>
      </c>
      <c r="I155" s="26">
        <v>-20.0</v>
      </c>
      <c r="J155" s="22"/>
    </row>
    <row r="156">
      <c r="A156" s="12">
        <v>196.0</v>
      </c>
      <c r="B156" s="15" t="s">
        <v>881</v>
      </c>
      <c r="C156" s="16">
        <v>121.0</v>
      </c>
      <c r="D156" s="12" t="s">
        <v>505</v>
      </c>
      <c r="E156" s="26">
        <v>-75.0</v>
      </c>
      <c r="F156" s="22"/>
      <c r="G156" s="16">
        <v>115.0</v>
      </c>
      <c r="H156" s="12" t="s">
        <v>503</v>
      </c>
      <c r="I156" s="26">
        <v>-81.0</v>
      </c>
      <c r="J156" s="22"/>
    </row>
    <row r="157">
      <c r="A157" s="12">
        <v>198.0</v>
      </c>
      <c r="B157" s="15" t="s">
        <v>886</v>
      </c>
      <c r="C157" s="16">
        <v>248.0</v>
      </c>
      <c r="D157" s="12" t="s">
        <v>702</v>
      </c>
      <c r="E157" s="20">
        <f>+50</f>
        <v>50</v>
      </c>
      <c r="F157" s="22"/>
      <c r="G157" s="16">
        <v>295.0</v>
      </c>
      <c r="H157" s="12" t="s">
        <v>800</v>
      </c>
      <c r="I157" s="20">
        <f>+97</f>
        <v>97</v>
      </c>
      <c r="J157" s="22"/>
    </row>
    <row r="158">
      <c r="A158" s="12">
        <v>199.0</v>
      </c>
      <c r="B158" s="15" t="s">
        <v>889</v>
      </c>
      <c r="C158" s="16">
        <v>114.0</v>
      </c>
      <c r="D158" s="12" t="s">
        <v>481</v>
      </c>
      <c r="E158" s="26">
        <v>-85.0</v>
      </c>
      <c r="F158" s="22"/>
      <c r="G158" s="16">
        <v>102.0</v>
      </c>
      <c r="H158" s="12" t="s">
        <v>455</v>
      </c>
      <c r="I158" s="26">
        <v>-97.0</v>
      </c>
      <c r="J158" s="22"/>
    </row>
    <row r="159">
      <c r="A159" s="12">
        <v>200.0</v>
      </c>
      <c r="B159" s="15" t="s">
        <v>891</v>
      </c>
      <c r="C159" s="16">
        <v>123.0</v>
      </c>
      <c r="D159" s="12" t="s">
        <v>486</v>
      </c>
      <c r="E159" s="26">
        <v>-77.0</v>
      </c>
      <c r="F159" s="22"/>
      <c r="G159" s="16">
        <v>129.0</v>
      </c>
      <c r="H159" s="12" t="s">
        <v>478</v>
      </c>
      <c r="I159" s="26">
        <v>-71.0</v>
      </c>
      <c r="J159" s="22"/>
    </row>
    <row r="160">
      <c r="A160" s="12">
        <v>201.0</v>
      </c>
      <c r="B160" s="15" t="s">
        <v>893</v>
      </c>
      <c r="C160" s="16">
        <v>119.0</v>
      </c>
      <c r="D160" s="12" t="s">
        <v>496</v>
      </c>
      <c r="E160" s="26">
        <v>-82.0</v>
      </c>
      <c r="F160" s="22"/>
      <c r="G160" s="16">
        <v>116.0</v>
      </c>
      <c r="H160" s="12" t="s">
        <v>505</v>
      </c>
      <c r="I160" s="26">
        <v>-85.0</v>
      </c>
      <c r="J160" s="22"/>
    </row>
    <row r="161">
      <c r="A161" s="12">
        <v>202.0</v>
      </c>
      <c r="B161" s="15" t="s">
        <v>896</v>
      </c>
      <c r="C161" s="16">
        <v>127.0</v>
      </c>
      <c r="D161" s="12" t="s">
        <v>551</v>
      </c>
      <c r="E161" s="26">
        <v>-75.0</v>
      </c>
      <c r="F161" s="22"/>
      <c r="G161" s="16">
        <v>113.0</v>
      </c>
      <c r="H161" s="12" t="s">
        <v>496</v>
      </c>
      <c r="I161" s="26">
        <v>-89.0</v>
      </c>
      <c r="J161" s="22"/>
    </row>
    <row r="162">
      <c r="A162" s="12">
        <v>204.0</v>
      </c>
      <c r="B162" s="15" t="s">
        <v>898</v>
      </c>
      <c r="C162" s="16">
        <v>156.0</v>
      </c>
      <c r="D162" s="12" t="s">
        <v>553</v>
      </c>
      <c r="E162" s="26">
        <v>-48.0</v>
      </c>
      <c r="F162" s="22"/>
      <c r="G162" s="16">
        <v>141.0</v>
      </c>
      <c r="H162" s="12" t="s">
        <v>517</v>
      </c>
      <c r="I162" s="26">
        <v>-63.0</v>
      </c>
      <c r="J162" s="22"/>
    </row>
    <row r="163">
      <c r="A163" s="12">
        <v>205.0</v>
      </c>
      <c r="B163" s="15" t="s">
        <v>900</v>
      </c>
      <c r="C163" s="16">
        <v>188.0</v>
      </c>
      <c r="D163" s="12" t="s">
        <v>589</v>
      </c>
      <c r="E163" s="26">
        <v>-17.0</v>
      </c>
      <c r="F163" s="22"/>
      <c r="G163" s="16">
        <v>194.0</v>
      </c>
      <c r="H163" s="12" t="s">
        <v>591</v>
      </c>
      <c r="I163" s="26">
        <v>-11.0</v>
      </c>
      <c r="J163" s="22"/>
    </row>
    <row r="164">
      <c r="A164" s="12">
        <v>206.0</v>
      </c>
      <c r="B164" s="15" t="s">
        <v>904</v>
      </c>
      <c r="C164" s="16">
        <v>222.0</v>
      </c>
      <c r="D164" s="12" t="s">
        <v>906</v>
      </c>
      <c r="E164" s="20">
        <f>+16</f>
        <v>16</v>
      </c>
      <c r="F164" s="22"/>
      <c r="G164" s="16">
        <v>214.0</v>
      </c>
      <c r="H164" s="12" t="s">
        <v>906</v>
      </c>
      <c r="I164" s="20">
        <f>+8</f>
        <v>8</v>
      </c>
      <c r="J164" s="22"/>
    </row>
    <row r="165">
      <c r="A165" s="12">
        <v>207.0</v>
      </c>
      <c r="B165" s="15" t="s">
        <v>909</v>
      </c>
      <c r="C165" s="16">
        <v>196.0</v>
      </c>
      <c r="D165" s="12" t="s">
        <v>603</v>
      </c>
      <c r="E165" s="26">
        <v>-11.0</v>
      </c>
      <c r="F165" s="22"/>
      <c r="G165" s="16">
        <v>219.0</v>
      </c>
      <c r="H165" s="12" t="s">
        <v>642</v>
      </c>
      <c r="I165" s="20">
        <f>+12</f>
        <v>12</v>
      </c>
      <c r="J165" s="22"/>
    </row>
    <row r="166">
      <c r="A166" s="12">
        <v>211.0</v>
      </c>
      <c r="B166" s="15" t="s">
        <v>912</v>
      </c>
      <c r="C166" s="16">
        <v>256.0</v>
      </c>
      <c r="D166" s="12" t="s">
        <v>736</v>
      </c>
      <c r="E166" s="20">
        <f>+45</f>
        <v>45</v>
      </c>
      <c r="F166" s="22"/>
      <c r="G166" s="16">
        <v>250.0</v>
      </c>
      <c r="H166" s="12" t="s">
        <v>692</v>
      </c>
      <c r="I166" s="20">
        <f>+39</f>
        <v>39</v>
      </c>
      <c r="J166" s="22"/>
    </row>
    <row r="167">
      <c r="A167" s="12">
        <v>212.0</v>
      </c>
      <c r="B167" s="15" t="s">
        <v>915</v>
      </c>
      <c r="C167" s="16" t="s">
        <v>157</v>
      </c>
      <c r="D167" s="12" t="s">
        <v>157</v>
      </c>
      <c r="E167" s="29" t="s">
        <v>157</v>
      </c>
      <c r="F167" s="22"/>
      <c r="G167" s="16">
        <v>161.0</v>
      </c>
      <c r="H167" s="12" t="s">
        <v>917</v>
      </c>
      <c r="I167" s="26">
        <v>-51.0</v>
      </c>
      <c r="J167" s="22"/>
    </row>
    <row r="168">
      <c r="A168" s="12">
        <v>213.0</v>
      </c>
      <c r="B168" s="15" t="s">
        <v>919</v>
      </c>
      <c r="C168" s="16">
        <v>215.0</v>
      </c>
      <c r="D168" s="12" t="s">
        <v>640</v>
      </c>
      <c r="E168" s="20">
        <f>+2</f>
        <v>2</v>
      </c>
      <c r="F168" s="22"/>
      <c r="G168" s="16">
        <v>257.0</v>
      </c>
      <c r="H168" s="12" t="s">
        <v>732</v>
      </c>
      <c r="I168" s="20">
        <f>+44</f>
        <v>44</v>
      </c>
      <c r="J168" s="22"/>
    </row>
    <row r="169">
      <c r="A169" s="12">
        <v>217.0</v>
      </c>
      <c r="B169" s="15" t="s">
        <v>921</v>
      </c>
      <c r="C169" s="16">
        <v>144.0</v>
      </c>
      <c r="D169" s="12" t="s">
        <v>527</v>
      </c>
      <c r="E169" s="26">
        <v>-73.0</v>
      </c>
      <c r="F169" s="22"/>
      <c r="G169" s="16">
        <v>146.0</v>
      </c>
      <c r="H169" s="12" t="s">
        <v>527</v>
      </c>
      <c r="I169" s="26">
        <v>-71.0</v>
      </c>
      <c r="J169" s="22"/>
    </row>
    <row r="170">
      <c r="A170" s="12">
        <v>218.0</v>
      </c>
      <c r="B170" s="15" t="s">
        <v>924</v>
      </c>
      <c r="C170" s="16">
        <v>135.0</v>
      </c>
      <c r="D170" s="12" t="s">
        <v>563</v>
      </c>
      <c r="E170" s="26">
        <v>-83.0</v>
      </c>
      <c r="F170" s="22"/>
      <c r="G170" s="16">
        <v>124.0</v>
      </c>
      <c r="H170" s="12" t="s">
        <v>563</v>
      </c>
      <c r="I170" s="26">
        <v>-94.0</v>
      </c>
      <c r="J170" s="22"/>
    </row>
    <row r="171">
      <c r="A171" s="12">
        <v>219.0</v>
      </c>
      <c r="B171" s="15" t="s">
        <v>926</v>
      </c>
      <c r="C171" s="16">
        <v>146.0</v>
      </c>
      <c r="D171" s="12" t="s">
        <v>928</v>
      </c>
      <c r="E171" s="26">
        <v>-73.0</v>
      </c>
      <c r="F171" s="22"/>
      <c r="G171" s="16">
        <v>145.0</v>
      </c>
      <c r="H171" s="12" t="s">
        <v>928</v>
      </c>
      <c r="I171" s="26">
        <v>-74.0</v>
      </c>
      <c r="J171" s="22"/>
    </row>
    <row r="172">
      <c r="A172" s="12">
        <v>224.0</v>
      </c>
      <c r="B172" s="15" t="s">
        <v>930</v>
      </c>
      <c r="C172" s="16">
        <v>251.0</v>
      </c>
      <c r="D172" s="12" t="s">
        <v>932</v>
      </c>
      <c r="E172" s="20">
        <f>+27</f>
        <v>27</v>
      </c>
      <c r="F172" s="22"/>
      <c r="G172" s="16">
        <v>244.0</v>
      </c>
      <c r="H172" s="12" t="s">
        <v>932</v>
      </c>
      <c r="I172" s="20">
        <f>+20</f>
        <v>20</v>
      </c>
      <c r="J172" s="22"/>
    </row>
    <row r="173">
      <c r="A173" s="12">
        <v>226.0</v>
      </c>
      <c r="B173" s="15" t="s">
        <v>934</v>
      </c>
      <c r="C173" s="16">
        <v>261.0</v>
      </c>
      <c r="D173" s="12" t="s">
        <v>936</v>
      </c>
      <c r="E173" s="20">
        <f>+35</f>
        <v>35</v>
      </c>
      <c r="F173" s="22"/>
      <c r="G173" s="16">
        <v>254.0</v>
      </c>
      <c r="H173" s="12" t="s">
        <v>938</v>
      </c>
      <c r="I173" s="20">
        <f>+28</f>
        <v>28</v>
      </c>
      <c r="J173" s="22"/>
    </row>
    <row r="174">
      <c r="A174" s="12">
        <v>227.0</v>
      </c>
      <c r="B174" s="15" t="s">
        <v>939</v>
      </c>
      <c r="C174" s="16">
        <v>178.0</v>
      </c>
      <c r="D174" s="12" t="s">
        <v>917</v>
      </c>
      <c r="E174" s="26">
        <v>-49.0</v>
      </c>
      <c r="F174" s="22"/>
      <c r="G174" s="16">
        <v>174.0</v>
      </c>
      <c r="H174" s="12" t="s">
        <v>941</v>
      </c>
      <c r="I174" s="26">
        <v>-53.0</v>
      </c>
      <c r="J174" s="22"/>
    </row>
    <row r="175">
      <c r="A175" s="12">
        <v>228.0</v>
      </c>
      <c r="B175" s="15" t="s">
        <v>943</v>
      </c>
      <c r="C175" s="16">
        <v>286.0</v>
      </c>
      <c r="D175" s="12" t="s">
        <v>944</v>
      </c>
      <c r="E175" s="20">
        <f>+58</f>
        <v>58</v>
      </c>
      <c r="F175" s="22"/>
      <c r="G175" s="16">
        <v>279.0</v>
      </c>
      <c r="H175" s="12" t="s">
        <v>944</v>
      </c>
      <c r="I175" s="20">
        <f>+51</f>
        <v>51</v>
      </c>
      <c r="J175" s="22"/>
    </row>
    <row r="176">
      <c r="A176" s="12">
        <v>229.0</v>
      </c>
      <c r="B176" s="15" t="s">
        <v>947</v>
      </c>
      <c r="C176" s="16">
        <v>229.0</v>
      </c>
      <c r="D176" s="12" t="s">
        <v>949</v>
      </c>
      <c r="E176" s="23">
        <f>+0</f>
        <v>0</v>
      </c>
      <c r="F176" s="22"/>
      <c r="G176" s="16">
        <v>224.0</v>
      </c>
      <c r="H176" s="12" t="s">
        <v>949</v>
      </c>
      <c r="I176" s="26">
        <v>-5.0</v>
      </c>
      <c r="J176" s="22"/>
    </row>
    <row r="177">
      <c r="A177" s="12">
        <v>231.0</v>
      </c>
      <c r="B177" s="15" t="s">
        <v>951</v>
      </c>
      <c r="C177" s="16">
        <v>226.0</v>
      </c>
      <c r="D177" s="12" t="s">
        <v>952</v>
      </c>
      <c r="E177" s="26">
        <v>-5.0</v>
      </c>
      <c r="F177" s="22"/>
      <c r="G177" s="16">
        <v>217.0</v>
      </c>
      <c r="H177" s="12" t="s">
        <v>952</v>
      </c>
      <c r="I177" s="26">
        <v>-14.0</v>
      </c>
      <c r="J177" s="22"/>
    </row>
    <row r="178">
      <c r="A178" s="12">
        <v>232.0</v>
      </c>
      <c r="B178" s="15" t="s">
        <v>955</v>
      </c>
      <c r="C178" s="16">
        <v>143.0</v>
      </c>
      <c r="D178" s="12" t="s">
        <v>512</v>
      </c>
      <c r="E178" s="26">
        <v>-89.0</v>
      </c>
      <c r="F178" s="22"/>
      <c r="G178" s="16">
        <v>150.0</v>
      </c>
      <c r="H178" s="12" t="s">
        <v>532</v>
      </c>
      <c r="I178" s="26">
        <v>-82.0</v>
      </c>
      <c r="J178" s="22"/>
    </row>
    <row r="179">
      <c r="A179" s="12">
        <v>236.0</v>
      </c>
      <c r="B179" s="15" t="s">
        <v>958</v>
      </c>
      <c r="C179" s="16">
        <v>234.0</v>
      </c>
      <c r="D179" s="12" t="s">
        <v>961</v>
      </c>
      <c r="E179" s="26">
        <v>-2.0</v>
      </c>
      <c r="F179" s="22"/>
      <c r="G179" s="16">
        <v>230.0</v>
      </c>
      <c r="H179" s="12" t="s">
        <v>962</v>
      </c>
      <c r="I179" s="26">
        <v>-6.0</v>
      </c>
      <c r="J179" s="22"/>
    </row>
    <row r="180">
      <c r="A180" s="12">
        <v>237.0</v>
      </c>
      <c r="B180" s="15" t="s">
        <v>964</v>
      </c>
      <c r="C180" s="16">
        <v>279.0</v>
      </c>
      <c r="D180" s="12" t="s">
        <v>783</v>
      </c>
      <c r="E180" s="20">
        <f>+42</f>
        <v>42</v>
      </c>
      <c r="F180" s="22"/>
      <c r="G180" s="16">
        <v>270.0</v>
      </c>
      <c r="H180" s="12" t="s">
        <v>757</v>
      </c>
      <c r="I180" s="20">
        <f>+33</f>
        <v>33</v>
      </c>
      <c r="J180" s="22"/>
    </row>
    <row r="181">
      <c r="A181" s="12">
        <v>238.0</v>
      </c>
      <c r="B181" s="15" t="s">
        <v>970</v>
      </c>
      <c r="C181" s="16">
        <v>194.0</v>
      </c>
      <c r="D181" s="12" t="s">
        <v>972</v>
      </c>
      <c r="E181" s="26">
        <v>-44.0</v>
      </c>
      <c r="F181" s="22"/>
      <c r="G181" s="16">
        <v>188.0</v>
      </c>
      <c r="H181" s="12" t="s">
        <v>973</v>
      </c>
      <c r="I181" s="26">
        <v>-50.0</v>
      </c>
      <c r="J181" s="22"/>
    </row>
    <row r="182">
      <c r="A182" s="12">
        <v>239.0</v>
      </c>
      <c r="B182" s="15" t="s">
        <v>975</v>
      </c>
      <c r="C182" s="16">
        <v>118.0</v>
      </c>
      <c r="D182" s="12" t="s">
        <v>489</v>
      </c>
      <c r="E182" s="29" t="s">
        <v>157</v>
      </c>
      <c r="F182" s="22"/>
      <c r="G182" s="16">
        <v>131.0</v>
      </c>
      <c r="H182" s="12" t="s">
        <v>605</v>
      </c>
      <c r="I182" s="29" t="s">
        <v>157</v>
      </c>
      <c r="J182" s="22"/>
    </row>
    <row r="183">
      <c r="A183" s="12">
        <v>240.0</v>
      </c>
      <c r="B183" s="15" t="s">
        <v>979</v>
      </c>
      <c r="C183" s="16">
        <v>232.0</v>
      </c>
      <c r="D183" s="12" t="s">
        <v>677</v>
      </c>
      <c r="E183" s="26">
        <v>-8.0</v>
      </c>
      <c r="F183" s="22"/>
      <c r="G183" s="16">
        <v>218.0</v>
      </c>
      <c r="H183" s="12" t="s">
        <v>640</v>
      </c>
      <c r="I183" s="26">
        <v>-22.0</v>
      </c>
      <c r="J183" s="22"/>
    </row>
    <row r="184">
      <c r="A184" s="12">
        <v>244.0</v>
      </c>
      <c r="B184" s="15" t="s">
        <v>983</v>
      </c>
      <c r="C184" s="16">
        <v>189.0</v>
      </c>
      <c r="D184" s="12" t="s">
        <v>941</v>
      </c>
      <c r="E184" s="26">
        <v>-55.0</v>
      </c>
      <c r="F184" s="22"/>
      <c r="G184" s="16">
        <v>183.0</v>
      </c>
      <c r="H184" s="12" t="s">
        <v>972</v>
      </c>
      <c r="I184" s="26">
        <v>-61.0</v>
      </c>
      <c r="J184" s="22"/>
    </row>
    <row r="185">
      <c r="A185" s="12">
        <v>245.0</v>
      </c>
      <c r="B185" s="15" t="s">
        <v>986</v>
      </c>
      <c r="C185" s="16">
        <v>129.0</v>
      </c>
      <c r="D185" s="12" t="s">
        <v>558</v>
      </c>
      <c r="E185" s="29" t="s">
        <v>157</v>
      </c>
      <c r="F185" s="22"/>
      <c r="G185" s="16">
        <v>112.0</v>
      </c>
      <c r="H185" s="12" t="s">
        <v>489</v>
      </c>
      <c r="I185" s="29" t="s">
        <v>157</v>
      </c>
      <c r="J185" s="22"/>
    </row>
    <row r="186">
      <c r="A186" s="12">
        <v>246.0</v>
      </c>
      <c r="B186" s="15" t="s">
        <v>989</v>
      </c>
      <c r="C186" s="16">
        <v>245.0</v>
      </c>
      <c r="D186" s="12" t="s">
        <v>992</v>
      </c>
      <c r="E186" s="26">
        <v>-1.0</v>
      </c>
      <c r="F186" s="22"/>
      <c r="G186" s="16">
        <v>237.0</v>
      </c>
      <c r="H186" s="12" t="s">
        <v>992</v>
      </c>
      <c r="I186" s="26">
        <v>-9.0</v>
      </c>
      <c r="J186" s="22"/>
    </row>
    <row r="187">
      <c r="A187" s="12">
        <v>247.0</v>
      </c>
      <c r="B187" s="15" t="s">
        <v>993</v>
      </c>
      <c r="C187" s="16">
        <v>185.0</v>
      </c>
      <c r="D187" s="12" t="s">
        <v>613</v>
      </c>
      <c r="E187" s="26">
        <v>-62.0</v>
      </c>
      <c r="F187" s="22"/>
      <c r="G187" s="16">
        <v>184.0</v>
      </c>
      <c r="H187" s="12" t="s">
        <v>593</v>
      </c>
      <c r="I187" s="26">
        <v>-63.0</v>
      </c>
      <c r="J187" s="22"/>
    </row>
    <row r="188">
      <c r="A188" s="12">
        <v>249.0</v>
      </c>
      <c r="B188" s="15" t="s">
        <v>995</v>
      </c>
      <c r="C188" s="16">
        <v>183.0</v>
      </c>
      <c r="D188" s="12" t="s">
        <v>598</v>
      </c>
      <c r="E188" s="26">
        <v>-66.0</v>
      </c>
      <c r="F188" s="22"/>
      <c r="G188" s="16">
        <v>213.0</v>
      </c>
      <c r="H188" s="12" t="s">
        <v>655</v>
      </c>
      <c r="I188" s="26">
        <v>-36.0</v>
      </c>
      <c r="J188" s="22"/>
    </row>
    <row r="189">
      <c r="A189" s="12">
        <v>250.0</v>
      </c>
      <c r="B189" s="15" t="s">
        <v>999</v>
      </c>
      <c r="C189" s="16">
        <v>184.0</v>
      </c>
      <c r="D189" s="12" t="s">
        <v>1002</v>
      </c>
      <c r="E189" s="26">
        <v>-66.0</v>
      </c>
      <c r="F189" s="22"/>
      <c r="G189" s="16">
        <v>179.0</v>
      </c>
      <c r="H189" s="12" t="s">
        <v>1002</v>
      </c>
      <c r="I189" s="26">
        <v>-71.0</v>
      </c>
      <c r="J189" s="22"/>
    </row>
    <row r="190">
      <c r="A190" s="12">
        <v>253.0</v>
      </c>
      <c r="B190" s="15" t="s">
        <v>1004</v>
      </c>
      <c r="C190" s="16">
        <v>269.0</v>
      </c>
      <c r="D190" s="12" t="s">
        <v>769</v>
      </c>
      <c r="E190" s="20">
        <f>+16</f>
        <v>16</v>
      </c>
      <c r="F190" s="22"/>
      <c r="G190" s="16">
        <v>274.0</v>
      </c>
      <c r="H190" s="12" t="s">
        <v>772</v>
      </c>
      <c r="I190" s="20">
        <f>+21</f>
        <v>21</v>
      </c>
      <c r="J190" s="22"/>
    </row>
    <row r="191">
      <c r="A191" s="12">
        <v>256.0</v>
      </c>
      <c r="B191" s="15" t="s">
        <v>1008</v>
      </c>
      <c r="C191" s="16">
        <v>249.0</v>
      </c>
      <c r="D191" s="12" t="s">
        <v>709</v>
      </c>
      <c r="E191" s="26">
        <v>-7.0</v>
      </c>
      <c r="F191" s="22"/>
      <c r="G191" s="16">
        <v>242.0</v>
      </c>
      <c r="H191" s="12" t="s">
        <v>685</v>
      </c>
      <c r="I191" s="26">
        <v>-14.0</v>
      </c>
      <c r="J191" s="22"/>
    </row>
    <row r="192">
      <c r="A192" s="12">
        <v>257.0</v>
      </c>
      <c r="B192" s="15" t="s">
        <v>1011</v>
      </c>
      <c r="C192" s="16">
        <v>149.0</v>
      </c>
      <c r="D192" s="12" t="s">
        <v>585</v>
      </c>
      <c r="E192" s="29" t="s">
        <v>157</v>
      </c>
      <c r="F192" s="22"/>
      <c r="G192" s="16">
        <v>127.0</v>
      </c>
      <c r="H192" s="12" t="s">
        <v>585</v>
      </c>
      <c r="I192" s="29" t="s">
        <v>157</v>
      </c>
      <c r="J192" s="22"/>
    </row>
    <row r="193">
      <c r="A193" s="12">
        <v>258.0</v>
      </c>
      <c r="B193" s="15" t="s">
        <v>1015</v>
      </c>
      <c r="C193" s="16">
        <v>157.0</v>
      </c>
      <c r="D193" s="12" t="s">
        <v>1018</v>
      </c>
      <c r="E193" s="29" t="s">
        <v>157</v>
      </c>
      <c r="F193" s="22"/>
      <c r="G193" s="16">
        <v>157.0</v>
      </c>
      <c r="H193" s="12" t="s">
        <v>1018</v>
      </c>
      <c r="I193" s="29" t="s">
        <v>157</v>
      </c>
      <c r="J193" s="22"/>
    </row>
    <row r="194">
      <c r="A194" s="12">
        <v>260.0</v>
      </c>
      <c r="B194" s="15" t="s">
        <v>1019</v>
      </c>
      <c r="C194" s="16">
        <v>124.0</v>
      </c>
      <c r="D194" s="12" t="s">
        <v>515</v>
      </c>
      <c r="E194" s="29" t="s">
        <v>157</v>
      </c>
      <c r="F194" s="22"/>
      <c r="G194" s="16">
        <v>122.0</v>
      </c>
      <c r="H194" s="12" t="s">
        <v>558</v>
      </c>
      <c r="I194" s="29" t="s">
        <v>157</v>
      </c>
      <c r="J194" s="22"/>
    </row>
    <row r="195">
      <c r="A195" s="12">
        <v>261.0</v>
      </c>
      <c r="B195" s="15" t="s">
        <v>1024</v>
      </c>
      <c r="C195" s="16">
        <v>197.0</v>
      </c>
      <c r="D195" s="12" t="s">
        <v>608</v>
      </c>
      <c r="E195" s="26">
        <v>-64.0</v>
      </c>
      <c r="F195" s="22"/>
      <c r="G195" s="16">
        <v>200.0</v>
      </c>
      <c r="H195" s="12" t="s">
        <v>608</v>
      </c>
      <c r="I195" s="26">
        <v>-61.0</v>
      </c>
      <c r="J195" s="22"/>
    </row>
    <row r="196">
      <c r="A196" s="12">
        <v>263.0</v>
      </c>
      <c r="B196" s="15" t="s">
        <v>1029</v>
      </c>
      <c r="C196" s="16">
        <v>268.0</v>
      </c>
      <c r="D196" s="12" t="s">
        <v>762</v>
      </c>
      <c r="E196" s="20">
        <f>+5</f>
        <v>5</v>
      </c>
      <c r="F196" s="22"/>
      <c r="G196" s="16">
        <v>260.0</v>
      </c>
      <c r="H196" s="12" t="s">
        <v>736</v>
      </c>
      <c r="I196" s="26">
        <v>-3.0</v>
      </c>
      <c r="J196" s="22"/>
    </row>
    <row r="197">
      <c r="A197" s="12">
        <v>266.0</v>
      </c>
      <c r="B197" s="15" t="s">
        <v>1033</v>
      </c>
      <c r="C197" s="16">
        <v>180.0</v>
      </c>
      <c r="D197" s="12" t="s">
        <v>593</v>
      </c>
      <c r="E197" s="26">
        <v>-86.0</v>
      </c>
      <c r="F197" s="22"/>
      <c r="G197" s="16">
        <v>204.0</v>
      </c>
      <c r="H197" s="12" t="s">
        <v>628</v>
      </c>
      <c r="I197" s="26">
        <v>-62.0</v>
      </c>
      <c r="J197" s="22"/>
    </row>
    <row r="198">
      <c r="A198" s="12">
        <v>267.0</v>
      </c>
      <c r="B198" s="15" t="s">
        <v>1037</v>
      </c>
      <c r="C198" s="16">
        <v>221.0</v>
      </c>
      <c r="D198" s="12" t="s">
        <v>653</v>
      </c>
      <c r="E198" s="26">
        <v>-46.0</v>
      </c>
      <c r="F198" s="22"/>
      <c r="G198" s="16">
        <v>227.0</v>
      </c>
      <c r="H198" s="12" t="s">
        <v>666</v>
      </c>
      <c r="I198" s="26">
        <v>-40.0</v>
      </c>
      <c r="J198" s="22"/>
    </row>
    <row r="199">
      <c r="A199" s="12">
        <v>268.0</v>
      </c>
      <c r="B199" s="15" t="s">
        <v>1040</v>
      </c>
      <c r="C199" s="16">
        <v>133.0</v>
      </c>
      <c r="D199" s="12" t="s">
        <v>1043</v>
      </c>
      <c r="E199" s="29" t="s">
        <v>157</v>
      </c>
      <c r="F199" s="22"/>
      <c r="G199" s="16">
        <v>139.0</v>
      </c>
      <c r="H199" s="12" t="s">
        <v>1043</v>
      </c>
      <c r="I199" s="29" t="s">
        <v>157</v>
      </c>
      <c r="J199" s="22"/>
    </row>
    <row r="200">
      <c r="A200" s="12">
        <v>269.0</v>
      </c>
      <c r="B200" s="15" t="s">
        <v>1045</v>
      </c>
      <c r="C200" s="16">
        <v>145.0</v>
      </c>
      <c r="D200" s="12" t="s">
        <v>532</v>
      </c>
      <c r="E200" s="29" t="s">
        <v>157</v>
      </c>
      <c r="F200" s="22"/>
      <c r="G200" s="16">
        <v>156.0</v>
      </c>
      <c r="H200" s="12" t="s">
        <v>534</v>
      </c>
      <c r="I200" s="29" t="s">
        <v>157</v>
      </c>
      <c r="J200" s="22"/>
    </row>
    <row r="201">
      <c r="A201" s="12">
        <v>270.0</v>
      </c>
      <c r="B201" s="15" t="s">
        <v>1049</v>
      </c>
      <c r="C201" s="16">
        <v>278.0</v>
      </c>
      <c r="D201" s="12" t="s">
        <v>1050</v>
      </c>
      <c r="E201" s="20">
        <f>+8</f>
        <v>8</v>
      </c>
      <c r="F201" s="22"/>
      <c r="G201" s="16">
        <v>269.0</v>
      </c>
      <c r="H201" s="12" t="s">
        <v>1050</v>
      </c>
      <c r="I201" s="26">
        <v>-1.0</v>
      </c>
      <c r="J201" s="22"/>
    </row>
    <row r="202">
      <c r="A202" s="12">
        <v>273.0</v>
      </c>
      <c r="B202" s="15" t="s">
        <v>1053</v>
      </c>
      <c r="C202" s="16">
        <v>207.0</v>
      </c>
      <c r="D202" s="12" t="s">
        <v>973</v>
      </c>
      <c r="E202" s="26">
        <v>-66.0</v>
      </c>
      <c r="F202" s="22"/>
      <c r="G202" s="16">
        <v>198.0</v>
      </c>
      <c r="H202" s="12" t="s">
        <v>1055</v>
      </c>
      <c r="I202" s="26">
        <v>-75.0</v>
      </c>
      <c r="J202" s="22"/>
    </row>
    <row r="203">
      <c r="A203" s="12">
        <v>274.0</v>
      </c>
      <c r="B203" s="15" t="s">
        <v>1057</v>
      </c>
      <c r="C203" s="16">
        <v>236.0</v>
      </c>
      <c r="D203" s="12" t="s">
        <v>1060</v>
      </c>
      <c r="E203" s="26">
        <v>-38.0</v>
      </c>
      <c r="F203" s="22"/>
      <c r="G203" s="16">
        <v>231.0</v>
      </c>
      <c r="H203" s="12" t="s">
        <v>1060</v>
      </c>
      <c r="I203" s="26">
        <v>-43.0</v>
      </c>
      <c r="J203" s="22"/>
    </row>
    <row r="204">
      <c r="A204" s="12">
        <v>275.0</v>
      </c>
      <c r="B204" s="15" t="s">
        <v>1062</v>
      </c>
      <c r="C204" s="16">
        <v>159.0</v>
      </c>
      <c r="D204" s="12" t="s">
        <v>644</v>
      </c>
      <c r="E204" s="29" t="s">
        <v>157</v>
      </c>
      <c r="F204" s="22"/>
      <c r="G204" s="16">
        <v>165.0</v>
      </c>
      <c r="H204" s="12" t="s">
        <v>700</v>
      </c>
      <c r="I204" s="29" t="s">
        <v>157</v>
      </c>
      <c r="J204" s="22"/>
    </row>
    <row r="205">
      <c r="A205" s="12">
        <v>277.0</v>
      </c>
      <c r="B205" s="15" t="s">
        <v>1066</v>
      </c>
      <c r="C205" s="16">
        <v>252.0</v>
      </c>
      <c r="D205" s="12" t="s">
        <v>1068</v>
      </c>
      <c r="E205" s="26">
        <v>-25.0</v>
      </c>
      <c r="F205" s="22"/>
      <c r="G205" s="16">
        <v>246.0</v>
      </c>
      <c r="H205" s="12" t="s">
        <v>936</v>
      </c>
      <c r="I205" s="26">
        <v>-31.0</v>
      </c>
      <c r="J205" s="22"/>
    </row>
    <row r="206">
      <c r="A206" s="12">
        <v>278.0</v>
      </c>
      <c r="B206" s="15" t="s">
        <v>1070</v>
      </c>
      <c r="C206" s="16">
        <v>247.0</v>
      </c>
      <c r="D206" s="12" t="s">
        <v>1073</v>
      </c>
      <c r="E206" s="26">
        <v>-31.0</v>
      </c>
      <c r="F206" s="22"/>
      <c r="G206" s="16">
        <v>240.0</v>
      </c>
      <c r="H206" s="12" t="s">
        <v>1068</v>
      </c>
      <c r="I206" s="26">
        <v>-38.0</v>
      </c>
      <c r="J206" s="22"/>
    </row>
    <row r="207">
      <c r="A207" s="12">
        <v>282.0</v>
      </c>
      <c r="B207" s="15" t="s">
        <v>1075</v>
      </c>
      <c r="C207" s="16">
        <v>205.0</v>
      </c>
      <c r="D207" s="12" t="s">
        <v>621</v>
      </c>
      <c r="E207" s="26">
        <v>-77.0</v>
      </c>
      <c r="F207" s="22"/>
      <c r="G207" s="16">
        <v>190.0</v>
      </c>
      <c r="H207" s="12" t="s">
        <v>583</v>
      </c>
      <c r="I207" s="26">
        <v>-92.0</v>
      </c>
      <c r="J207" s="22"/>
    </row>
    <row r="208">
      <c r="A208" s="12">
        <v>284.0</v>
      </c>
      <c r="B208" s="15" t="s">
        <v>1079</v>
      </c>
      <c r="C208" s="16">
        <v>154.0</v>
      </c>
      <c r="D208" s="12" t="s">
        <v>542</v>
      </c>
      <c r="E208" s="29" t="s">
        <v>157</v>
      </c>
      <c r="F208" s="22"/>
      <c r="G208" s="16">
        <v>172.0</v>
      </c>
      <c r="H208" s="12" t="s">
        <v>556</v>
      </c>
      <c r="I208" s="29" t="s">
        <v>157</v>
      </c>
      <c r="J208" s="22"/>
    </row>
    <row r="209">
      <c r="A209" s="12">
        <v>286.0</v>
      </c>
      <c r="B209" s="15" t="s">
        <v>1082</v>
      </c>
      <c r="C209" s="16">
        <v>190.0</v>
      </c>
      <c r="D209" s="12" t="s">
        <v>628</v>
      </c>
      <c r="E209" s="26">
        <v>-96.0</v>
      </c>
      <c r="F209" s="22"/>
      <c r="G209" s="16">
        <v>210.0</v>
      </c>
      <c r="H209" s="12" t="s">
        <v>650</v>
      </c>
      <c r="I209" s="26">
        <v>-76.0</v>
      </c>
      <c r="J209" s="22"/>
    </row>
    <row r="210">
      <c r="A210" s="12">
        <v>287.0</v>
      </c>
      <c r="B210" s="15" t="s">
        <v>1086</v>
      </c>
      <c r="C210" s="16">
        <v>220.0</v>
      </c>
      <c r="D210" s="12" t="s">
        <v>1055</v>
      </c>
      <c r="E210" s="26">
        <v>-67.0</v>
      </c>
      <c r="F210" s="22"/>
      <c r="G210" s="16">
        <v>212.0</v>
      </c>
      <c r="H210" s="12" t="s">
        <v>961</v>
      </c>
      <c r="I210" s="26">
        <v>-75.0</v>
      </c>
      <c r="J210" s="22"/>
    </row>
    <row r="211">
      <c r="A211" s="12">
        <v>289.0</v>
      </c>
      <c r="B211" s="15" t="s">
        <v>1090</v>
      </c>
      <c r="C211" s="16">
        <v>199.0</v>
      </c>
      <c r="D211" s="12" t="s">
        <v>615</v>
      </c>
      <c r="E211" s="26">
        <v>-90.0</v>
      </c>
      <c r="F211" s="22"/>
      <c r="G211" s="16">
        <v>211.0</v>
      </c>
      <c r="H211" s="12" t="s">
        <v>637</v>
      </c>
      <c r="I211" s="26">
        <v>-78.0</v>
      </c>
      <c r="J211" s="22"/>
    </row>
    <row r="212">
      <c r="A212" s="12">
        <v>290.0</v>
      </c>
      <c r="B212" s="15" t="s">
        <v>1093</v>
      </c>
      <c r="C212" s="16">
        <v>150.0</v>
      </c>
      <c r="D212" s="12" t="s">
        <v>605</v>
      </c>
      <c r="E212" s="29" t="s">
        <v>157</v>
      </c>
      <c r="F212" s="22"/>
      <c r="G212" s="16">
        <v>117.0</v>
      </c>
      <c r="H212" s="12" t="s">
        <v>515</v>
      </c>
      <c r="I212" s="29" t="s">
        <v>157</v>
      </c>
      <c r="J212" s="22"/>
    </row>
    <row r="213">
      <c r="A213" s="12">
        <v>291.0</v>
      </c>
      <c r="B213" s="15" t="s">
        <v>1097</v>
      </c>
      <c r="C213" s="16">
        <v>214.0</v>
      </c>
      <c r="D213" s="12" t="s">
        <v>637</v>
      </c>
      <c r="E213" s="26">
        <v>-77.0</v>
      </c>
      <c r="F213" s="22"/>
      <c r="G213" s="16">
        <v>207.0</v>
      </c>
      <c r="H213" s="12" t="s">
        <v>621</v>
      </c>
      <c r="I213" s="26">
        <v>-84.0</v>
      </c>
      <c r="J213" s="22"/>
    </row>
    <row r="214">
      <c r="A214" s="12">
        <v>292.0</v>
      </c>
      <c r="B214" s="15" t="s">
        <v>1100</v>
      </c>
      <c r="C214" s="16">
        <v>155.0</v>
      </c>
      <c r="D214" s="12" t="s">
        <v>610</v>
      </c>
      <c r="E214" s="29" t="s">
        <v>157</v>
      </c>
      <c r="F214" s="22"/>
      <c r="G214" s="16">
        <v>149.0</v>
      </c>
      <c r="H214" s="12" t="s">
        <v>644</v>
      </c>
      <c r="I214" s="29" t="s">
        <v>157</v>
      </c>
      <c r="J214" s="22"/>
    </row>
    <row r="215">
      <c r="A215" s="12">
        <v>294.0</v>
      </c>
      <c r="B215" s="15" t="s">
        <v>1104</v>
      </c>
      <c r="C215" s="16">
        <v>273.0</v>
      </c>
      <c r="D215" s="12" t="s">
        <v>1106</v>
      </c>
      <c r="E215" s="26">
        <v>-21.0</v>
      </c>
      <c r="F215" s="22"/>
      <c r="G215" s="16">
        <v>262.0</v>
      </c>
      <c r="H215" s="12" t="s">
        <v>1108</v>
      </c>
      <c r="I215" s="26">
        <v>-32.0</v>
      </c>
      <c r="J215" s="22"/>
    </row>
    <row r="216">
      <c r="A216" s="12">
        <v>296.0</v>
      </c>
      <c r="B216" s="15" t="s">
        <v>1109</v>
      </c>
      <c r="C216" s="16">
        <v>288.0</v>
      </c>
      <c r="D216" s="12" t="s">
        <v>1112</v>
      </c>
      <c r="E216" s="26">
        <v>-8.0</v>
      </c>
      <c r="F216" s="22"/>
      <c r="G216" s="16">
        <v>280.0</v>
      </c>
      <c r="H216" s="12" t="s">
        <v>1113</v>
      </c>
      <c r="I216" s="26">
        <v>-16.0</v>
      </c>
      <c r="J216" s="22"/>
    </row>
    <row r="217">
      <c r="A217" s="12">
        <v>297.0</v>
      </c>
      <c r="B217" s="15" t="s">
        <v>1115</v>
      </c>
      <c r="C217" s="16">
        <v>192.0</v>
      </c>
      <c r="D217" s="12" t="s">
        <v>1117</v>
      </c>
      <c r="E217" s="29" t="s">
        <v>157</v>
      </c>
      <c r="F217" s="22"/>
      <c r="G217" s="16">
        <v>186.0</v>
      </c>
      <c r="H217" s="12" t="s">
        <v>1117</v>
      </c>
      <c r="I217" s="29" t="s">
        <v>157</v>
      </c>
      <c r="J217" s="22"/>
    </row>
    <row r="218">
      <c r="A218" s="12">
        <v>302.0</v>
      </c>
      <c r="B218" s="15" t="s">
        <v>1118</v>
      </c>
      <c r="C218" s="16">
        <v>253.0</v>
      </c>
      <c r="D218" s="12" t="s">
        <v>714</v>
      </c>
      <c r="E218" s="26">
        <v>-49.0</v>
      </c>
      <c r="F218" s="22"/>
      <c r="G218" s="16">
        <v>252.0</v>
      </c>
      <c r="H218" s="12" t="s">
        <v>702</v>
      </c>
      <c r="I218" s="26">
        <v>-50.0</v>
      </c>
      <c r="J218" s="22"/>
    </row>
    <row r="219">
      <c r="A219" s="12">
        <v>303.0</v>
      </c>
      <c r="B219" s="15" t="s">
        <v>1121</v>
      </c>
      <c r="C219" s="16">
        <v>299.0</v>
      </c>
      <c r="D219" s="12" t="s">
        <v>1123</v>
      </c>
      <c r="E219" s="26">
        <v>-4.0</v>
      </c>
      <c r="F219" s="22"/>
      <c r="G219" s="16">
        <v>296.0</v>
      </c>
      <c r="H219" s="12" t="s">
        <v>1123</v>
      </c>
      <c r="I219" s="26">
        <v>-7.0</v>
      </c>
      <c r="J219" s="22"/>
    </row>
    <row r="220">
      <c r="A220" s="12">
        <v>304.0</v>
      </c>
      <c r="B220" s="15" t="s">
        <v>1126</v>
      </c>
      <c r="C220" s="16">
        <v>136.0</v>
      </c>
      <c r="D220" s="12" t="s">
        <v>573</v>
      </c>
      <c r="E220" s="29" t="s">
        <v>157</v>
      </c>
      <c r="F220" s="22"/>
      <c r="G220" s="16">
        <v>107.0</v>
      </c>
      <c r="H220" s="12" t="s">
        <v>481</v>
      </c>
      <c r="I220" s="29" t="s">
        <v>157</v>
      </c>
      <c r="J220" s="22"/>
    </row>
    <row r="221">
      <c r="A221" s="12">
        <v>305.0</v>
      </c>
      <c r="B221" s="15" t="s">
        <v>1129</v>
      </c>
      <c r="C221" s="16">
        <v>187.0</v>
      </c>
      <c r="D221" s="12" t="s">
        <v>583</v>
      </c>
      <c r="E221" s="29" t="s">
        <v>157</v>
      </c>
      <c r="F221" s="22"/>
      <c r="G221" s="16">
        <v>178.0</v>
      </c>
      <c r="H221" s="12" t="s">
        <v>566</v>
      </c>
      <c r="I221" s="29" t="s">
        <v>157</v>
      </c>
      <c r="J221" s="22"/>
    </row>
    <row r="222">
      <c r="A222" s="12">
        <v>306.0</v>
      </c>
      <c r="B222" s="15" t="s">
        <v>1133</v>
      </c>
      <c r="C222" s="16">
        <v>240.0</v>
      </c>
      <c r="D222" s="12" t="s">
        <v>962</v>
      </c>
      <c r="E222" s="26">
        <v>-66.0</v>
      </c>
      <c r="F222" s="22"/>
      <c r="G222" s="16">
        <v>235.0</v>
      </c>
      <c r="H222" s="12" t="s">
        <v>1073</v>
      </c>
      <c r="I222" s="26">
        <v>-71.0</v>
      </c>
      <c r="J222" s="22"/>
    </row>
    <row r="223">
      <c r="A223" s="12">
        <v>307.0</v>
      </c>
      <c r="B223" s="15" t="s">
        <v>1137</v>
      </c>
      <c r="C223" s="16">
        <v>257.0</v>
      </c>
      <c r="D223" s="12" t="s">
        <v>1140</v>
      </c>
      <c r="E223" s="26">
        <v>-50.0</v>
      </c>
      <c r="F223" s="22"/>
      <c r="G223" s="16">
        <v>251.0</v>
      </c>
      <c r="H223" s="12" t="s">
        <v>1140</v>
      </c>
      <c r="I223" s="26">
        <v>-56.0</v>
      </c>
      <c r="J223" s="22"/>
    </row>
    <row r="224">
      <c r="A224" s="12">
        <v>308.0</v>
      </c>
      <c r="B224" s="15" t="s">
        <v>1142</v>
      </c>
      <c r="C224" s="16">
        <v>285.0</v>
      </c>
      <c r="D224" s="12" t="s">
        <v>800</v>
      </c>
      <c r="E224" s="26">
        <v>-23.0</v>
      </c>
      <c r="F224" s="22"/>
      <c r="G224" s="16">
        <v>278.0</v>
      </c>
      <c r="H224" s="12" t="s">
        <v>783</v>
      </c>
      <c r="I224" s="26">
        <v>-30.0</v>
      </c>
      <c r="J224" s="22"/>
    </row>
    <row r="225">
      <c r="A225" s="12">
        <v>312.0</v>
      </c>
      <c r="B225" s="15" t="s">
        <v>1146</v>
      </c>
      <c r="C225" s="16">
        <v>291.0</v>
      </c>
      <c r="D225" s="12" t="s">
        <v>1148</v>
      </c>
      <c r="E225" s="26">
        <v>-21.0</v>
      </c>
      <c r="F225" s="22"/>
      <c r="G225" s="16">
        <v>285.0</v>
      </c>
      <c r="H225" s="12" t="s">
        <v>1148</v>
      </c>
      <c r="I225" s="26">
        <v>-27.0</v>
      </c>
      <c r="J225" s="22"/>
    </row>
    <row r="226">
      <c r="A226" s="12">
        <v>313.0</v>
      </c>
      <c r="B226" s="15" t="s">
        <v>1150</v>
      </c>
      <c r="C226" s="16">
        <v>295.0</v>
      </c>
      <c r="D226" s="12" t="s">
        <v>1153</v>
      </c>
      <c r="E226" s="26">
        <v>-18.0</v>
      </c>
      <c r="F226" s="22"/>
      <c r="G226" s="16">
        <v>289.0</v>
      </c>
      <c r="H226" s="12" t="s">
        <v>1154</v>
      </c>
      <c r="I226" s="26">
        <v>-24.0</v>
      </c>
      <c r="J226" s="22"/>
    </row>
    <row r="227">
      <c r="A227" s="12">
        <v>315.0</v>
      </c>
      <c r="B227" s="15" t="s">
        <v>1156</v>
      </c>
      <c r="C227" s="16">
        <v>138.0</v>
      </c>
      <c r="D227" s="12" t="s">
        <v>510</v>
      </c>
      <c r="E227" s="29" t="s">
        <v>157</v>
      </c>
      <c r="F227" s="22"/>
      <c r="G227" s="16">
        <v>133.0</v>
      </c>
      <c r="H227" s="12" t="s">
        <v>491</v>
      </c>
      <c r="I227" s="29" t="s">
        <v>157</v>
      </c>
      <c r="J227" s="22"/>
    </row>
    <row r="228">
      <c r="A228" s="12">
        <v>320.0</v>
      </c>
      <c r="B228" s="15" t="s">
        <v>1160</v>
      </c>
      <c r="C228" s="16">
        <v>276.0</v>
      </c>
      <c r="D228" s="12" t="s">
        <v>1162</v>
      </c>
      <c r="E228" s="26">
        <v>-44.0</v>
      </c>
      <c r="F228" s="22"/>
      <c r="G228" s="16">
        <v>266.0</v>
      </c>
      <c r="H228" s="12" t="s">
        <v>1162</v>
      </c>
      <c r="I228" s="26">
        <v>-54.0</v>
      </c>
      <c r="J228" s="22"/>
    </row>
    <row r="229">
      <c r="A229" s="12">
        <v>322.0</v>
      </c>
      <c r="B229" s="15" t="s">
        <v>1164</v>
      </c>
      <c r="C229" s="16">
        <v>270.0</v>
      </c>
      <c r="D229" s="12" t="s">
        <v>777</v>
      </c>
      <c r="E229" s="26">
        <v>-52.0</v>
      </c>
      <c r="F229" s="22"/>
      <c r="G229" s="16">
        <v>275.0</v>
      </c>
      <c r="H229" s="12" t="s">
        <v>777</v>
      </c>
      <c r="I229" s="26">
        <v>-47.0</v>
      </c>
      <c r="J229" s="22"/>
    </row>
    <row r="230">
      <c r="A230" s="12">
        <v>323.0</v>
      </c>
      <c r="B230" s="15" t="s">
        <v>1166</v>
      </c>
      <c r="C230" s="16">
        <v>274.0</v>
      </c>
      <c r="D230" s="12" t="s">
        <v>1108</v>
      </c>
      <c r="E230" s="26">
        <v>-49.0</v>
      </c>
      <c r="F230" s="22"/>
      <c r="G230" s="16">
        <v>264.0</v>
      </c>
      <c r="H230" s="12" t="s">
        <v>1169</v>
      </c>
      <c r="I230" s="26">
        <v>-59.0</v>
      </c>
      <c r="J230" s="22"/>
    </row>
    <row r="231">
      <c r="A231" s="12">
        <v>325.0</v>
      </c>
      <c r="B231" s="15" t="s">
        <v>1170</v>
      </c>
      <c r="C231" s="16">
        <v>147.0</v>
      </c>
      <c r="D231" s="12" t="s">
        <v>534</v>
      </c>
      <c r="E231" s="29" t="s">
        <v>157</v>
      </c>
      <c r="F231" s="22"/>
      <c r="G231" s="16">
        <v>121.0</v>
      </c>
      <c r="H231" s="12" t="s">
        <v>473</v>
      </c>
      <c r="I231" s="29" t="s">
        <v>157</v>
      </c>
      <c r="J231" s="22"/>
    </row>
    <row r="232">
      <c r="A232" s="12">
        <v>328.0</v>
      </c>
      <c r="B232" s="15" t="s">
        <v>1174</v>
      </c>
      <c r="C232" s="16">
        <v>281.0</v>
      </c>
      <c r="D232" s="12" t="s">
        <v>786</v>
      </c>
      <c r="E232" s="26">
        <v>-47.0</v>
      </c>
      <c r="F232" s="22"/>
      <c r="G232" s="16">
        <v>272.0</v>
      </c>
      <c r="H232" s="12" t="s">
        <v>769</v>
      </c>
      <c r="I232" s="26">
        <v>-56.0</v>
      </c>
      <c r="J232" s="22"/>
    </row>
    <row r="233">
      <c r="A233" s="12">
        <v>330.0</v>
      </c>
      <c r="B233" s="15" t="s">
        <v>1177</v>
      </c>
      <c r="C233" s="16">
        <v>235.0</v>
      </c>
      <c r="D233" s="12" t="s">
        <v>685</v>
      </c>
      <c r="E233" s="26">
        <v>-95.0</v>
      </c>
      <c r="F233" s="22"/>
      <c r="G233" s="16">
        <v>221.0</v>
      </c>
      <c r="H233" s="12" t="s">
        <v>653</v>
      </c>
      <c r="I233" s="29" t="s">
        <v>157</v>
      </c>
      <c r="J233" s="22"/>
    </row>
    <row r="234">
      <c r="A234" s="12">
        <v>336.0</v>
      </c>
      <c r="B234" s="15" t="s">
        <v>1181</v>
      </c>
      <c r="C234" s="16">
        <v>282.0</v>
      </c>
      <c r="D234" s="12" t="s">
        <v>1169</v>
      </c>
      <c r="E234" s="26">
        <v>-54.0</v>
      </c>
      <c r="F234" s="22"/>
      <c r="G234" s="16">
        <v>273.0</v>
      </c>
      <c r="H234" s="12" t="s">
        <v>1112</v>
      </c>
      <c r="I234" s="26">
        <v>-63.0</v>
      </c>
      <c r="J234" s="22"/>
    </row>
    <row r="235">
      <c r="A235" s="12">
        <v>342.0</v>
      </c>
      <c r="B235" s="15" t="s">
        <v>1185</v>
      </c>
      <c r="C235" s="16">
        <v>298.0</v>
      </c>
      <c r="D235" s="12" t="s">
        <v>1188</v>
      </c>
      <c r="E235" s="26">
        <v>-44.0</v>
      </c>
      <c r="F235" s="22"/>
      <c r="G235" s="16">
        <v>294.0</v>
      </c>
      <c r="H235" s="12" t="s">
        <v>1188</v>
      </c>
      <c r="I235" s="26">
        <v>-48.0</v>
      </c>
      <c r="J235" s="22"/>
    </row>
    <row r="236">
      <c r="A236" s="12">
        <v>346.0</v>
      </c>
      <c r="B236" s="15" t="s">
        <v>1191</v>
      </c>
      <c r="C236" s="16">
        <v>208.0</v>
      </c>
      <c r="D236" s="12" t="s">
        <v>729</v>
      </c>
      <c r="E236" s="29" t="s">
        <v>157</v>
      </c>
      <c r="F236" s="22"/>
      <c r="G236" s="16">
        <v>180.0</v>
      </c>
      <c r="H236" s="12" t="s">
        <v>729</v>
      </c>
      <c r="I236" s="29" t="s">
        <v>157</v>
      </c>
      <c r="J236" s="22"/>
    </row>
    <row r="237">
      <c r="A237" s="12">
        <v>348.0</v>
      </c>
      <c r="B237" s="15" t="s">
        <v>1194</v>
      </c>
      <c r="C237" s="16">
        <v>228.0</v>
      </c>
      <c r="D237" s="12" t="s">
        <v>664</v>
      </c>
      <c r="E237" s="29" t="s">
        <v>157</v>
      </c>
      <c r="F237" s="22"/>
      <c r="G237" s="16">
        <v>222.0</v>
      </c>
      <c r="H237" s="12" t="s">
        <v>658</v>
      </c>
      <c r="I237" s="29" t="s">
        <v>157</v>
      </c>
      <c r="J237" s="22"/>
    </row>
    <row r="238">
      <c r="A238" s="12">
        <v>351.0</v>
      </c>
      <c r="B238" s="15" t="s">
        <v>1197</v>
      </c>
      <c r="C238" s="16">
        <v>164.0</v>
      </c>
      <c r="D238" s="12" t="s">
        <v>556</v>
      </c>
      <c r="E238" s="29" t="s">
        <v>157</v>
      </c>
      <c r="F238" s="22"/>
      <c r="G238" s="16">
        <v>170.0</v>
      </c>
      <c r="H238" s="12" t="s">
        <v>549</v>
      </c>
      <c r="I238" s="29" t="s">
        <v>157</v>
      </c>
      <c r="J238" s="22"/>
    </row>
    <row r="239">
      <c r="A239" s="12">
        <v>355.0</v>
      </c>
      <c r="B239" s="15" t="s">
        <v>1200</v>
      </c>
      <c r="C239" s="16" t="s">
        <v>157</v>
      </c>
      <c r="D239" s="12" t="s">
        <v>157</v>
      </c>
      <c r="E239" s="29" t="s">
        <v>157</v>
      </c>
      <c r="F239" s="22"/>
      <c r="G239" s="16">
        <v>297.0</v>
      </c>
      <c r="H239" s="12" t="s">
        <v>1202</v>
      </c>
      <c r="I239" s="26">
        <v>-58.0</v>
      </c>
      <c r="J239" s="22"/>
    </row>
    <row r="240">
      <c r="A240" s="12">
        <v>358.0</v>
      </c>
      <c r="B240" s="15" t="s">
        <v>1204</v>
      </c>
      <c r="C240" s="16">
        <v>231.0</v>
      </c>
      <c r="D240" s="12" t="s">
        <v>669</v>
      </c>
      <c r="E240" s="29" t="s">
        <v>157</v>
      </c>
      <c r="F240" s="22"/>
      <c r="G240" s="16">
        <v>228.0</v>
      </c>
      <c r="H240" s="12" t="s">
        <v>669</v>
      </c>
      <c r="I240" s="29" t="s">
        <v>157</v>
      </c>
      <c r="J240" s="22"/>
    </row>
    <row r="241">
      <c r="A241" s="12">
        <v>365.0</v>
      </c>
      <c r="B241" s="15" t="s">
        <v>1208</v>
      </c>
      <c r="C241" s="16">
        <v>275.0</v>
      </c>
      <c r="D241" s="12" t="s">
        <v>774</v>
      </c>
      <c r="E241" s="26">
        <v>-90.0</v>
      </c>
      <c r="F241" s="22"/>
      <c r="G241" s="16">
        <v>265.0</v>
      </c>
      <c r="H241" s="12" t="s">
        <v>749</v>
      </c>
      <c r="I241" s="26">
        <v>-100.0</v>
      </c>
      <c r="J241" s="22"/>
    </row>
    <row r="242">
      <c r="A242" s="12">
        <v>367.0</v>
      </c>
      <c r="B242" s="15" t="s">
        <v>1211</v>
      </c>
      <c r="C242" s="16">
        <v>191.0</v>
      </c>
      <c r="D242" s="12" t="s">
        <v>722</v>
      </c>
      <c r="E242" s="29" t="s">
        <v>157</v>
      </c>
      <c r="F242" s="22"/>
      <c r="G242" s="16">
        <v>144.0</v>
      </c>
      <c r="H242" s="12" t="s">
        <v>610</v>
      </c>
      <c r="I242" s="29" t="s">
        <v>157</v>
      </c>
      <c r="J242" s="22"/>
    </row>
    <row r="243">
      <c r="A243" s="12">
        <v>371.0</v>
      </c>
      <c r="B243" s="15" t="s">
        <v>1215</v>
      </c>
      <c r="C243" s="16" t="s">
        <v>157</v>
      </c>
      <c r="D243" s="12" t="s">
        <v>157</v>
      </c>
      <c r="E243" s="29" t="s">
        <v>157</v>
      </c>
      <c r="F243" s="22"/>
      <c r="G243" s="16">
        <v>293.0</v>
      </c>
      <c r="H243" s="12" t="s">
        <v>1217</v>
      </c>
      <c r="I243" s="26">
        <v>-78.0</v>
      </c>
      <c r="J243" s="22"/>
    </row>
    <row r="244">
      <c r="A244" s="12">
        <v>376.0</v>
      </c>
      <c r="B244" s="15" t="s">
        <v>1219</v>
      </c>
      <c r="C244" s="16">
        <v>212.0</v>
      </c>
      <c r="D244" s="12" t="s">
        <v>625</v>
      </c>
      <c r="E244" s="29" t="s">
        <v>157</v>
      </c>
      <c r="F244" s="22"/>
      <c r="G244" s="16">
        <v>206.0</v>
      </c>
      <c r="H244" s="12" t="s">
        <v>618</v>
      </c>
      <c r="I244" s="29" t="s">
        <v>157</v>
      </c>
      <c r="J244" s="22"/>
    </row>
    <row r="245">
      <c r="A245" s="12">
        <v>379.0</v>
      </c>
      <c r="B245" s="15" t="s">
        <v>1223</v>
      </c>
      <c r="C245" s="16">
        <v>202.0</v>
      </c>
      <c r="D245" s="12" t="s">
        <v>724</v>
      </c>
      <c r="E245" s="29" t="s">
        <v>157</v>
      </c>
      <c r="F245" s="22"/>
      <c r="G245" s="16">
        <v>185.0</v>
      </c>
      <c r="H245" s="12" t="s">
        <v>744</v>
      </c>
      <c r="I245" s="29" t="s">
        <v>157</v>
      </c>
      <c r="J245" s="22"/>
    </row>
    <row r="246">
      <c r="A246" s="12">
        <v>381.0</v>
      </c>
      <c r="B246" s="15" t="s">
        <v>1227</v>
      </c>
      <c r="C246" s="16">
        <v>265.0</v>
      </c>
      <c r="D246" s="12" t="s">
        <v>938</v>
      </c>
      <c r="E246" s="29" t="s">
        <v>157</v>
      </c>
      <c r="F246" s="22"/>
      <c r="G246" s="16">
        <v>258.0</v>
      </c>
      <c r="H246" s="12" t="s">
        <v>1106</v>
      </c>
      <c r="I246" s="29" t="s">
        <v>157</v>
      </c>
      <c r="J246" s="22"/>
    </row>
    <row r="247">
      <c r="A247" s="12">
        <v>385.0</v>
      </c>
      <c r="B247" s="15" t="s">
        <v>1230</v>
      </c>
      <c r="C247" s="16">
        <v>181.0</v>
      </c>
      <c r="D247" s="12" t="s">
        <v>596</v>
      </c>
      <c r="E247" s="29" t="s">
        <v>157</v>
      </c>
      <c r="F247" s="22"/>
      <c r="G247" s="16">
        <v>160.0</v>
      </c>
      <c r="H247" s="12" t="s">
        <v>542</v>
      </c>
      <c r="I247" s="29" t="s">
        <v>157</v>
      </c>
      <c r="J247" s="22"/>
    </row>
    <row r="248">
      <c r="A248" s="12">
        <v>388.0</v>
      </c>
      <c r="B248" s="15" t="s">
        <v>1235</v>
      </c>
      <c r="C248" s="16">
        <v>174.0</v>
      </c>
      <c r="D248" s="12" t="s">
        <v>705</v>
      </c>
      <c r="E248" s="29" t="s">
        <v>157</v>
      </c>
      <c r="F248" s="22"/>
      <c r="G248" s="16">
        <v>173.0</v>
      </c>
      <c r="H248" s="12" t="s">
        <v>722</v>
      </c>
      <c r="I248" s="29" t="s">
        <v>157</v>
      </c>
      <c r="J248" s="22"/>
    </row>
    <row r="249">
      <c r="A249" s="12">
        <v>390.0</v>
      </c>
      <c r="B249" s="15" t="s">
        <v>1238</v>
      </c>
      <c r="C249" s="16">
        <v>254.0</v>
      </c>
      <c r="D249" s="12" t="s">
        <v>732</v>
      </c>
      <c r="E249" s="29" t="s">
        <v>157</v>
      </c>
      <c r="F249" s="22"/>
      <c r="G249" s="16">
        <v>248.0</v>
      </c>
      <c r="H249" s="12" t="s">
        <v>690</v>
      </c>
      <c r="I249" s="29" t="s">
        <v>157</v>
      </c>
      <c r="J249" s="22"/>
    </row>
    <row r="250">
      <c r="A250" s="12">
        <v>392.0</v>
      </c>
      <c r="B250" s="15" t="s">
        <v>1242</v>
      </c>
      <c r="C250" s="16">
        <v>244.0</v>
      </c>
      <c r="D250" s="12" t="s">
        <v>692</v>
      </c>
      <c r="E250" s="29" t="s">
        <v>157</v>
      </c>
      <c r="F250" s="22"/>
      <c r="G250" s="16">
        <v>268.0</v>
      </c>
      <c r="H250" s="12" t="s">
        <v>752</v>
      </c>
      <c r="I250" s="29" t="s">
        <v>157</v>
      </c>
      <c r="J250" s="22"/>
    </row>
    <row r="251">
      <c r="A251" s="12">
        <v>394.0</v>
      </c>
      <c r="B251" s="15" t="s">
        <v>1246</v>
      </c>
      <c r="C251" s="16">
        <v>294.0</v>
      </c>
      <c r="D251" s="12" t="s">
        <v>1249</v>
      </c>
      <c r="E251" s="26">
        <v>-100.0</v>
      </c>
      <c r="F251" s="22"/>
      <c r="G251" s="16">
        <v>288.0</v>
      </c>
      <c r="H251" s="12" t="s">
        <v>1249</v>
      </c>
      <c r="I251" s="29" t="s">
        <v>157</v>
      </c>
      <c r="J251" s="22"/>
    </row>
    <row r="252">
      <c r="A252" s="12">
        <v>395.0</v>
      </c>
      <c r="B252" s="15" t="s">
        <v>1250</v>
      </c>
      <c r="C252" s="16">
        <v>216.0</v>
      </c>
      <c r="D252" s="12" t="s">
        <v>682</v>
      </c>
      <c r="E252" s="29" t="s">
        <v>157</v>
      </c>
      <c r="F252" s="22"/>
      <c r="G252" s="16">
        <v>236.0</v>
      </c>
      <c r="H252" s="12" t="s">
        <v>712</v>
      </c>
      <c r="I252" s="29" t="s">
        <v>157</v>
      </c>
      <c r="J252" s="22"/>
    </row>
    <row r="253">
      <c r="A253" s="12">
        <v>398.0</v>
      </c>
      <c r="B253" s="15" t="s">
        <v>1254</v>
      </c>
      <c r="C253" s="16">
        <v>284.0</v>
      </c>
      <c r="D253" s="12" t="s">
        <v>792</v>
      </c>
      <c r="E253" s="29" t="s">
        <v>157</v>
      </c>
      <c r="F253" s="22"/>
      <c r="G253" s="16">
        <v>277.0</v>
      </c>
      <c r="H253" s="12" t="s">
        <v>774</v>
      </c>
      <c r="I253" s="29" t="s">
        <v>157</v>
      </c>
      <c r="J253" s="22"/>
    </row>
    <row r="254">
      <c r="A254" s="12">
        <v>401.0</v>
      </c>
      <c r="B254" s="15" t="s">
        <v>1257</v>
      </c>
      <c r="C254" s="16">
        <v>203.0</v>
      </c>
      <c r="D254" s="12" t="s">
        <v>635</v>
      </c>
      <c r="E254" s="29" t="s">
        <v>157</v>
      </c>
      <c r="F254" s="22"/>
      <c r="G254" s="16">
        <v>195.0</v>
      </c>
      <c r="H254" s="12" t="s">
        <v>596</v>
      </c>
      <c r="I254" s="29" t="s">
        <v>157</v>
      </c>
      <c r="J254" s="22"/>
    </row>
    <row r="255">
      <c r="A255" s="12">
        <v>404.0</v>
      </c>
      <c r="B255" s="15" t="s">
        <v>1260</v>
      </c>
      <c r="C255" s="16">
        <v>173.0</v>
      </c>
      <c r="D255" s="12" t="s">
        <v>570</v>
      </c>
      <c r="E255" s="29" t="s">
        <v>157</v>
      </c>
      <c r="F255" s="22"/>
      <c r="G255" s="16">
        <v>135.0</v>
      </c>
      <c r="H255" s="12" t="s">
        <v>493</v>
      </c>
      <c r="I255" s="29" t="s">
        <v>157</v>
      </c>
      <c r="J255" s="22"/>
    </row>
    <row r="256">
      <c r="A256" s="12">
        <v>406.0</v>
      </c>
      <c r="B256" s="15" t="s">
        <v>1263</v>
      </c>
      <c r="C256" s="16">
        <v>206.0</v>
      </c>
      <c r="D256" s="12" t="s">
        <v>650</v>
      </c>
      <c r="E256" s="29" t="s">
        <v>157</v>
      </c>
      <c r="F256" s="22"/>
      <c r="G256" s="16">
        <v>201.0</v>
      </c>
      <c r="H256" s="12" t="s">
        <v>598</v>
      </c>
      <c r="I256" s="29" t="s">
        <v>157</v>
      </c>
      <c r="J256" s="22"/>
    </row>
    <row r="257">
      <c r="A257" s="12">
        <v>411.0</v>
      </c>
      <c r="B257" s="15" t="s">
        <v>1267</v>
      </c>
      <c r="C257" s="16">
        <v>290.0</v>
      </c>
      <c r="D257" s="12" t="s">
        <v>1113</v>
      </c>
      <c r="E257" s="29" t="s">
        <v>157</v>
      </c>
      <c r="F257" s="22"/>
      <c r="G257" s="16">
        <v>284.0</v>
      </c>
      <c r="H257" s="12" t="s">
        <v>1153</v>
      </c>
      <c r="I257" s="29" t="s">
        <v>157</v>
      </c>
      <c r="J257" s="22"/>
    </row>
    <row r="258">
      <c r="A258" s="12">
        <v>415.0</v>
      </c>
      <c r="B258" s="15" t="s">
        <v>1272</v>
      </c>
      <c r="C258" s="16">
        <v>297.0</v>
      </c>
      <c r="D258" s="12" t="s">
        <v>1154</v>
      </c>
      <c r="E258" s="29" t="s">
        <v>157</v>
      </c>
      <c r="F258" s="22"/>
      <c r="G258" s="16">
        <v>291.0</v>
      </c>
      <c r="H258" s="12" t="s">
        <v>1274</v>
      </c>
      <c r="I258" s="29" t="s">
        <v>157</v>
      </c>
      <c r="J258" s="22"/>
    </row>
    <row r="259">
      <c r="A259" s="12">
        <v>419.0</v>
      </c>
      <c r="B259" s="15" t="s">
        <v>1276</v>
      </c>
      <c r="C259" s="16">
        <v>193.0</v>
      </c>
      <c r="D259" s="12" t="s">
        <v>591</v>
      </c>
      <c r="E259" s="29" t="s">
        <v>157</v>
      </c>
      <c r="F259" s="22"/>
      <c r="G259" s="16">
        <v>189.0</v>
      </c>
      <c r="H259" s="12" t="s">
        <v>580</v>
      </c>
      <c r="I259" s="29" t="s">
        <v>157</v>
      </c>
      <c r="J259" s="22"/>
    </row>
    <row r="260">
      <c r="A260" s="12">
        <v>425.0</v>
      </c>
      <c r="B260" s="15" t="s">
        <v>1279</v>
      </c>
      <c r="C260" s="16">
        <v>230.0</v>
      </c>
      <c r="D260" s="12" t="s">
        <v>666</v>
      </c>
      <c r="E260" s="29" t="s">
        <v>157</v>
      </c>
      <c r="F260" s="22"/>
      <c r="G260" s="16">
        <v>223.0</v>
      </c>
      <c r="H260" s="12" t="s">
        <v>664</v>
      </c>
      <c r="I260" s="29" t="s">
        <v>157</v>
      </c>
      <c r="J260" s="22"/>
    </row>
    <row r="261">
      <c r="A261" s="12">
        <v>426.0</v>
      </c>
      <c r="B261" s="15" t="s">
        <v>1283</v>
      </c>
      <c r="C261" s="16">
        <v>218.0</v>
      </c>
      <c r="D261" s="12" t="s">
        <v>687</v>
      </c>
      <c r="E261" s="29" t="s">
        <v>157</v>
      </c>
      <c r="F261" s="22"/>
      <c r="G261" s="16">
        <v>220.0</v>
      </c>
      <c r="H261" s="12" t="s">
        <v>682</v>
      </c>
      <c r="I261" s="29" t="s">
        <v>157</v>
      </c>
      <c r="J261" s="22"/>
    </row>
    <row r="262">
      <c r="A262" s="12">
        <v>429.0</v>
      </c>
      <c r="B262" s="15" t="s">
        <v>1287</v>
      </c>
      <c r="C262" s="16">
        <v>225.0</v>
      </c>
      <c r="D262" s="12" t="s">
        <v>707</v>
      </c>
      <c r="E262" s="29" t="s">
        <v>157</v>
      </c>
      <c r="F262" s="22"/>
      <c r="G262" s="16">
        <v>216.0</v>
      </c>
      <c r="H262" s="12" t="s">
        <v>679</v>
      </c>
      <c r="I262" s="29" t="s">
        <v>157</v>
      </c>
      <c r="J262" s="22"/>
    </row>
    <row r="263">
      <c r="A263" s="12">
        <v>433.0</v>
      </c>
      <c r="B263" s="15" t="s">
        <v>1290</v>
      </c>
      <c r="C263" s="16">
        <v>259.0</v>
      </c>
      <c r="D263" s="12" t="s">
        <v>739</v>
      </c>
      <c r="E263" s="29" t="s">
        <v>157</v>
      </c>
      <c r="F263" s="22"/>
      <c r="G263" s="16">
        <v>255.0</v>
      </c>
      <c r="H263" s="12" t="s">
        <v>714</v>
      </c>
      <c r="I263" s="29" t="s">
        <v>157</v>
      </c>
      <c r="J263" s="22"/>
    </row>
    <row r="264">
      <c r="A264" s="12">
        <v>446.0</v>
      </c>
      <c r="B264" s="15" t="s">
        <v>1293</v>
      </c>
      <c r="C264" s="16">
        <v>168.0</v>
      </c>
      <c r="D264" s="12" t="s">
        <v>561</v>
      </c>
      <c r="E264" s="29" t="s">
        <v>157</v>
      </c>
      <c r="F264" s="22"/>
      <c r="G264" s="16">
        <v>166.0</v>
      </c>
      <c r="H264" s="12" t="s">
        <v>546</v>
      </c>
      <c r="I264" s="29" t="s">
        <v>157</v>
      </c>
      <c r="J264" s="22"/>
    </row>
    <row r="265">
      <c r="A265" s="12">
        <v>457.0</v>
      </c>
      <c r="B265" s="15" t="s">
        <v>1298</v>
      </c>
      <c r="C265" s="16">
        <v>271.0</v>
      </c>
      <c r="D265" s="12" t="s">
        <v>772</v>
      </c>
      <c r="E265" s="29" t="s">
        <v>157</v>
      </c>
      <c r="F265" s="22"/>
      <c r="G265" s="16">
        <v>261.0</v>
      </c>
      <c r="H265" s="12" t="s">
        <v>739</v>
      </c>
      <c r="I265" s="29" t="s">
        <v>157</v>
      </c>
      <c r="J265" s="22"/>
    </row>
    <row r="266">
      <c r="A266" s="12">
        <v>468.0</v>
      </c>
      <c r="B266" s="15" t="s">
        <v>1301</v>
      </c>
      <c r="C266" s="16">
        <v>201.0</v>
      </c>
      <c r="D266" s="12" t="s">
        <v>632</v>
      </c>
      <c r="E266" s="29" t="s">
        <v>157</v>
      </c>
      <c r="F266" s="22"/>
      <c r="G266" s="16">
        <v>208.0</v>
      </c>
      <c r="H266" s="12" t="s">
        <v>635</v>
      </c>
      <c r="I266" s="29" t="s">
        <v>157</v>
      </c>
      <c r="J266" s="22"/>
    </row>
    <row r="267">
      <c r="A267" s="12">
        <v>475.0</v>
      </c>
      <c r="B267" s="15" t="s">
        <v>1304</v>
      </c>
      <c r="C267" s="16">
        <v>266.0</v>
      </c>
      <c r="D267" s="12" t="s">
        <v>767</v>
      </c>
      <c r="E267" s="29" t="s">
        <v>157</v>
      </c>
      <c r="F267" s="22"/>
      <c r="G267" s="16">
        <v>259.0</v>
      </c>
      <c r="H267" s="12" t="s">
        <v>767</v>
      </c>
      <c r="I267" s="29" t="s">
        <v>157</v>
      </c>
      <c r="J267" s="22"/>
    </row>
    <row r="268">
      <c r="A268" s="12">
        <v>479.0</v>
      </c>
      <c r="B268" s="15" t="s">
        <v>1308</v>
      </c>
      <c r="C268" s="16">
        <v>239.0</v>
      </c>
      <c r="D268" s="12" t="s">
        <v>690</v>
      </c>
      <c r="E268" s="29" t="s">
        <v>157</v>
      </c>
      <c r="F268" s="22"/>
      <c r="G268" s="16">
        <v>283.0</v>
      </c>
      <c r="H268" s="12" t="s">
        <v>792</v>
      </c>
      <c r="I268" s="29" t="s">
        <v>157</v>
      </c>
      <c r="J268" s="22"/>
    </row>
    <row r="269">
      <c r="A269" s="12">
        <v>480.0</v>
      </c>
      <c r="B269" s="15" t="s">
        <v>1312</v>
      </c>
      <c r="C269" s="16">
        <v>250.0</v>
      </c>
      <c r="D269" s="12" t="s">
        <v>754</v>
      </c>
      <c r="E269" s="29" t="s">
        <v>157</v>
      </c>
      <c r="F269" s="22"/>
      <c r="G269" s="16">
        <v>241.0</v>
      </c>
      <c r="H269" s="12" t="s">
        <v>727</v>
      </c>
      <c r="I269" s="29" t="s">
        <v>157</v>
      </c>
      <c r="J269" s="22"/>
    </row>
    <row r="270">
      <c r="A270" s="12">
        <v>493.0</v>
      </c>
      <c r="B270" s="15" t="s">
        <v>1315</v>
      </c>
      <c r="C270" s="16">
        <v>260.0</v>
      </c>
      <c r="D270" s="12" t="s">
        <v>749</v>
      </c>
      <c r="E270" s="29" t="s">
        <v>157</v>
      </c>
      <c r="F270" s="22"/>
      <c r="G270" s="16">
        <v>253.0</v>
      </c>
      <c r="H270" s="12" t="s">
        <v>709</v>
      </c>
      <c r="I270" s="29" t="s">
        <v>157</v>
      </c>
      <c r="J270" s="22"/>
    </row>
    <row r="271">
      <c r="A271" s="12">
        <v>495.0</v>
      </c>
      <c r="B271" s="15" t="s">
        <v>1318</v>
      </c>
      <c r="C271" s="16">
        <v>163.0</v>
      </c>
      <c r="D271" s="12" t="s">
        <v>674</v>
      </c>
      <c r="E271" s="29" t="s">
        <v>157</v>
      </c>
      <c r="F271" s="22"/>
      <c r="G271" s="16">
        <v>162.0</v>
      </c>
      <c r="H271" s="12" t="s">
        <v>674</v>
      </c>
      <c r="I271" s="29" t="s">
        <v>157</v>
      </c>
      <c r="J271" s="22"/>
    </row>
    <row r="272">
      <c r="A272" s="12">
        <v>500.0</v>
      </c>
      <c r="B272" s="15" t="s">
        <v>1322</v>
      </c>
      <c r="C272" s="16">
        <v>263.0</v>
      </c>
      <c r="D272" s="12" t="s">
        <v>757</v>
      </c>
      <c r="E272" s="29" t="s">
        <v>157</v>
      </c>
      <c r="F272" s="22"/>
      <c r="G272" s="16">
        <v>282.0</v>
      </c>
      <c r="H272" s="12" t="s">
        <v>786</v>
      </c>
      <c r="I272" s="29" t="s">
        <v>157</v>
      </c>
      <c r="J272" s="22"/>
    </row>
    <row r="273">
      <c r="A273" s="12">
        <v>509.0</v>
      </c>
      <c r="B273" s="15" t="s">
        <v>1326</v>
      </c>
      <c r="C273" s="16">
        <v>219.0</v>
      </c>
      <c r="D273" s="12" t="s">
        <v>697</v>
      </c>
      <c r="E273" s="29" t="s">
        <v>157</v>
      </c>
      <c r="F273" s="22"/>
      <c r="G273" s="16">
        <v>225.0</v>
      </c>
      <c r="H273" s="12" t="s">
        <v>687</v>
      </c>
      <c r="I273" s="29" t="s">
        <v>157</v>
      </c>
      <c r="J273" s="22"/>
    </row>
    <row r="274">
      <c r="A274" s="12">
        <v>523.0</v>
      </c>
      <c r="B274" s="15" t="s">
        <v>1329</v>
      </c>
      <c r="C274" s="16">
        <v>241.0</v>
      </c>
      <c r="D274" s="12" t="s">
        <v>719</v>
      </c>
      <c r="E274" s="29" t="s">
        <v>157</v>
      </c>
      <c r="F274" s="22"/>
      <c r="G274" s="16">
        <v>243.0</v>
      </c>
      <c r="H274" s="12" t="s">
        <v>734</v>
      </c>
      <c r="I274" s="29" t="s">
        <v>157</v>
      </c>
      <c r="J274" s="22"/>
    </row>
    <row r="275">
      <c r="A275" s="12">
        <v>529.0</v>
      </c>
      <c r="B275" s="15" t="s">
        <v>1334</v>
      </c>
      <c r="C275" s="16">
        <v>264.0</v>
      </c>
      <c r="D275" s="12" t="s">
        <v>759</v>
      </c>
      <c r="E275" s="29" t="s">
        <v>157</v>
      </c>
      <c r="F275" s="22"/>
      <c r="G275" s="16">
        <v>256.0</v>
      </c>
      <c r="H275" s="12" t="s">
        <v>759</v>
      </c>
      <c r="I275" s="29" t="s">
        <v>157</v>
      </c>
      <c r="J275" s="22"/>
    </row>
    <row r="276">
      <c r="A276" s="12">
        <v>531.0</v>
      </c>
      <c r="B276" s="15" t="s">
        <v>1337</v>
      </c>
      <c r="C276" s="16">
        <v>242.0</v>
      </c>
      <c r="D276" s="12" t="s">
        <v>727</v>
      </c>
      <c r="E276" s="29" t="s">
        <v>157</v>
      </c>
      <c r="F276" s="22"/>
      <c r="G276" s="16">
        <v>247.0</v>
      </c>
      <c r="H276" s="12" t="s">
        <v>754</v>
      </c>
      <c r="I276" s="29" t="s">
        <v>157</v>
      </c>
      <c r="J276" s="22"/>
    </row>
    <row r="277">
      <c r="A277" s="12">
        <v>536.0</v>
      </c>
      <c r="B277" s="15" t="s">
        <v>1341</v>
      </c>
      <c r="C277" s="16">
        <v>227.0</v>
      </c>
      <c r="D277" s="12" t="s">
        <v>658</v>
      </c>
      <c r="E277" s="29" t="s">
        <v>157</v>
      </c>
      <c r="F277" s="22"/>
      <c r="G277" s="16">
        <v>209.0</v>
      </c>
      <c r="H277" s="12" t="s">
        <v>625</v>
      </c>
      <c r="I277" s="29" t="s">
        <v>157</v>
      </c>
      <c r="J277" s="22"/>
    </row>
    <row r="278">
      <c r="A278" s="12">
        <v>539.0</v>
      </c>
      <c r="B278" s="15" t="s">
        <v>1345</v>
      </c>
      <c r="C278" s="16">
        <v>161.0</v>
      </c>
      <c r="D278" s="12" t="s">
        <v>661</v>
      </c>
      <c r="E278" s="29" t="s">
        <v>157</v>
      </c>
      <c r="F278" s="22"/>
      <c r="G278" s="16">
        <v>154.0</v>
      </c>
      <c r="H278" s="12" t="s">
        <v>661</v>
      </c>
      <c r="I278" s="29" t="s">
        <v>157</v>
      </c>
      <c r="J278" s="22"/>
    </row>
    <row r="279">
      <c r="A279" s="12">
        <v>542.0</v>
      </c>
      <c r="B279" s="15" t="s">
        <v>1349</v>
      </c>
      <c r="C279" s="16">
        <v>213.0</v>
      </c>
      <c r="D279" s="12" t="s">
        <v>679</v>
      </c>
      <c r="E279" s="29" t="s">
        <v>157</v>
      </c>
      <c r="F279" s="22"/>
      <c r="G279" s="16">
        <v>203.0</v>
      </c>
      <c r="H279" s="12" t="s">
        <v>613</v>
      </c>
      <c r="I279" s="29" t="s">
        <v>157</v>
      </c>
      <c r="J279" s="22"/>
    </row>
    <row r="280">
      <c r="A280" s="12">
        <v>598.0</v>
      </c>
      <c r="B280" s="15" t="s">
        <v>1353</v>
      </c>
      <c r="C280" s="16">
        <v>243.0</v>
      </c>
      <c r="D280" s="12" t="s">
        <v>734</v>
      </c>
      <c r="E280" s="29" t="s">
        <v>157</v>
      </c>
      <c r="F280" s="22"/>
      <c r="G280" s="16">
        <v>245.0</v>
      </c>
      <c r="H280" s="12" t="s">
        <v>746</v>
      </c>
      <c r="I280" s="29" t="s">
        <v>157</v>
      </c>
      <c r="J280" s="22"/>
    </row>
    <row r="281">
      <c r="A281" s="12">
        <v>617.0</v>
      </c>
      <c r="B281" s="15" t="s">
        <v>1356</v>
      </c>
      <c r="C281" s="16">
        <v>238.0</v>
      </c>
      <c r="D281" s="12" t="s">
        <v>712</v>
      </c>
      <c r="E281" s="29" t="s">
        <v>157</v>
      </c>
      <c r="F281" s="22"/>
      <c r="G281" s="16">
        <v>234.0</v>
      </c>
      <c r="H281" s="12" t="s">
        <v>707</v>
      </c>
      <c r="I281" s="29" t="s">
        <v>157</v>
      </c>
      <c r="J281" s="22"/>
    </row>
    <row r="282">
      <c r="A282" s="12">
        <v>635.0</v>
      </c>
      <c r="B282" s="15" t="s">
        <v>1361</v>
      </c>
      <c r="C282" s="16">
        <v>289.0</v>
      </c>
      <c r="D282" s="12" t="s">
        <v>797</v>
      </c>
      <c r="E282" s="29" t="s">
        <v>157</v>
      </c>
      <c r="F282" s="22"/>
      <c r="G282" s="16">
        <v>281.0</v>
      </c>
      <c r="H282" s="12" t="s">
        <v>797</v>
      </c>
      <c r="I282" s="29" t="s">
        <v>157</v>
      </c>
      <c r="J282" s="22"/>
    </row>
    <row r="283">
      <c r="A283" s="12">
        <v>646.0</v>
      </c>
      <c r="B283" s="15" t="s">
        <v>1364</v>
      </c>
      <c r="C283" s="16">
        <v>210.0</v>
      </c>
      <c r="D283" s="12" t="s">
        <v>744</v>
      </c>
      <c r="E283" s="29" t="s">
        <v>157</v>
      </c>
      <c r="F283" s="22"/>
      <c r="G283" s="16">
        <v>171.0</v>
      </c>
      <c r="H283" s="12" t="s">
        <v>717</v>
      </c>
      <c r="I283" s="29" t="s">
        <v>157</v>
      </c>
      <c r="J283" s="22"/>
    </row>
    <row r="284">
      <c r="A284" s="12">
        <v>652.0</v>
      </c>
      <c r="B284" s="15" t="s">
        <v>1368</v>
      </c>
      <c r="C284" s="16">
        <v>246.0</v>
      </c>
      <c r="D284" s="12" t="s">
        <v>746</v>
      </c>
      <c r="E284" s="29" t="s">
        <v>157</v>
      </c>
      <c r="F284" s="22"/>
      <c r="G284" s="16">
        <v>239.0</v>
      </c>
      <c r="H284" s="12" t="s">
        <v>719</v>
      </c>
      <c r="I284" s="29" t="s">
        <v>157</v>
      </c>
      <c r="J284" s="22"/>
    </row>
    <row r="285">
      <c r="A285" s="12">
        <v>686.0</v>
      </c>
      <c r="B285" s="15" t="s">
        <v>1372</v>
      </c>
      <c r="C285" s="16">
        <v>283.0</v>
      </c>
      <c r="D285" s="12" t="s">
        <v>780</v>
      </c>
      <c r="E285" s="29" t="s">
        <v>157</v>
      </c>
      <c r="F285" s="22"/>
      <c r="G285" s="16">
        <v>276.0</v>
      </c>
      <c r="H285" s="12" t="s">
        <v>780</v>
      </c>
      <c r="I285" s="29" t="s">
        <v>157</v>
      </c>
      <c r="J285" s="22"/>
    </row>
    <row r="286">
      <c r="A286" s="12">
        <v>710.0</v>
      </c>
      <c r="B286" s="15" t="s">
        <v>1375</v>
      </c>
      <c r="C286" s="16">
        <v>177.0</v>
      </c>
      <c r="D286" s="12" t="s">
        <v>695</v>
      </c>
      <c r="E286" s="29" t="s">
        <v>157</v>
      </c>
      <c r="F286" s="22"/>
      <c r="G286" s="16">
        <v>153.0</v>
      </c>
      <c r="H286" s="12" t="s">
        <v>544</v>
      </c>
      <c r="I286" s="29" t="s">
        <v>157</v>
      </c>
      <c r="J286" s="22"/>
    </row>
    <row r="287">
      <c r="A287" s="12">
        <v>723.0</v>
      </c>
      <c r="B287" s="15" t="s">
        <v>1379</v>
      </c>
      <c r="C287" s="16">
        <v>170.0</v>
      </c>
      <c r="D287" s="12" t="s">
        <v>700</v>
      </c>
      <c r="E287" s="29" t="s">
        <v>157</v>
      </c>
      <c r="F287" s="22"/>
      <c r="G287" s="16">
        <v>168.0</v>
      </c>
      <c r="H287" s="12" t="s">
        <v>705</v>
      </c>
      <c r="I287" s="29" t="s">
        <v>157</v>
      </c>
      <c r="J287" s="22"/>
    </row>
    <row r="288">
      <c r="A288" s="12">
        <v>751.0</v>
      </c>
      <c r="B288" s="15" t="s">
        <v>1381</v>
      </c>
      <c r="C288" s="16">
        <v>167.0</v>
      </c>
      <c r="D288" s="12" t="s">
        <v>647</v>
      </c>
      <c r="E288" s="29" t="s">
        <v>157</v>
      </c>
      <c r="F288" s="22"/>
      <c r="G288" s="16">
        <v>119.0</v>
      </c>
      <c r="H288" s="12" t="s">
        <v>428</v>
      </c>
      <c r="I288" s="29" t="s">
        <v>157</v>
      </c>
      <c r="J288" s="22"/>
    </row>
    <row r="289">
      <c r="A289" s="12">
        <v>762.0</v>
      </c>
      <c r="B289" s="15" t="s">
        <v>1385</v>
      </c>
      <c r="C289" s="16">
        <v>300.0</v>
      </c>
      <c r="D289" s="12" t="s">
        <v>1387</v>
      </c>
      <c r="E289" s="29" t="s">
        <v>157</v>
      </c>
      <c r="F289" s="22"/>
      <c r="G289" s="16">
        <v>298.0</v>
      </c>
      <c r="H289" s="12" t="s">
        <v>1310</v>
      </c>
      <c r="I289" s="29" t="s">
        <v>157</v>
      </c>
      <c r="J289" s="22"/>
    </row>
    <row r="290">
      <c r="A290" s="12">
        <v>785.0</v>
      </c>
      <c r="B290" s="15" t="s">
        <v>1390</v>
      </c>
      <c r="C290" s="16">
        <v>292.0</v>
      </c>
      <c r="D290" s="12" t="s">
        <v>789</v>
      </c>
      <c r="E290" s="29" t="s">
        <v>157</v>
      </c>
      <c r="F290" s="22"/>
      <c r="G290" s="16">
        <v>286.0</v>
      </c>
      <c r="H290" s="12" t="s">
        <v>789</v>
      </c>
      <c r="I290" s="29" t="s">
        <v>157</v>
      </c>
      <c r="J290" s="22"/>
    </row>
    <row r="291">
      <c r="A291" s="12">
        <v>801.0</v>
      </c>
      <c r="B291" s="15" t="s">
        <v>1394</v>
      </c>
      <c r="C291" s="16">
        <v>182.0</v>
      </c>
      <c r="D291" s="12" t="s">
        <v>717</v>
      </c>
      <c r="E291" s="29" t="s">
        <v>157</v>
      </c>
      <c r="F291" s="22"/>
      <c r="G291" s="16">
        <v>177.0</v>
      </c>
      <c r="H291" s="12" t="s">
        <v>724</v>
      </c>
      <c r="I291" s="29" t="s">
        <v>157</v>
      </c>
      <c r="J291" s="22"/>
    </row>
    <row r="292">
      <c r="A292" s="12">
        <v>849.0</v>
      </c>
      <c r="B292" s="15" t="s">
        <v>1398</v>
      </c>
      <c r="C292" s="16">
        <v>209.0</v>
      </c>
      <c r="D292" s="12" t="s">
        <v>655</v>
      </c>
      <c r="E292" s="29" t="s">
        <v>157</v>
      </c>
      <c r="F292" s="22"/>
      <c r="G292" s="16">
        <v>226.0</v>
      </c>
      <c r="H292" s="12" t="s">
        <v>697</v>
      </c>
      <c r="I292" s="29" t="s">
        <v>157</v>
      </c>
      <c r="J292" s="22"/>
    </row>
    <row r="293">
      <c r="A293" s="12">
        <v>981.0</v>
      </c>
      <c r="B293" s="15" t="s">
        <v>1402</v>
      </c>
      <c r="C293" s="16">
        <v>280.0</v>
      </c>
      <c r="D293" s="12" t="s">
        <v>1404</v>
      </c>
      <c r="E293" s="29" t="s">
        <v>157</v>
      </c>
      <c r="F293" s="22"/>
      <c r="G293" s="16" t="s">
        <v>157</v>
      </c>
      <c r="H293" s="12" t="s">
        <v>157</v>
      </c>
      <c r="I293" s="29" t="s">
        <v>157</v>
      </c>
      <c r="J293" s="22"/>
    </row>
    <row r="294">
      <c r="A294" s="12">
        <v>982.0</v>
      </c>
      <c r="B294" s="15" t="s">
        <v>1407</v>
      </c>
      <c r="C294" s="16">
        <v>267.0</v>
      </c>
      <c r="D294" s="12" t="s">
        <v>795</v>
      </c>
      <c r="E294" s="29" t="s">
        <v>157</v>
      </c>
      <c r="F294" s="22"/>
      <c r="G294" s="16">
        <v>299.0</v>
      </c>
      <c r="H294" s="12" t="s">
        <v>1321</v>
      </c>
      <c r="I294" s="29" t="s">
        <v>157</v>
      </c>
      <c r="J294" s="22"/>
    </row>
    <row r="295">
      <c r="A295" s="12">
        <v>1001.0</v>
      </c>
      <c r="B295" s="15" t="s">
        <v>1410</v>
      </c>
      <c r="C295" s="16">
        <v>211.0</v>
      </c>
      <c r="D295" s="12" t="s">
        <v>1091</v>
      </c>
      <c r="E295" s="29" t="s">
        <v>157</v>
      </c>
      <c r="F295" s="22"/>
      <c r="G295" s="16">
        <v>232.0</v>
      </c>
      <c r="H295" s="12" t="s">
        <v>1067</v>
      </c>
      <c r="I295" s="29" t="s">
        <v>157</v>
      </c>
      <c r="J295" s="22"/>
    </row>
    <row r="296">
      <c r="A296" s="12">
        <v>1003.0</v>
      </c>
      <c r="B296" s="15" t="s">
        <v>1413</v>
      </c>
      <c r="C296" s="16">
        <v>198.0</v>
      </c>
      <c r="D296" s="12" t="s">
        <v>670</v>
      </c>
      <c r="E296" s="29" t="s">
        <v>157</v>
      </c>
      <c r="F296" s="22"/>
      <c r="G296" s="16">
        <v>191.0</v>
      </c>
      <c r="H296" s="12" t="s">
        <v>586</v>
      </c>
      <c r="I296" s="29" t="s">
        <v>157</v>
      </c>
      <c r="J296" s="22"/>
    </row>
    <row r="297">
      <c r="A297" s="12">
        <v>1015.0</v>
      </c>
      <c r="B297" s="15" t="s">
        <v>1417</v>
      </c>
      <c r="C297" s="16">
        <v>200.0</v>
      </c>
      <c r="D297" s="12" t="s">
        <v>1067</v>
      </c>
      <c r="E297" s="29" t="s">
        <v>157</v>
      </c>
      <c r="F297" s="22"/>
      <c r="G297" s="16">
        <v>192.0</v>
      </c>
      <c r="H297" s="12" t="s">
        <v>695</v>
      </c>
      <c r="I297" s="29" t="s">
        <v>157</v>
      </c>
      <c r="J297" s="22"/>
    </row>
    <row r="298">
      <c r="A298" s="12">
        <v>1040.0</v>
      </c>
      <c r="B298" s="15" t="s">
        <v>1421</v>
      </c>
      <c r="C298" s="16">
        <v>255.0</v>
      </c>
      <c r="D298" s="12" t="s">
        <v>1183</v>
      </c>
      <c r="E298" s="29" t="s">
        <v>157</v>
      </c>
      <c r="F298" s="22"/>
      <c r="G298" s="16">
        <v>249.0</v>
      </c>
      <c r="H298" s="12" t="s">
        <v>793</v>
      </c>
      <c r="I298" s="29" t="s">
        <v>157</v>
      </c>
      <c r="J298" s="22"/>
    </row>
    <row r="299">
      <c r="A299" s="12">
        <v>1041.0</v>
      </c>
      <c r="B299" s="15" t="s">
        <v>1424</v>
      </c>
      <c r="C299" s="16">
        <v>296.0</v>
      </c>
      <c r="D299" s="12" t="s">
        <v>1426</v>
      </c>
      <c r="E299" s="29" t="s">
        <v>157</v>
      </c>
      <c r="F299" s="22"/>
      <c r="G299" s="16">
        <v>290.0</v>
      </c>
      <c r="H299" s="12" t="s">
        <v>815</v>
      </c>
      <c r="I299" s="29" t="s">
        <v>157</v>
      </c>
      <c r="J299" s="22"/>
    </row>
    <row r="300">
      <c r="A300" s="12">
        <v>1042.0</v>
      </c>
      <c r="B300" s="15" t="s">
        <v>1428</v>
      </c>
      <c r="C300" s="16">
        <v>272.0</v>
      </c>
      <c r="D300" s="12" t="s">
        <v>1310</v>
      </c>
      <c r="E300" s="29" t="s">
        <v>157</v>
      </c>
      <c r="F300" s="22"/>
      <c r="G300" s="16">
        <v>300.0</v>
      </c>
      <c r="H300" s="12" t="s">
        <v>1404</v>
      </c>
      <c r="I300" s="29" t="s">
        <v>157</v>
      </c>
      <c r="J300" s="22"/>
    </row>
    <row r="301">
      <c r="A301" s="12">
        <v>1048.0</v>
      </c>
      <c r="B301" s="15" t="s">
        <v>1433</v>
      </c>
      <c r="C301" s="16">
        <v>277.0</v>
      </c>
      <c r="D301" s="12" t="s">
        <v>1321</v>
      </c>
      <c r="E301" s="29" t="s">
        <v>157</v>
      </c>
      <c r="F301" s="22"/>
      <c r="G301" s="16">
        <v>267.0</v>
      </c>
      <c r="H301" s="12" t="s">
        <v>1183</v>
      </c>
      <c r="I301" s="29" t="s">
        <v>157</v>
      </c>
      <c r="J301" s="22"/>
    </row>
    <row r="302">
      <c r="A302" s="12">
        <v>1062.0</v>
      </c>
      <c r="B302" s="15" t="s">
        <v>1436</v>
      </c>
      <c r="C302" s="16">
        <v>237.0</v>
      </c>
      <c r="D302" s="12" t="s">
        <v>827</v>
      </c>
      <c r="E302" s="29" t="s">
        <v>157</v>
      </c>
      <c r="F302" s="22"/>
      <c r="G302" s="16">
        <v>233.0</v>
      </c>
      <c r="H302" s="12" t="s">
        <v>1091</v>
      </c>
      <c r="I302" s="29" t="s">
        <v>157</v>
      </c>
      <c r="J302" s="22"/>
    </row>
    <row r="303">
      <c r="A303" s="12">
        <v>1078.0</v>
      </c>
      <c r="B303" s="15" t="s">
        <v>1440</v>
      </c>
      <c r="C303" s="16">
        <v>224.0</v>
      </c>
      <c r="D303" s="12" t="s">
        <v>764</v>
      </c>
      <c r="E303" s="29" t="s">
        <v>157</v>
      </c>
      <c r="F303" s="22"/>
      <c r="G303" s="16">
        <v>215.0</v>
      </c>
      <c r="H303" s="12" t="s">
        <v>764</v>
      </c>
      <c r="I303" s="29" t="s">
        <v>157</v>
      </c>
      <c r="J303" s="22"/>
    </row>
    <row r="304">
      <c r="A304" s="12">
        <v>1245.0</v>
      </c>
      <c r="B304" s="15" t="s">
        <v>1444</v>
      </c>
      <c r="C304" s="16">
        <v>287.0</v>
      </c>
      <c r="D304" s="12" t="s">
        <v>812</v>
      </c>
      <c r="E304" s="29" t="s">
        <v>157</v>
      </c>
      <c r="F304" s="22"/>
      <c r="G304" s="16" t="s">
        <v>157</v>
      </c>
      <c r="H304" s="12" t="s">
        <v>157</v>
      </c>
      <c r="I304" s="29" t="s">
        <v>157</v>
      </c>
      <c r="J304" s="22"/>
    </row>
    <row r="305">
      <c r="A305" s="12">
        <v>1315.0</v>
      </c>
      <c r="B305" s="15" t="s">
        <v>1447</v>
      </c>
      <c r="C305" s="16">
        <v>293.0</v>
      </c>
      <c r="D305" s="12" t="s">
        <v>802</v>
      </c>
      <c r="E305" s="29" t="s">
        <v>157</v>
      </c>
      <c r="F305" s="22"/>
      <c r="G305" s="16">
        <v>287.0</v>
      </c>
      <c r="H305" s="12" t="s">
        <v>802</v>
      </c>
      <c r="I305" s="29" t="s">
        <v>157</v>
      </c>
    </row>
  </sheetData>
  <mergeCells count="2">
    <mergeCell ref="B1:E1"/>
    <mergeCell ref="F1:I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</hyperlinks>
  <drawing r:id="rId304"/>
</worksheet>
</file>