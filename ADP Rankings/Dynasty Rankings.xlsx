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 rookies (DYN)" sheetId="1" r:id="rId5"/>
    <sheet state="visible" name="PFF rookies (DYN)" sheetId="2" r:id="rId6"/>
    <sheet state="visible" name="Sleeper rookies (DYN)" sheetId="3" r:id="rId7"/>
    <sheet state="visible" name="Sleeper 2QB rookies (DYN)" sheetId="4" r:id="rId8"/>
    <sheet state="visible" name="PFF 2QB rookies (DYN)" sheetId="5" r:id="rId9"/>
    <sheet state="visible" name="Sleeper 12ppr (DYN)" sheetId="6" r:id="rId10"/>
    <sheet state="visible" name="Sleeper PPR (DYN)" sheetId="7" r:id="rId11"/>
    <sheet state="visible" name="PFF PPR DYN" sheetId="8" r:id="rId12"/>
    <sheet state="visible" name="FP PPR Dynasty" sheetId="9" r:id="rId13"/>
    <sheet state="visible" name="Sleeper Standard (DYN)" sheetId="10" r:id="rId14"/>
    <sheet state="visible" name="Sleeper 2QB PPR" sheetId="11" r:id="rId15"/>
    <sheet state="visible" name="2QB (DYN)" sheetId="12" r:id="rId16"/>
  </sheets>
  <definedNames/>
  <calcPr/>
</workbook>
</file>

<file path=xl/sharedStrings.xml><?xml version="1.0" encoding="utf-8"?>
<sst xmlns="http://schemas.openxmlformats.org/spreadsheetml/2006/main" count="6537" uniqueCount="2659">
  <si>
    <t>Rank</t>
  </si>
  <si>
    <t>Player (Bye)</t>
  </si>
  <si>
    <t>POS</t>
  </si>
  <si>
    <t>AVG</t>
  </si>
  <si>
    <t>Real-Time</t>
  </si>
  <si>
    <r>
      <rPr>
        <rFont val="Poppins, Arial, Helvetica, sans-serif"/>
        <color rgb="FF1155CC"/>
        <u/>
      </rPr>
      <t>Jeremiyah Love</t>
    </r>
    <r>
      <rPr>
        <rFont val="Poppins, Arial, Helvetica, sans-serif"/>
      </rPr>
      <t>ARI (14)</t>
    </r>
  </si>
  <si>
    <t>RB1</t>
  </si>
  <si>
    <t>27 -26</t>
  </si>
  <si>
    <r>
      <rPr>
        <rFont val="Poppins, Arial, Helvetica, sans-serif"/>
        <color rgb="FF1155CC"/>
        <u/>
      </rPr>
      <t>Carnell Tate</t>
    </r>
    <r>
      <rPr>
        <rFont val="Poppins, Arial, Helvetica, sans-serif"/>
      </rPr>
      <t>TEN (9)</t>
    </r>
  </si>
  <si>
    <t>WR1</t>
  </si>
  <si>
    <t>73 -71</t>
  </si>
  <si>
    <r>
      <rPr>
        <rFont val="Poppins, Arial, Helvetica, sans-serif"/>
        <color rgb="FF1155CC"/>
        <u/>
      </rPr>
      <t>Jordyn Tyson</t>
    </r>
    <r>
      <rPr>
        <rFont val="Poppins, Arial, Helvetica, sans-serif"/>
      </rPr>
      <t>NO (8)</t>
    </r>
  </si>
  <si>
    <t>WR2</t>
  </si>
  <si>
    <t>88 -85</t>
  </si>
  <si>
    <r>
      <rPr>
        <rFont val="Poppins, Arial, Helvetica, sans-serif"/>
        <color rgb="FF1155CC"/>
        <u/>
      </rPr>
      <t>Jadarian Price</t>
    </r>
    <r>
      <rPr>
        <rFont val="Poppins, Arial, Helvetica, sans-serif"/>
      </rPr>
      <t>SEA (11)</t>
    </r>
  </si>
  <si>
    <t>RB2</t>
  </si>
  <si>
    <t>60 -56</t>
  </si>
  <si>
    <r>
      <rPr>
        <rFont val="Poppins, Arial, Helvetica, sans-serif"/>
        <color rgb="FF1155CC"/>
        <u/>
      </rPr>
      <t>Makai Lemon</t>
    </r>
    <r>
      <rPr>
        <rFont val="Poppins, Arial, Helvetica, sans-serif"/>
      </rPr>
      <t>PHI (10)</t>
    </r>
  </si>
  <si>
    <t>WR3</t>
  </si>
  <si>
    <t>104 -99</t>
  </si>
  <si>
    <r>
      <rPr>
        <rFont val="Poppins, Arial, Helvetica, sans-serif"/>
        <color rgb="FF1155CC"/>
        <u/>
      </rPr>
      <t>KC Concepcion</t>
    </r>
    <r>
      <rPr>
        <rFont val="Poppins, Arial, Helvetica, sans-serif"/>
      </rPr>
      <t>CLE (11)</t>
    </r>
  </si>
  <si>
    <t>WR4</t>
  </si>
  <si>
    <t>145 -139</t>
  </si>
  <si>
    <r>
      <rPr>
        <rFont val="Poppins, Arial, Helvetica, sans-serif"/>
        <color rgb="FF1155CC"/>
        <u/>
      </rPr>
      <t>Omar Cooper Jr.</t>
    </r>
    <r>
      <rPr>
        <rFont val="Poppins, Arial, Helvetica, sans-serif"/>
      </rPr>
      <t>NYJ (13)</t>
    </r>
  </si>
  <si>
    <t>WR5</t>
  </si>
  <si>
    <t>179 -172</t>
  </si>
  <si>
    <r>
      <rPr>
        <rFont val="Poppins, Arial, Helvetica, sans-serif"/>
        <color rgb="FF1155CC"/>
        <u/>
      </rPr>
      <t>Denzel Boston</t>
    </r>
    <r>
      <rPr>
        <rFont val="Poppins, Arial, Helvetica, sans-serif"/>
      </rPr>
      <t>CLE (11)</t>
    </r>
  </si>
  <si>
    <t>WR6</t>
  </si>
  <si>
    <t>177 -169</t>
  </si>
  <si>
    <r>
      <rPr>
        <rFont val="Poppins, Arial, Helvetica, sans-serif"/>
        <color rgb="FF1155CC"/>
        <u/>
      </rPr>
      <t>Kenyon Sadiq</t>
    </r>
    <r>
      <rPr>
        <rFont val="Poppins, Arial, Helvetica, sans-serif"/>
      </rPr>
      <t>NYJ (13)</t>
    </r>
  </si>
  <si>
    <t>TE1</t>
  </si>
  <si>
    <t>203 -194</t>
  </si>
  <si>
    <r>
      <rPr>
        <rFont val="Poppins, Arial, Helvetica, sans-serif"/>
        <color rgb="FF1155CC"/>
        <u/>
      </rPr>
      <t>Fernando Mendoza</t>
    </r>
    <r>
      <rPr>
        <rFont val="Poppins, Arial, Helvetica, sans-serif"/>
      </rPr>
      <t>LV (13)</t>
    </r>
  </si>
  <si>
    <t>QB1</t>
  </si>
  <si>
    <t>237 -227</t>
  </si>
  <si>
    <r>
      <rPr>
        <rFont val="Poppins, Arial, Helvetica, sans-serif"/>
        <color rgb="FF1155CC"/>
        <u/>
      </rPr>
      <t>Jonah Coleman</t>
    </r>
    <r>
      <rPr>
        <rFont val="Poppins, Arial, Helvetica, sans-serif"/>
      </rPr>
      <t>DEN (10)</t>
    </r>
  </si>
  <si>
    <t>RB3</t>
  </si>
  <si>
    <t>169 -158</t>
  </si>
  <si>
    <r>
      <rPr>
        <rFont val="Poppins, Arial, Helvetica, sans-serif"/>
        <color rgb="FF1155CC"/>
        <u/>
      </rPr>
      <t>De'Zhaun Stribling</t>
    </r>
    <r>
      <rPr>
        <rFont val="Poppins, Arial, Helvetica, sans-serif"/>
      </rPr>
      <t>SF (8)</t>
    </r>
  </si>
  <si>
    <t>WR7</t>
  </si>
  <si>
    <t>182 -170</t>
  </si>
  <si>
    <r>
      <rPr>
        <rFont val="Poppins, Arial, Helvetica, sans-serif"/>
        <color rgb="FF1155CC"/>
        <u/>
      </rPr>
      <t>Antonio Williams</t>
    </r>
    <r>
      <rPr>
        <rFont val="Poppins, Arial, Helvetica, sans-serif"/>
      </rPr>
      <t>WAS (7)</t>
    </r>
  </si>
  <si>
    <t>WR8</t>
  </si>
  <si>
    <t>205 -192</t>
  </si>
  <si>
    <r>
      <rPr>
        <rFont val="Poppins, Arial, Helvetica, sans-serif"/>
        <color rgb="FF1155CC"/>
        <u/>
      </rPr>
      <t>Mike Washington Jr.</t>
    </r>
    <r>
      <rPr>
        <rFont val="Poppins, Arial, Helvetica, sans-serif"/>
      </rPr>
      <t>LV (13)</t>
    </r>
  </si>
  <si>
    <t>RB4</t>
  </si>
  <si>
    <t>219 -205</t>
  </si>
  <si>
    <r>
      <rPr>
        <rFont val="Poppins, Arial, Helvetica, sans-serif"/>
        <color rgb="FF1155CC"/>
        <u/>
      </rPr>
      <t>Emmett Johnson</t>
    </r>
    <r>
      <rPr>
        <rFont val="Poppins, Arial, Helvetica, sans-serif"/>
      </rPr>
      <t>KC (5)</t>
    </r>
  </si>
  <si>
    <t>RB5</t>
  </si>
  <si>
    <t>188 -173</t>
  </si>
  <si>
    <r>
      <rPr>
        <rFont val="Poppins, Arial, Helvetica, sans-serif"/>
        <color rgb="FF1155CC"/>
        <u/>
      </rPr>
      <t>Germie Bernard</t>
    </r>
    <r>
      <rPr>
        <rFont val="Poppins, Arial, Helvetica, sans-serif"/>
      </rPr>
      <t>PIT (9)</t>
    </r>
  </si>
  <si>
    <t>WR9</t>
  </si>
  <si>
    <t>213 -197</t>
  </si>
  <si>
    <r>
      <rPr>
        <rFont val="Poppins, Arial, Helvetica, sans-serif"/>
        <color rgb="FF1155CC"/>
        <u/>
      </rPr>
      <t>Zachariah Branch</t>
    </r>
    <r>
      <rPr>
        <rFont val="Poppins, Arial, Helvetica, sans-serif"/>
      </rPr>
      <t>ATL (11)</t>
    </r>
  </si>
  <si>
    <t>WR10</t>
  </si>
  <si>
    <t>267 -250</t>
  </si>
  <si>
    <r>
      <rPr>
        <rFont val="Poppins, Arial, Helvetica, sans-serif"/>
        <color rgb="FF1155CC"/>
        <u/>
      </rPr>
      <t>Nicholas Singleton</t>
    </r>
    <r>
      <rPr>
        <rFont val="Poppins, Arial, Helvetica, sans-serif"/>
      </rPr>
      <t>TEN (9)</t>
    </r>
  </si>
  <si>
    <t>RB6</t>
  </si>
  <si>
    <t>200 -182</t>
  </si>
  <si>
    <r>
      <rPr>
        <rFont val="Poppins, Arial, Helvetica, sans-serif"/>
        <color rgb="FF1155CC"/>
        <u/>
      </rPr>
      <t>Kaytron Allen</t>
    </r>
    <r>
      <rPr>
        <rFont val="Poppins, Arial, Helvetica, sans-serif"/>
      </rPr>
      <t>WAS (7)</t>
    </r>
  </si>
  <si>
    <t>RB7</t>
  </si>
  <si>
    <t>199 -180</t>
  </si>
  <si>
    <r>
      <rPr>
        <rFont val="Poppins, Arial, Helvetica, sans-serif"/>
        <color rgb="FF1155CC"/>
        <u/>
      </rPr>
      <t>Eli Stowers</t>
    </r>
    <r>
      <rPr>
        <rFont val="Poppins, Arial, Helvetica, sans-serif"/>
      </rPr>
      <t>PHI (10)</t>
    </r>
  </si>
  <si>
    <t>TE2</t>
  </si>
  <si>
    <t>262 -242</t>
  </si>
  <si>
    <r>
      <rPr>
        <rFont val="Poppins, Arial, Helvetica, sans-serif"/>
        <color rgb="FF1155CC"/>
        <u/>
      </rPr>
      <t>Ted Hurst III</t>
    </r>
    <r>
      <rPr>
        <rFont val="Poppins, Arial, Helvetica, sans-serif"/>
      </rPr>
      <t>TB (10)</t>
    </r>
  </si>
  <si>
    <t>WR11</t>
  </si>
  <si>
    <t>232 -211</t>
  </si>
  <si>
    <r>
      <rPr>
        <rFont val="Poppins, Arial, Helvetica, sans-serif"/>
        <color rgb="FF1155CC"/>
        <u/>
      </rPr>
      <t>Chris Bell</t>
    </r>
    <r>
      <rPr>
        <rFont val="Poppins, Arial, Helvetica, sans-serif"/>
      </rPr>
      <t>MIA (6)</t>
    </r>
  </si>
  <si>
    <t>WR12</t>
  </si>
  <si>
    <t>238 -216</t>
  </si>
  <si>
    <r>
      <rPr>
        <rFont val="Poppins, Arial, Helvetica, sans-serif"/>
        <color rgb="FF1155CC"/>
        <u/>
      </rPr>
      <t>Malachi Fields</t>
    </r>
    <r>
      <rPr>
        <rFont val="Poppins, Arial, Helvetica, sans-serif"/>
      </rPr>
      <t>NYG (8)</t>
    </r>
  </si>
  <si>
    <t>WR13</t>
  </si>
  <si>
    <t>233 -210</t>
  </si>
  <si>
    <r>
      <rPr>
        <rFont val="Poppins, Arial, Helvetica, sans-serif"/>
        <color rgb="FF1155CC"/>
        <u/>
      </rPr>
      <t>Kaelon Black</t>
    </r>
    <r>
      <rPr>
        <rFont val="Poppins, Arial, Helvetica, sans-serif"/>
      </rPr>
      <t>SF (8)</t>
    </r>
  </si>
  <si>
    <t>RB8</t>
  </si>
  <si>
    <t>272 -248</t>
  </si>
  <si>
    <r>
      <rPr>
        <rFont val="Poppins, Arial, Helvetica, sans-serif"/>
        <color rgb="FF1155CC"/>
        <u/>
      </rPr>
      <t>Demond Claiborne</t>
    </r>
    <r>
      <rPr>
        <rFont val="Poppins, Arial, Helvetica, sans-serif"/>
      </rPr>
      <t>MIN (6)</t>
    </r>
  </si>
  <si>
    <t>RB9</t>
  </si>
  <si>
    <t>221 -196</t>
  </si>
  <si>
    <r>
      <rPr>
        <rFont val="Poppins, Arial, Helvetica, sans-serif"/>
        <color rgb="FF1155CC"/>
        <u/>
      </rPr>
      <t>Elijah Sarratt</t>
    </r>
    <r>
      <rPr>
        <rFont val="Poppins, Arial, Helvetica, sans-serif"/>
      </rPr>
      <t>BAL (13)</t>
    </r>
  </si>
  <si>
    <t>WR14</t>
  </si>
  <si>
    <t>271 -245</t>
  </si>
  <si>
    <r>
      <rPr>
        <rFont val="Poppins, Arial, Helvetica, sans-serif"/>
        <color rgb="FF1155CC"/>
        <u/>
      </rPr>
      <t>Ja'Kobi Lane</t>
    </r>
    <r>
      <rPr>
        <rFont val="Poppins, Arial, Helvetica, sans-serif"/>
      </rPr>
      <t>BAL (13)</t>
    </r>
  </si>
  <si>
    <t>WR15</t>
  </si>
  <si>
    <t>264 -237</t>
  </si>
  <si>
    <r>
      <rPr>
        <rFont val="Poppins, Arial, Helvetica, sans-serif"/>
        <color rgb="FF1155CC"/>
        <u/>
      </rPr>
      <t>Skyler Bell</t>
    </r>
    <r>
      <rPr>
        <rFont val="Poppins, Arial, Helvetica, sans-serif"/>
      </rPr>
      <t>BUF (7)</t>
    </r>
  </si>
  <si>
    <t>WR16</t>
  </si>
  <si>
    <t>—</t>
  </si>
  <si>
    <r>
      <rPr>
        <rFont val="Poppins, Arial, Helvetica, sans-serif"/>
        <color rgb="FF1155CC"/>
        <u/>
      </rPr>
      <t>Ty Simpson</t>
    </r>
    <r>
      <rPr>
        <rFont val="Poppins, Arial, Helvetica, sans-serif"/>
      </rPr>
      <t>LAR (11)</t>
    </r>
  </si>
  <si>
    <t>QB2</t>
  </si>
  <si>
    <r>
      <rPr>
        <rFont val="Poppins, Arial, Helvetica, sans-serif"/>
        <color rgb="FF1155CC"/>
        <u/>
      </rPr>
      <t>Adam Randall</t>
    </r>
    <r>
      <rPr>
        <rFont val="Poppins, Arial, Helvetica, sans-serif"/>
      </rPr>
      <t>BAL (13)</t>
    </r>
  </si>
  <si>
    <t>RB10</t>
  </si>
  <si>
    <r>
      <rPr>
        <rFont val="Poppins, Arial, Helvetica, sans-serif"/>
        <color rgb="FF1155CC"/>
        <u/>
      </rPr>
      <t>Carson Beck</t>
    </r>
    <r>
      <rPr>
        <rFont val="Poppins, Arial, Helvetica, sans-serif"/>
      </rPr>
      <t>ARI (14)</t>
    </r>
  </si>
  <si>
    <t>QB3</t>
  </si>
  <si>
    <r>
      <rPr>
        <rFont val="Poppins, Arial, Helvetica, sans-serif"/>
        <color rgb="FF1155CC"/>
        <u/>
      </rPr>
      <t>Bryce Lance</t>
    </r>
    <r>
      <rPr>
        <rFont val="Poppins, Arial, Helvetica, sans-serif"/>
      </rPr>
      <t>NO (8)</t>
    </r>
  </si>
  <si>
    <t>WR17</t>
  </si>
  <si>
    <r>
      <rPr>
        <rFont val="Poppins, Arial, Helvetica, sans-serif"/>
        <color rgb="FF1155CC"/>
        <u/>
      </rPr>
      <t>Cyrus Allen</t>
    </r>
    <r>
      <rPr>
        <rFont val="Poppins, Arial, Helvetica, sans-serif"/>
      </rPr>
      <t>KC (5)</t>
    </r>
  </si>
  <si>
    <t>WR18</t>
  </si>
  <si>
    <t>236 -203</t>
  </si>
  <si>
    <r>
      <rPr>
        <rFont val="Poppins, Arial, Helvetica, sans-serif"/>
        <color rgb="FF1155CC"/>
        <u/>
      </rPr>
      <t>Brenen Thompson</t>
    </r>
    <r>
      <rPr>
        <rFont val="Poppins, Arial, Helvetica, sans-serif"/>
      </rPr>
      <t>LAC (7)</t>
    </r>
  </si>
  <si>
    <t>WR19</t>
  </si>
  <si>
    <r>
      <rPr>
        <rFont val="Poppins, Arial, Helvetica, sans-serif"/>
        <color rgb="FF1155CC"/>
        <u/>
      </rPr>
      <t>Eli Raridon</t>
    </r>
    <r>
      <rPr>
        <rFont val="Poppins, Arial, Helvetica, sans-serif"/>
      </rPr>
      <t>NE (11)</t>
    </r>
  </si>
  <si>
    <t>TE3</t>
  </si>
  <si>
    <r>
      <rPr>
        <rFont val="Poppins, Arial, Helvetica, sans-serif"/>
        <color rgb="FF1155CC"/>
        <u/>
      </rPr>
      <t>Max Klare</t>
    </r>
    <r>
      <rPr>
        <rFont val="Poppins, Arial, Helvetica, sans-serif"/>
      </rPr>
      <t>LAR (11)</t>
    </r>
  </si>
  <si>
    <t>TE4</t>
  </si>
  <si>
    <r>
      <rPr>
        <rFont val="Poppins, Arial, Helvetica, sans-serif"/>
        <color rgb="FF1155CC"/>
        <u/>
      </rPr>
      <t>Caleb Douglas</t>
    </r>
    <r>
      <rPr>
        <rFont val="Poppins, Arial, Helvetica, sans-serif"/>
      </rPr>
      <t>MIA (6)</t>
    </r>
  </si>
  <si>
    <t>WR20</t>
  </si>
  <si>
    <r>
      <rPr>
        <rFont val="Poppins, Arial, Helvetica, sans-serif"/>
        <color rgb="FF1155CC"/>
        <u/>
      </rPr>
      <t>Oscar Delp</t>
    </r>
    <r>
      <rPr>
        <rFont val="Poppins, Arial, Helvetica, sans-serif"/>
      </rPr>
      <t>NO (8)</t>
    </r>
  </si>
  <si>
    <t>TE5</t>
  </si>
  <si>
    <r>
      <rPr>
        <rFont val="Poppins, Arial, Helvetica, sans-serif"/>
        <color rgb="FF1155CC"/>
        <u/>
      </rPr>
      <t>Zavion Thomas</t>
    </r>
    <r>
      <rPr>
        <rFont val="Poppins, Arial, Helvetica, sans-serif"/>
      </rPr>
      <t>CHI (10)</t>
    </r>
  </si>
  <si>
    <t>WR21</t>
  </si>
  <si>
    <r>
      <rPr>
        <rFont val="Poppins, Arial, Helvetica, sans-serif"/>
        <color rgb="FF1155CC"/>
        <u/>
      </rPr>
      <t>Chris Brazzell II</t>
    </r>
    <r>
      <rPr>
        <rFont val="Poppins, Arial, Helvetica, sans-serif"/>
      </rPr>
      <t>CAR (5)</t>
    </r>
  </si>
  <si>
    <t>WR22</t>
  </si>
  <si>
    <r>
      <rPr>
        <rFont val="Poppins, Arial, Helvetica, sans-serif"/>
        <color rgb="FF1155CC"/>
        <u/>
      </rPr>
      <t>Kevin Coleman Jr.</t>
    </r>
    <r>
      <rPr>
        <rFont val="Poppins, Arial, Helvetica, sans-serif"/>
      </rPr>
      <t>MIA (6)</t>
    </r>
  </si>
  <si>
    <t>WR23</t>
  </si>
  <si>
    <r>
      <rPr>
        <rFont val="Poppins, Arial, Helvetica, sans-serif"/>
        <color rgb="FF1155CC"/>
        <u/>
      </rPr>
      <t>Justin Joly</t>
    </r>
    <r>
      <rPr>
        <rFont val="Poppins, Arial, Helvetica, sans-serif"/>
      </rPr>
      <t>DEN (10)</t>
    </r>
  </si>
  <si>
    <t>TE6</t>
  </si>
  <si>
    <r>
      <rPr>
        <rFont val="Poppins, Arial, Helvetica, sans-serif"/>
        <color rgb="FF1155CC"/>
        <u/>
      </rPr>
      <t>Eli Heidenreich</t>
    </r>
    <r>
      <rPr>
        <rFont val="Poppins, Arial, Helvetica, sans-serif"/>
      </rPr>
      <t>PIT (9)</t>
    </r>
  </si>
  <si>
    <t>RB11</t>
  </si>
  <si>
    <r>
      <rPr>
        <rFont val="Poppins, Arial, Helvetica, sans-serif"/>
        <color rgb="FF1155CC"/>
        <u/>
      </rPr>
      <t>Seth McGowan</t>
    </r>
    <r>
      <rPr>
        <rFont val="Poppins, Arial, Helvetica, sans-serif"/>
      </rPr>
      <t>IND (13)</t>
    </r>
  </si>
  <si>
    <t>RB12</t>
  </si>
  <si>
    <r>
      <rPr>
        <rFont val="Poppins, Arial, Helvetica, sans-serif"/>
        <color rgb="FF1155CC"/>
        <u/>
      </rPr>
      <t>Cade Klubnik</t>
    </r>
    <r>
      <rPr>
        <rFont val="Poppins, Arial, Helvetica, sans-serif"/>
      </rPr>
      <t>NYJ (13)</t>
    </r>
  </si>
  <si>
    <t>QB4</t>
  </si>
  <si>
    <r>
      <rPr>
        <rFont val="Poppins, Arial, Helvetica, sans-serif"/>
        <color rgb="FF1155CC"/>
        <u/>
      </rPr>
      <t>CJ Daniels</t>
    </r>
    <r>
      <rPr>
        <rFont val="Poppins, Arial, Helvetica, sans-serif"/>
      </rPr>
      <t>LAR (11)</t>
    </r>
  </si>
  <si>
    <t>WR24</t>
  </si>
  <si>
    <r>
      <rPr>
        <rFont val="Poppins, Arial, Helvetica, sans-serif"/>
        <color rgb="FF1155CC"/>
        <u/>
      </rPr>
      <t>Malik Benson</t>
    </r>
    <r>
      <rPr>
        <rFont val="Poppins, Arial, Helvetica, sans-serif"/>
      </rPr>
      <t>LV (13)</t>
    </r>
  </si>
  <si>
    <t>WR25</t>
  </si>
  <si>
    <r>
      <rPr>
        <rFont val="Poppins, Arial, Helvetica, sans-serif"/>
        <color rgb="FF1155CC"/>
        <u/>
      </rPr>
      <t>J'Mari Taylor</t>
    </r>
    <r>
      <rPr>
        <rFont val="Poppins, Arial, Helvetica, sans-serif"/>
      </rPr>
      <t>JAC (7)</t>
    </r>
  </si>
  <si>
    <t>RB13</t>
  </si>
  <si>
    <r>
      <rPr>
        <rFont val="Poppins, Arial, Helvetica, sans-serif"/>
        <color rgb="FF1155CC"/>
        <u/>
      </rPr>
      <t>Jam Miller</t>
    </r>
    <r>
      <rPr>
        <rFont val="Poppins, Arial, Helvetica, sans-serif"/>
      </rPr>
      <t>NE (11)</t>
    </r>
  </si>
  <si>
    <t>RB14</t>
  </si>
  <si>
    <r>
      <rPr>
        <rFont val="Poppins, Arial, Helvetica, sans-serif"/>
        <color rgb="FF1155CC"/>
        <u/>
      </rPr>
      <t>Drew Allar</t>
    </r>
    <r>
      <rPr>
        <rFont val="Poppins, Arial, Helvetica, sans-serif"/>
      </rPr>
      <t>PIT (9)</t>
    </r>
  </si>
  <si>
    <t>QB5</t>
  </si>
  <si>
    <r>
      <rPr>
        <rFont val="Poppins, Arial, Helvetica, sans-serif"/>
        <color rgb="FF1155CC"/>
        <u/>
      </rPr>
      <t>Robert Henry Jr.</t>
    </r>
    <r>
      <rPr>
        <rFont val="Poppins, Arial, Helvetica, sans-serif"/>
      </rPr>
      <t>WAS (7)</t>
    </r>
  </si>
  <si>
    <t>RB15</t>
  </si>
  <si>
    <r>
      <rPr>
        <rFont val="Poppins, Arial, Helvetica, sans-serif"/>
        <color rgb="FF1155CC"/>
        <u/>
      </rPr>
      <t>Colbie Young</t>
    </r>
    <r>
      <rPr>
        <rFont val="Poppins, Arial, Helvetica, sans-serif"/>
      </rPr>
      <t>CIN (6)</t>
    </r>
  </si>
  <si>
    <t>WR26</t>
  </si>
  <si>
    <r>
      <rPr>
        <rFont val="Poppins, Arial, Helvetica, sans-serif"/>
        <color rgb="FF1155CC"/>
        <u/>
      </rPr>
      <t>Deion Burks</t>
    </r>
    <r>
      <rPr>
        <rFont val="Poppins, Arial, Helvetica, sans-serif"/>
      </rPr>
      <t>IND (13)</t>
    </r>
  </si>
  <si>
    <t>WR27</t>
  </si>
  <si>
    <r>
      <rPr>
        <rFont val="Poppins, Arial, Helvetica, sans-serif"/>
        <color rgb="FF1155CC"/>
        <u/>
      </rPr>
      <t>Garrett Nussmeier</t>
    </r>
    <r>
      <rPr>
        <rFont val="Poppins, Arial, Helvetica, sans-serif"/>
      </rPr>
      <t>KC (5)</t>
    </r>
  </si>
  <si>
    <t>QB6</t>
  </si>
  <si>
    <r>
      <rPr>
        <rFont val="Poppins, Arial, Helvetica, sans-serif"/>
        <color rgb="FF1155CC"/>
        <u/>
      </rPr>
      <t>Michael Trigg</t>
    </r>
    <r>
      <rPr>
        <rFont val="Poppins, Arial, Helvetica, sans-serif"/>
      </rPr>
      <t>DAL (14)</t>
    </r>
  </si>
  <si>
    <t>TE7</t>
  </si>
  <si>
    <r>
      <rPr>
        <rFont val="Poppins, Arial, Helvetica, sans-serif"/>
        <color rgb="FF1155CC"/>
        <u/>
      </rPr>
      <t>Taylen Green</t>
    </r>
    <r>
      <rPr>
        <rFont val="Poppins, Arial, Helvetica, sans-serif"/>
      </rPr>
      <t>CLE (11)</t>
    </r>
  </si>
  <si>
    <t>QB7</t>
  </si>
  <si>
    <r>
      <rPr>
        <rFont val="Poppins, Arial, Helvetica, sans-serif"/>
        <color rgb="FF1155CC"/>
        <u/>
      </rPr>
      <t>Tanner Koziol</t>
    </r>
    <r>
      <rPr>
        <rFont val="Poppins, Arial, Helvetica, sans-serif"/>
      </rPr>
      <t>JAC (7)</t>
    </r>
  </si>
  <si>
    <t>TE8</t>
  </si>
  <si>
    <r>
      <rPr>
        <rFont val="Poppins, Arial, Helvetica, sans-serif"/>
        <color rgb="FF1155CC"/>
        <u/>
      </rPr>
      <t>Cole Payton</t>
    </r>
    <r>
      <rPr>
        <rFont val="Poppins, Arial, Helvetica, sans-serif"/>
      </rPr>
      <t>PHI (10)</t>
    </r>
  </si>
  <si>
    <t>QB8</t>
  </si>
  <si>
    <r>
      <rPr>
        <rFont val="Poppins, Arial, Helvetica, sans-serif"/>
        <color rgb="FF1155CC"/>
        <u/>
      </rPr>
      <t>Sam Roush</t>
    </r>
    <r>
      <rPr>
        <rFont val="Poppins, Arial, Helvetica, sans-serif"/>
      </rPr>
      <t>CHI (10)</t>
    </r>
  </si>
  <si>
    <t>TE9</t>
  </si>
  <si>
    <r>
      <rPr>
        <rFont val="Poppins, Arial, Helvetica, sans-serif"/>
        <color rgb="FF1155CC"/>
        <u/>
      </rPr>
      <t>Barion Brown</t>
    </r>
    <r>
      <rPr>
        <rFont val="Poppins, Arial, Helvetica, sans-serif"/>
      </rPr>
      <t>NO (8)</t>
    </r>
  </si>
  <si>
    <t>WR28</t>
  </si>
  <si>
    <r>
      <rPr>
        <rFont val="Poppins, Arial, Helvetica, sans-serif"/>
        <color rgb="FF1155CC"/>
        <u/>
      </rPr>
      <t>Marlin Klein</t>
    </r>
    <r>
      <rPr>
        <rFont val="Poppins, Arial, Helvetica, sans-serif"/>
      </rPr>
      <t>HOU (8)</t>
    </r>
  </si>
  <si>
    <t>TE10</t>
  </si>
  <si>
    <r>
      <rPr>
        <rFont val="Poppins, Arial, Helvetica, sans-serif"/>
        <color rgb="FF1155CC"/>
        <u/>
      </rPr>
      <t>Jeff Caldwell</t>
    </r>
    <r>
      <rPr>
        <rFont val="Poppins, Arial, Helvetica, sans-serif"/>
      </rPr>
      <t>KC (5)</t>
    </r>
  </si>
  <si>
    <t>WR29</t>
  </si>
  <si>
    <r>
      <rPr>
        <rFont val="Poppins, Arial, Helvetica, sans-serif"/>
        <color rgb="FF1155CC"/>
        <u/>
      </rPr>
      <t>Roman Hemby</t>
    </r>
    <r>
      <rPr>
        <rFont val="Poppins, Arial, Helvetica, sans-serif"/>
      </rPr>
      <t>LV (13)</t>
    </r>
  </si>
  <si>
    <t>RB16</t>
  </si>
  <si>
    <r>
      <rPr>
        <rFont val="Poppins, Arial, Helvetica, sans-serif"/>
        <color rgb="FF1155CC"/>
        <u/>
      </rPr>
      <t>Jaydn Ott</t>
    </r>
    <r>
      <rPr>
        <rFont val="Poppins, Arial, Helvetica, sans-serif"/>
      </rPr>
      <t>KC (5)</t>
    </r>
  </si>
  <si>
    <t>RB17</t>
  </si>
  <si>
    <r>
      <rPr>
        <rFont val="Poppins, Arial, Helvetica, sans-serif"/>
        <color rgb="FF1155CC"/>
        <u/>
      </rPr>
      <t>Jack Endries</t>
    </r>
    <r>
      <rPr>
        <rFont val="Poppins, Arial, Helvetica, sans-serif"/>
      </rPr>
      <t>CIN (6)</t>
    </r>
  </si>
  <si>
    <t>TE11</t>
  </si>
  <si>
    <r>
      <rPr>
        <rFont val="Poppins, Arial, Helvetica, sans-serif"/>
        <color rgb="FF1155CC"/>
        <u/>
      </rPr>
      <t>Will Kacmarek</t>
    </r>
    <r>
      <rPr>
        <rFont val="Poppins, Arial, Helvetica, sans-serif"/>
      </rPr>
      <t>MIA (6)</t>
    </r>
  </si>
  <si>
    <t>TE12</t>
  </si>
  <si>
    <r>
      <rPr>
        <rFont val="Poppins, Arial, Helvetica, sans-serif"/>
        <color rgb="FF1155CC"/>
        <u/>
      </rPr>
      <t>Trey Smack</t>
    </r>
    <r>
      <rPr>
        <rFont val="Poppins, Arial, Helvetica, sans-serif"/>
      </rPr>
      <t>GB (11)</t>
    </r>
  </si>
  <si>
    <t>K1</t>
  </si>
  <si>
    <r>
      <rPr>
        <rFont val="Poppins, Arial, Helvetica, sans-serif"/>
        <color rgb="FF1155CC"/>
        <u/>
      </rPr>
      <t>Nate Boerkircher</t>
    </r>
    <r>
      <rPr>
        <rFont val="Poppins, Arial, Helvetica, sans-serif"/>
      </rPr>
      <t>JAC (7)</t>
    </r>
  </si>
  <si>
    <t>TE13</t>
  </si>
  <si>
    <r>
      <rPr>
        <rFont val="Poppins, Arial, Helvetica, sans-serif"/>
        <color rgb="FF1155CC"/>
        <u/>
      </rPr>
      <t>Chase Curtis</t>
    </r>
    <r>
      <rPr>
        <rFont val="Poppins, Arial, Helvetica, sans-serif"/>
      </rPr>
      <t>NYJ (13)</t>
    </r>
  </si>
  <si>
    <t>TE14</t>
  </si>
  <si>
    <r>
      <rPr>
        <rFont val="Poppins, Arial, Helvetica, sans-serif"/>
        <color rgb="FF1155CC"/>
        <u/>
      </rPr>
      <t>Matt Hibner</t>
    </r>
    <r>
      <rPr>
        <rFont val="Poppins, Arial, Helvetica, sans-serif"/>
      </rPr>
      <t>BAL (13)</t>
    </r>
  </si>
  <si>
    <t>TE15</t>
  </si>
  <si>
    <r>
      <rPr>
        <rFont val="Poppins, Arial, Helvetica, sans-serif"/>
        <color rgb="FF1155CC"/>
        <u/>
      </rPr>
      <t>Eric McAlister</t>
    </r>
  </si>
  <si>
    <t>WR30</t>
  </si>
  <si>
    <r>
      <rPr>
        <rFont val="Poppins, Arial, Helvetica, sans-serif"/>
        <color rgb="FF1155CC"/>
        <u/>
      </rPr>
      <t>Josh Cameron</t>
    </r>
    <r>
      <rPr>
        <rFont val="Poppins, Arial, Helvetica, sans-serif"/>
      </rPr>
      <t>JAC (7)</t>
    </r>
  </si>
  <si>
    <t>WR31</t>
  </si>
  <si>
    <r>
      <rPr>
        <rFont val="Poppins, Arial, Helvetica, sans-serif"/>
        <color rgb="FF1155CC"/>
        <u/>
      </rPr>
      <t>Seydou Traore</t>
    </r>
    <r>
      <rPr>
        <rFont val="Poppins, Arial, Helvetica, sans-serif"/>
      </rPr>
      <t>MIA (6)</t>
    </r>
  </si>
  <si>
    <t>TE16</t>
  </si>
  <si>
    <r>
      <rPr>
        <rFont val="Poppins, Arial, Helvetica, sans-serif"/>
        <color rgb="FF1155CC"/>
        <u/>
      </rPr>
      <t>Anthony Smith</t>
    </r>
    <r>
      <rPr>
        <rFont val="Poppins, Arial, Helvetica, sans-serif"/>
      </rPr>
      <t>DAL (14)</t>
    </r>
  </si>
  <si>
    <t>WR32</t>
  </si>
  <si>
    <r>
      <rPr>
        <rFont val="Poppins, Arial, Helvetica, sans-serif"/>
        <color rgb="FF1155CC"/>
        <u/>
      </rPr>
      <t>Lewis Bond</t>
    </r>
    <r>
      <rPr>
        <rFont val="Poppins, Arial, Helvetica, sans-serif"/>
      </rPr>
      <t>HOU (8)</t>
    </r>
  </si>
  <si>
    <t>WR33</t>
  </si>
  <si>
    <r>
      <rPr>
        <rFont val="Poppins, Arial, Helvetica, sans-serif"/>
        <color rgb="FF1155CC"/>
        <u/>
      </rPr>
      <t>Joe Royer</t>
    </r>
    <r>
      <rPr>
        <rFont val="Poppins, Arial, Helvetica, sans-serif"/>
      </rPr>
      <t>CLE (11)</t>
    </r>
  </si>
  <si>
    <t>TE17</t>
  </si>
  <si>
    <r>
      <rPr>
        <rFont val="Poppins, Arial, Helvetica, sans-serif"/>
        <color rgb="FF1155CC"/>
        <u/>
      </rPr>
      <t>John Michael Gyllenborg</t>
    </r>
    <r>
      <rPr>
        <rFont val="Poppins, Arial, Helvetica, sans-serif"/>
      </rPr>
      <t>KC (5)</t>
    </r>
  </si>
  <si>
    <t>TE18</t>
  </si>
  <si>
    <r>
      <rPr>
        <rFont val="Poppins, Arial, Helvetica, sans-serif"/>
        <color rgb="FF1155CC"/>
        <u/>
      </rPr>
      <t>Kaden Wetjen</t>
    </r>
    <r>
      <rPr>
        <rFont val="Poppins, Arial, Helvetica, sans-serif"/>
      </rPr>
      <t>PIT (9)</t>
    </r>
  </si>
  <si>
    <t>WR34</t>
  </si>
  <si>
    <r>
      <rPr>
        <rFont val="Poppins, Arial, Helvetica, sans-serif"/>
        <color rgb="FF1155CC"/>
        <u/>
      </rPr>
      <t>Tyren Montgomery</t>
    </r>
    <r>
      <rPr>
        <rFont val="Poppins, Arial, Helvetica, sans-serif"/>
      </rPr>
      <t>TEN (9)</t>
    </r>
  </si>
  <si>
    <t>WR35</t>
  </si>
  <si>
    <r>
      <rPr>
        <rFont val="Poppins, Arial, Helvetica, sans-serif"/>
        <color rgb="FF1155CC"/>
        <u/>
      </rPr>
      <t>Haynes King</t>
    </r>
    <r>
      <rPr>
        <rFont val="Poppins, Arial, Helvetica, sans-serif"/>
      </rPr>
      <t>CAR (5)</t>
    </r>
  </si>
  <si>
    <t>QB9</t>
  </si>
  <si>
    <r>
      <rPr>
        <rFont val="Poppins, Arial, Helvetica, sans-serif"/>
        <color rgb="FF1155CC"/>
        <u/>
      </rPr>
      <t>Diego Pavia</t>
    </r>
  </si>
  <si>
    <t>QB10</t>
  </si>
  <si>
    <r>
      <rPr>
        <rFont val="Poppins, Arial, Helvetica, sans-serif"/>
        <color rgb="FF1155CC"/>
        <u/>
      </rPr>
      <t>Jack Strand</t>
    </r>
    <r>
      <rPr>
        <rFont val="Poppins, Arial, Helvetica, sans-serif"/>
      </rPr>
      <t>ATL (11)</t>
    </r>
  </si>
  <si>
    <t>QB11</t>
  </si>
  <si>
    <r>
      <rPr>
        <rFont val="Poppins, Arial, Helvetica, sans-serif"/>
        <color rgb="FF1155CC"/>
        <u/>
      </rPr>
      <t>Kejon Owens</t>
    </r>
  </si>
  <si>
    <t>RB18</t>
  </si>
  <si>
    <r>
      <rPr>
        <rFont val="Poppins, Arial, Helvetica, sans-serif"/>
        <color rgb="FF1155CC"/>
        <u/>
      </rPr>
      <t>Terion Stewart</t>
    </r>
    <r>
      <rPr>
        <rFont val="Poppins, Arial, Helvetica, sans-serif"/>
      </rPr>
      <t>KC (5)</t>
    </r>
  </si>
  <si>
    <t>RB19</t>
  </si>
  <si>
    <r>
      <rPr>
        <rFont val="Poppins, Arial, Helvetica, sans-serif"/>
        <color rgb="FF1155CC"/>
        <u/>
      </rPr>
      <t>Reggie Virgil</t>
    </r>
    <r>
      <rPr>
        <rFont val="Poppins, Arial, Helvetica, sans-serif"/>
      </rPr>
      <t>ARI (14)</t>
    </r>
  </si>
  <si>
    <t>WR36</t>
  </si>
  <si>
    <r>
      <rPr>
        <rFont val="Poppins, Arial, Helvetica, sans-serif"/>
        <color rgb="FF1155CC"/>
        <u/>
      </rPr>
      <t>Chase Roberts</t>
    </r>
    <r>
      <rPr>
        <rFont val="Poppins, Arial, Helvetica, sans-serif"/>
      </rPr>
      <t>LV (13)</t>
    </r>
  </si>
  <si>
    <t>WR37</t>
  </si>
  <si>
    <r>
      <rPr>
        <rFont val="Poppins, Arial, Helvetica, sans-serif"/>
        <color rgb="FF1155CC"/>
        <u/>
      </rPr>
      <t>Desmond Reid</t>
    </r>
  </si>
  <si>
    <t>RB20</t>
  </si>
  <si>
    <r>
      <rPr>
        <rFont val="Poppins, Arial, Helvetica, sans-serif"/>
        <color rgb="FF1155CC"/>
        <u/>
      </rPr>
      <t>Noah Whittington</t>
    </r>
    <r>
      <rPr>
        <rFont val="Poppins, Arial, Helvetica, sans-serif"/>
      </rPr>
      <t>HOU (8)</t>
    </r>
  </si>
  <si>
    <t>RB21</t>
  </si>
  <si>
    <r>
      <rPr>
        <rFont val="Poppins, Arial, Helvetica, sans-serif"/>
        <color rgb="FF1155CC"/>
        <u/>
      </rPr>
      <t>Aaron Anderson</t>
    </r>
    <r>
      <rPr>
        <rFont val="Poppins, Arial, Helvetica, sans-serif"/>
      </rPr>
      <t>CLE (11)</t>
    </r>
  </si>
  <si>
    <t>WR38</t>
  </si>
  <si>
    <r>
      <rPr>
        <rFont val="Poppins, Arial, Helvetica, sans-serif"/>
        <color rgb="FF1155CC"/>
        <u/>
      </rPr>
      <t>Barika Kpeenu</t>
    </r>
  </si>
  <si>
    <t>RB22</t>
  </si>
  <si>
    <r>
      <rPr>
        <rFont val="Poppins, Arial, Helvetica, sans-serif"/>
        <color rgb="FF1155CC"/>
        <u/>
      </rPr>
      <t>Kendrick Law</t>
    </r>
    <r>
      <rPr>
        <rFont val="Poppins, Arial, Helvetica, sans-serif"/>
      </rPr>
      <t>DET (6)</t>
    </r>
  </si>
  <si>
    <t>WR39</t>
  </si>
  <si>
    <r>
      <rPr>
        <rFont val="Poppins, Arial, Helvetica, sans-serif"/>
        <color rgb="FF1155CC"/>
        <u/>
      </rPr>
      <t>Dallen Bentley</t>
    </r>
    <r>
      <rPr>
        <rFont val="Poppins, Arial, Helvetica, sans-serif"/>
      </rPr>
      <t>DEN (10)</t>
    </r>
  </si>
  <si>
    <t>TE19</t>
  </si>
  <si>
    <r>
      <rPr>
        <rFont val="Poppins, Arial, Helvetica, sans-serif"/>
        <color rgb="FF1155CC"/>
        <u/>
      </rPr>
      <t>Dae'Quan Wright</t>
    </r>
    <r>
      <rPr>
        <rFont val="Poppins, Arial, Helvetica, sans-serif"/>
      </rPr>
      <t>PHI (10)</t>
    </r>
  </si>
  <si>
    <t>TE20</t>
  </si>
  <si>
    <r>
      <rPr>
        <rFont val="Poppins, Arial, Helvetica, sans-serif"/>
        <color rgb="FF1155CC"/>
        <u/>
      </rPr>
      <t>Sawyer Robertson</t>
    </r>
  </si>
  <si>
    <t>RANK</t>
  </si>
  <si>
    <t>QB12</t>
  </si>
  <si>
    <r>
      <rPr>
        <rFont val="Poppins, Arial, Helvetica, sans-serif"/>
        <color rgb="FF1155CC"/>
        <u/>
      </rPr>
      <t>Chip Trayanum</t>
    </r>
    <r>
      <rPr>
        <rFont val="Poppins, Arial, Helvetica, sans-serif"/>
      </rPr>
      <t>NYJ (13)</t>
    </r>
  </si>
  <si>
    <t>ADP</t>
  </si>
  <si>
    <t>PROJ</t>
  </si>
  <si>
    <t>J. Love</t>
  </si>
  <si>
    <t>ARI</t>
  </si>
  <si>
    <t>RB-1</t>
  </si>
  <si>
    <t>Bye: 14</t>
  </si>
  <si>
    <t>RB23</t>
  </si>
  <si>
    <t>N/A</t>
  </si>
  <si>
    <t>$ VALUE</t>
  </si>
  <si>
    <t>Unlock</t>
  </si>
  <si>
    <r>
      <rPr>
        <rFont val="Poppins, Arial, Helvetica, sans-serif"/>
        <color rgb="FF1155CC"/>
        <u/>
      </rPr>
      <t>Dean Connors</t>
    </r>
    <r>
      <rPr>
        <rFont val="Poppins, Arial, Helvetica, sans-serif"/>
      </rPr>
      <t>LAR (11)</t>
    </r>
  </si>
  <si>
    <t>C. Tate</t>
  </si>
  <si>
    <t>TEN</t>
  </si>
  <si>
    <t>WR-1</t>
  </si>
  <si>
    <t>Bye: 9</t>
  </si>
  <si>
    <t>RB24</t>
  </si>
  <si>
    <t>J. Tyson</t>
  </si>
  <si>
    <r>
      <rPr>
        <rFont val="Poppins, Arial, Helvetica, sans-serif"/>
        <color rgb="FF1155CC"/>
        <u/>
      </rPr>
      <t>CJ Donaldson</t>
    </r>
    <r>
      <rPr>
        <rFont val="Poppins, Arial, Helvetica, sans-serif"/>
      </rPr>
      <t>NO (8)</t>
    </r>
  </si>
  <si>
    <t>NO</t>
  </si>
  <si>
    <t>WR-2</t>
  </si>
  <si>
    <t>Bye: 8</t>
  </si>
  <si>
    <t>J. Price</t>
  </si>
  <si>
    <t>SEA</t>
  </si>
  <si>
    <t>RB-2</t>
  </si>
  <si>
    <t>Bye: 11</t>
  </si>
  <si>
    <t>RB25</t>
  </si>
  <si>
    <r>
      <rPr>
        <rFont val="Poppins, Arial, Helvetica, sans-serif"/>
        <color rgb="FF1155CC"/>
        <u/>
      </rPr>
      <t>Rahsul Faison</t>
    </r>
  </si>
  <si>
    <t>M. Lemon</t>
  </si>
  <si>
    <t>PHI</t>
  </si>
  <si>
    <t>WR-3</t>
  </si>
  <si>
    <t>Bye: 10</t>
  </si>
  <si>
    <t>RB26</t>
  </si>
  <si>
    <r>
      <rPr>
        <rFont val="Poppins, Arial, Helvetica, sans-serif"/>
        <color rgb="FF1155CC"/>
        <u/>
      </rPr>
      <t>Eric Rivers Jr.</t>
    </r>
    <r>
      <rPr>
        <rFont val="Poppins, Arial, Helvetica, sans-serif"/>
      </rPr>
      <t>TB (10)</t>
    </r>
  </si>
  <si>
    <t>K. Concepcion</t>
  </si>
  <si>
    <t>CLE</t>
  </si>
  <si>
    <t>WR-4</t>
  </si>
  <si>
    <t>K. Sadiq</t>
  </si>
  <si>
    <t>WR40</t>
  </si>
  <si>
    <t>NYJ</t>
  </si>
  <si>
    <t>TE-1</t>
  </si>
  <si>
    <r>
      <rPr>
        <rFont val="Poppins, Arial, Helvetica, sans-serif"/>
        <color rgb="FF1155CC"/>
        <u/>
      </rPr>
      <t>Cortez Braham Jr.</t>
    </r>
    <r>
      <rPr>
        <rFont val="Poppins, Arial, Helvetica, sans-serif"/>
      </rPr>
      <t>BAL (13)</t>
    </r>
  </si>
  <si>
    <t>Bye: 13</t>
  </si>
  <si>
    <t>D. Stribling</t>
  </si>
  <si>
    <t>SF</t>
  </si>
  <si>
    <t>WR-5</t>
  </si>
  <si>
    <t>WR41</t>
  </si>
  <si>
    <r>
      <rPr>
        <rFont val="Poppins, Arial, Helvetica, sans-serif"/>
        <color rgb="FF1155CC"/>
        <u/>
      </rPr>
      <t>Hank Beatty</t>
    </r>
    <r>
      <rPr>
        <rFont val="Poppins, Arial, Helvetica, sans-serif"/>
      </rPr>
      <t>TEN (9)</t>
    </r>
  </si>
  <si>
    <t>D. Boston</t>
  </si>
  <si>
    <t>WR-6</t>
  </si>
  <si>
    <t>WR42</t>
  </si>
  <si>
    <r>
      <rPr>
        <rFont val="Poppins, Arial, Helvetica, sans-serif"/>
        <color rgb="FF1155CC"/>
        <u/>
      </rPr>
      <t>Luke Altmyer</t>
    </r>
    <r>
      <rPr>
        <rFont val="Poppins, Arial, Helvetica, sans-serif"/>
      </rPr>
      <t>DET (6)</t>
    </r>
  </si>
  <si>
    <t>O. Cooper Jr.</t>
  </si>
  <si>
    <t>WR-7</t>
  </si>
  <si>
    <t>F. Mendoza</t>
  </si>
  <si>
    <t>LV</t>
  </si>
  <si>
    <t>QB-1</t>
  </si>
  <si>
    <t>QB13</t>
  </si>
  <si>
    <t>G. Bernard</t>
  </si>
  <si>
    <t>PIT</t>
  </si>
  <si>
    <r>
      <rPr>
        <rFont val="Poppins, Arial, Helvetica, sans-serif"/>
        <color rgb="FF1155CC"/>
        <u/>
      </rPr>
      <t>Jalon Daniels</t>
    </r>
    <r>
      <rPr>
        <rFont val="Poppins, Arial, Helvetica, sans-serif"/>
      </rPr>
      <t>TB (10)</t>
    </r>
  </si>
  <si>
    <t>WR-8</t>
  </si>
  <si>
    <t>J. Coleman</t>
  </si>
  <si>
    <t>DEN</t>
  </si>
  <si>
    <t>RB-3</t>
  </si>
  <si>
    <t>QB14</t>
  </si>
  <si>
    <r>
      <rPr>
        <rFont val="Poppins, Arial, Helvetica, sans-serif"/>
        <color rgb="FF1155CC"/>
        <u/>
      </rPr>
      <t>Dominic Richardson</t>
    </r>
  </si>
  <si>
    <t>M. Washington Jr.</t>
  </si>
  <si>
    <t>RB-4</t>
  </si>
  <si>
    <t>C. Bell</t>
  </si>
  <si>
    <t>MIA</t>
  </si>
  <si>
    <t>RB27</t>
  </si>
  <si>
    <t>WR-9</t>
  </si>
  <si>
    <t>Bye: 6</t>
  </si>
  <si>
    <r>
      <rPr>
        <rFont val="Poppins, Arial, Helvetica, sans-serif"/>
        <color rgb="FF1155CC"/>
        <u/>
      </rPr>
      <t>Kentrel Bullock</t>
    </r>
    <r>
      <rPr>
        <rFont val="Poppins, Arial, Helvetica, sans-serif"/>
      </rPr>
      <t>CIN (6)</t>
    </r>
  </si>
  <si>
    <t>E. Stowers</t>
  </si>
  <si>
    <t>TE-2</t>
  </si>
  <si>
    <t>RB28</t>
  </si>
  <si>
    <t>T. Hurst</t>
  </si>
  <si>
    <t>TB</t>
  </si>
  <si>
    <r>
      <rPr>
        <rFont val="Poppins, Arial, Helvetica, sans-serif"/>
        <color rgb="FF1155CC"/>
        <u/>
      </rPr>
      <t>Jaren Kanak</t>
    </r>
    <r>
      <rPr>
        <rFont val="Poppins, Arial, Helvetica, sans-serif"/>
      </rPr>
      <t>TEN (9)</t>
    </r>
  </si>
  <si>
    <t>WR-10</t>
  </si>
  <si>
    <t>K. Black</t>
  </si>
  <si>
    <t>RB-5</t>
  </si>
  <si>
    <t>TE21</t>
  </si>
  <si>
    <r>
      <rPr>
        <rFont val="Poppins, Arial, Helvetica, sans-serif"/>
        <color rgb="FF1155CC"/>
        <u/>
      </rPr>
      <t>Noah Thomas</t>
    </r>
    <r>
      <rPr>
        <rFont val="Poppins, Arial, Helvetica, sans-serif"/>
      </rPr>
      <t>CIN (6)</t>
    </r>
  </si>
  <si>
    <t>N. Singleton</t>
  </si>
  <si>
    <t>RB-6</t>
  </si>
  <si>
    <t>WR43</t>
  </si>
  <si>
    <t>M. Fields</t>
  </si>
  <si>
    <r>
      <rPr>
        <rFont val="Poppins, Arial, Helvetica, sans-serif"/>
        <color rgb="FF1155CC"/>
        <u/>
      </rPr>
      <t>Joe Fagnano</t>
    </r>
    <r>
      <rPr>
        <rFont val="Poppins, Arial, Helvetica, sans-serif"/>
      </rPr>
      <t>BAL (13)</t>
    </r>
  </si>
  <si>
    <t>NYG</t>
  </si>
  <si>
    <t>WR-11</t>
  </si>
  <si>
    <t>J. Lane</t>
  </si>
  <si>
    <t>BAL</t>
  </si>
  <si>
    <t>WR-12</t>
  </si>
  <si>
    <t>QB15</t>
  </si>
  <si>
    <r>
      <rPr>
        <rFont val="Poppins, Arial, Helvetica, sans-serif"/>
        <color rgb="FF1155CC"/>
        <u/>
      </rPr>
      <t>Behren Morton</t>
    </r>
    <r>
      <rPr>
        <rFont val="Poppins, Arial, Helvetica, sans-serif"/>
      </rPr>
      <t>NE (11)</t>
    </r>
  </si>
  <si>
    <t>K. Allen</t>
  </si>
  <si>
    <t>WAS</t>
  </si>
  <si>
    <t>RB-7</t>
  </si>
  <si>
    <t>Bye: 7</t>
  </si>
  <si>
    <t>QB16</t>
  </si>
  <si>
    <t>E. Johnson</t>
  </si>
  <si>
    <r>
      <rPr>
        <rFont val="Poppins, Arial, Helvetica, sans-serif"/>
        <color rgb="FF1155CC"/>
        <u/>
      </rPr>
      <t>Dane Key</t>
    </r>
    <r>
      <rPr>
        <rFont val="Poppins, Arial, Helvetica, sans-serif"/>
      </rPr>
      <t>DEN (10)</t>
    </r>
  </si>
  <si>
    <t>KC</t>
  </si>
  <si>
    <t>RB-8</t>
  </si>
  <si>
    <t>Bye: 5</t>
  </si>
  <si>
    <t>Z. Branch</t>
  </si>
  <si>
    <t>ATL</t>
  </si>
  <si>
    <t>WR-13</t>
  </si>
  <si>
    <t>WR44</t>
  </si>
  <si>
    <r>
      <rPr>
        <rFont val="Poppins, Arial, Helvetica, sans-serif"/>
        <color rgb="FF1155CC"/>
        <u/>
      </rPr>
      <t>Max Bredeson</t>
    </r>
    <r>
      <rPr>
        <rFont val="Poppins, Arial, Helvetica, sans-serif"/>
      </rPr>
      <t>MIN (6)</t>
    </r>
  </si>
  <si>
    <t>C. Douglas</t>
  </si>
  <si>
    <t>WR-14</t>
  </si>
  <si>
    <t>RB29</t>
  </si>
  <si>
    <t>T. Simpson</t>
  </si>
  <si>
    <t>LAR</t>
  </si>
  <si>
    <t>QB-2</t>
  </si>
  <si>
    <r>
      <rPr>
        <rFont val="Poppins, Arial, Helvetica, sans-serif"/>
        <color rgb="FF1155CC"/>
        <u/>
      </rPr>
      <t>Byron Cardwell Jr.</t>
    </r>
  </si>
  <si>
    <t>C. Allen</t>
  </si>
  <si>
    <t>WR-15</t>
  </si>
  <si>
    <t>RB30</t>
  </si>
  <si>
    <r>
      <rPr>
        <rFont val="Poppins, Arial, Helvetica, sans-serif"/>
        <color rgb="FF1155CC"/>
        <u/>
      </rPr>
      <t>Jamal Haynes</t>
    </r>
    <r>
      <rPr>
        <rFont val="Poppins, Arial, Helvetica, sans-serif"/>
      </rPr>
      <t>CIN (6)</t>
    </r>
  </si>
  <si>
    <t>D. Claiborne</t>
  </si>
  <si>
    <t>MIN</t>
  </si>
  <si>
    <t>RB-9</t>
  </si>
  <si>
    <t>A. Randall</t>
  </si>
  <si>
    <t>RB31</t>
  </si>
  <si>
    <t>RB-10</t>
  </si>
  <si>
    <r>
      <rPr>
        <rFont val="Poppins, Arial, Helvetica, sans-serif"/>
        <color rgb="FF1155CC"/>
        <u/>
      </rPr>
      <t>Harrison Wallace III</t>
    </r>
    <r>
      <rPr>
        <rFont val="Poppins, Arial, Helvetica, sans-serif"/>
      </rPr>
      <t>ARI (14)</t>
    </r>
  </si>
  <si>
    <t>E. Sarratt</t>
  </si>
  <si>
    <t>WR-16</t>
  </si>
  <si>
    <t>WR45</t>
  </si>
  <si>
    <r>
      <rPr>
        <rFont val="Poppins, Arial, Helvetica, sans-serif"/>
        <color rgb="FF1155CC"/>
        <u/>
      </rPr>
      <t>J. Michael Sturdivant</t>
    </r>
    <r>
      <rPr>
        <rFont val="Poppins, Arial, Helvetica, sans-serif"/>
      </rPr>
      <t>GB (11)</t>
    </r>
  </si>
  <si>
    <t>C. Brazzell II</t>
  </si>
  <si>
    <t>CAR</t>
  </si>
  <si>
    <t>WR-17</t>
  </si>
  <si>
    <t>M. Klare</t>
  </si>
  <si>
    <t>TE-3</t>
  </si>
  <si>
    <t>WR46</t>
  </si>
  <si>
    <r>
      <rPr>
        <rFont val="Poppins, Arial, Helvetica, sans-serif"/>
        <color rgb="FF1155CC"/>
        <u/>
      </rPr>
      <t>Romello Brinson</t>
    </r>
  </si>
  <si>
    <t>A. Williams</t>
  </si>
  <si>
    <t>WR-18</t>
  </si>
  <si>
    <t>WR47</t>
  </si>
  <si>
    <t>C. Beck</t>
  </si>
  <si>
    <r>
      <rPr>
        <rFont val="Poppins, Arial, Helvetica, sans-serif"/>
        <color rgb="FF1155CC"/>
        <u/>
      </rPr>
      <t>Vinny Anthony II</t>
    </r>
    <r>
      <rPr>
        <rFont val="Poppins, Arial, Helvetica, sans-serif"/>
      </rPr>
      <t>ATL (11)</t>
    </r>
  </si>
  <si>
    <t>QB-3</t>
  </si>
  <si>
    <t>O. Delp</t>
  </si>
  <si>
    <t>TE-4</t>
  </si>
  <si>
    <t>WR48</t>
  </si>
  <si>
    <r>
      <rPr>
        <rFont val="Poppins, Arial, Helvetica, sans-serif"/>
        <color rgb="FF1155CC"/>
        <u/>
      </rPr>
      <t>Chris Hilton Jr.</t>
    </r>
    <r>
      <rPr>
        <rFont val="Poppins, Arial, Helvetica, sans-serif"/>
      </rPr>
      <t>WAS (7)</t>
    </r>
  </si>
  <si>
    <t>S. Bell</t>
  </si>
  <si>
    <t>BUF</t>
  </si>
  <si>
    <t>WR-19</t>
  </si>
  <si>
    <t>WR49</t>
  </si>
  <si>
    <r>
      <rPr>
        <rFont val="Poppins, Arial, Helvetica, sans-serif"/>
        <color rgb="FF1155CC"/>
        <u/>
      </rPr>
      <t>Donaven McCulley</t>
    </r>
    <r>
      <rPr>
        <rFont val="Poppins, Arial, Helvetica, sans-serif"/>
      </rPr>
      <t>MIA (6)</t>
    </r>
  </si>
  <si>
    <t>S. McGowan</t>
  </si>
  <si>
    <t>IND</t>
  </si>
  <si>
    <t>RB-11</t>
  </si>
  <si>
    <t>J. Joly</t>
  </si>
  <si>
    <t>WR50</t>
  </si>
  <si>
    <t>TE-5</t>
  </si>
  <si>
    <r>
      <rPr>
        <rFont val="Poppins, Arial, Helvetica, sans-serif"/>
        <color rgb="FF1155CC"/>
        <u/>
      </rPr>
      <t>Jordan Hudson</t>
    </r>
    <r>
      <rPr>
        <rFont val="Poppins, Arial, Helvetica, sans-serif"/>
      </rPr>
      <t>DAL (14)</t>
    </r>
  </si>
  <si>
    <t>B. Lance</t>
  </si>
  <si>
    <t>WR-20</t>
  </si>
  <si>
    <t>WR51</t>
  </si>
  <si>
    <r>
      <rPr>
        <rFont val="Poppins, Arial, Helvetica, sans-serif"/>
        <color rgb="FF1155CC"/>
        <u/>
      </rPr>
      <t>Emmanuel Henderson Jr.</t>
    </r>
    <r>
      <rPr>
        <rFont val="Poppins, Arial, Helvetica, sans-serif"/>
      </rPr>
      <t>SEA (11)</t>
    </r>
  </si>
  <si>
    <t>B. Thompson</t>
  </si>
  <si>
    <t>LAC</t>
  </si>
  <si>
    <t>WR-21</t>
  </si>
  <si>
    <t>WR52</t>
  </si>
  <si>
    <t>Z. Thomas</t>
  </si>
  <si>
    <t>CHI</t>
  </si>
  <si>
    <t>WR-22</t>
  </si>
  <si>
    <r>
      <rPr>
        <rFont val="Poppins, Arial, Helvetica, sans-serif"/>
        <color rgb="FF1155CC"/>
        <u/>
      </rPr>
      <t>Caullin Lacy</t>
    </r>
    <r>
      <rPr>
        <rFont val="Poppins, Arial, Helvetica, sans-serif"/>
      </rPr>
      <t>NYJ (13)</t>
    </r>
  </si>
  <si>
    <t>E. Heidenreich</t>
  </si>
  <si>
    <t>RB-12</t>
  </si>
  <si>
    <t>WR53</t>
  </si>
  <si>
    <r>
      <rPr>
        <rFont val="Poppins, Arial, Helvetica, sans-serif"/>
        <color rgb="FF1155CC"/>
        <u/>
      </rPr>
      <t>Trebor Pena</t>
    </r>
    <r>
      <rPr>
        <rFont val="Poppins, Arial, Helvetica, sans-serif"/>
      </rPr>
      <t>JAC (7)</t>
    </r>
  </si>
  <si>
    <t>R. Virgil</t>
  </si>
  <si>
    <t>WR-23</t>
  </si>
  <si>
    <t>WR54</t>
  </si>
  <si>
    <r>
      <rPr>
        <rFont val="Poppins, Arial, Helvetica, sans-serif"/>
        <color rgb="FF1155CC"/>
        <u/>
      </rPr>
      <t>Dillon Bell</t>
    </r>
    <r>
      <rPr>
        <rFont val="Poppins, Arial, Helvetica, sans-serif"/>
      </rPr>
      <t>MIN (6)</t>
    </r>
  </si>
  <si>
    <t>J. Miller</t>
  </si>
  <si>
    <t>NE</t>
  </si>
  <si>
    <t>RB-13</t>
  </si>
  <si>
    <t>E. Raridon</t>
  </si>
  <si>
    <t>WR55</t>
  </si>
  <si>
    <t>TE-6</t>
  </si>
  <si>
    <r>
      <rPr>
        <rFont val="Poppins, Arial, Helvetica, sans-serif"/>
        <color rgb="FF1155CC"/>
        <u/>
      </rPr>
      <t>Jalil Farooq</t>
    </r>
  </si>
  <si>
    <t>K. Coleman Jr.</t>
  </si>
  <si>
    <t>WR-24</t>
  </si>
  <si>
    <t>WR56</t>
  </si>
  <si>
    <r>
      <rPr>
        <rFont val="Poppins, Arial, Helvetica, sans-serif"/>
        <color rgb="FF1155CC"/>
        <u/>
      </rPr>
      <t>Joey Aguilar</t>
    </r>
    <r>
      <rPr>
        <rFont val="Poppins, Arial, Helvetica, sans-serif"/>
      </rPr>
      <t>JAC (7)</t>
    </r>
  </si>
  <si>
    <t>D. Allar</t>
  </si>
  <si>
    <t>QB-4</t>
  </si>
  <si>
    <t>C. Young</t>
  </si>
  <si>
    <t>QB17</t>
  </si>
  <si>
    <t>CIN</t>
  </si>
  <si>
    <t>WR-25</t>
  </si>
  <si>
    <r>
      <rPr>
        <rFont val="Poppins, Arial, Helvetica, sans-serif"/>
        <color rgb="FF1155CC"/>
        <u/>
      </rPr>
      <t>Athan Kaliakmanis</t>
    </r>
    <r>
      <rPr>
        <rFont val="Poppins, Arial, Helvetica, sans-serif"/>
      </rPr>
      <t>WAS (7)</t>
    </r>
  </si>
  <si>
    <t>M. Benson</t>
  </si>
  <si>
    <t>WR-26</t>
  </si>
  <si>
    <t>QB18</t>
  </si>
  <si>
    <r>
      <rPr>
        <rFont val="Poppins, Arial, Helvetica, sans-serif"/>
        <color rgb="FF1155CC"/>
        <u/>
      </rPr>
      <t>Miller Moss</t>
    </r>
    <r>
      <rPr>
        <rFont val="Poppins, Arial, Helvetica, sans-serif"/>
      </rPr>
      <t>CHI (10)</t>
    </r>
  </si>
  <si>
    <t>W. Kacmarek</t>
  </si>
  <si>
    <t>TE-7</t>
  </si>
  <si>
    <t>QB19</t>
  </si>
  <si>
    <t>J. Cameron</t>
  </si>
  <si>
    <t>JAX</t>
  </si>
  <si>
    <r>
      <rPr>
        <rFont val="Poppins, Arial, Helvetica, sans-serif"/>
        <color rgb="FF1155CC"/>
        <u/>
      </rPr>
      <t>Riley Nowakowski</t>
    </r>
    <r>
      <rPr>
        <rFont val="Poppins, Arial, Helvetica, sans-serif"/>
      </rPr>
      <t>PIT (9)</t>
    </r>
  </si>
  <si>
    <t>WR-27</t>
  </si>
  <si>
    <t>C. Daniels</t>
  </si>
  <si>
    <t>WR-28</t>
  </si>
  <si>
    <t>TE22</t>
  </si>
  <si>
    <r>
      <rPr>
        <rFont val="Poppins, Arial, Helvetica, sans-serif"/>
        <color rgb="FF1155CC"/>
        <u/>
      </rPr>
      <t>Lake McRee</t>
    </r>
    <r>
      <rPr>
        <rFont val="Poppins, Arial, Helvetica, sans-serif"/>
      </rPr>
      <t>PIT (9)</t>
    </r>
  </si>
  <si>
    <t>M. Klein</t>
  </si>
  <si>
    <t>HOU</t>
  </si>
  <si>
    <t>TE-8</t>
  </si>
  <si>
    <t>B. Brown</t>
  </si>
  <si>
    <t>WR-29</t>
  </si>
  <si>
    <t>K. Wetjen</t>
  </si>
  <si>
    <t>WR-30</t>
  </si>
  <si>
    <t>S. Roush</t>
  </si>
  <si>
    <t>TE-9</t>
  </si>
  <si>
    <t>D. Burks</t>
  </si>
  <si>
    <t>WR-31</t>
  </si>
  <si>
    <t>C. Klubnik</t>
  </si>
  <si>
    <t>QB-5</t>
  </si>
  <si>
    <t>J. Taylor</t>
  </si>
  <si>
    <t>RB-14</t>
  </si>
  <si>
    <t>T. Koziol</t>
  </si>
  <si>
    <t>TE-10</t>
  </si>
  <si>
    <t>DS
Rank</t>
  </si>
  <si>
    <t>Player</t>
  </si>
  <si>
    <t>Position
ADP</t>
  </si>
  <si>
    <t>Market
Index</t>
  </si>
  <si>
    <t>Trend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</si>
  <si>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ARIRB1</t>
    </r>
  </si>
  <si>
    <t>TE23</t>
  </si>
  <si>
    <r>
      <rPr>
        <rFont val="Poppins, Arial, Helvetica, sans-serif"/>
        <color rgb="FF1155CC"/>
        <u/>
      </rPr>
      <t>DJ Rogers</t>
    </r>
    <r>
      <rPr>
        <rFont val="Poppins, Arial, Helvetica, sans-serif"/>
      </rPr>
      <t>DAL (14)</t>
    </r>
  </si>
  <si>
    <t>TE24</t>
  </si>
  <si>
    <r>
      <rPr>
        <rFont val="Poppins, Arial, Helvetica, sans-serif"/>
        <color rgb="FF1155CC"/>
        <u/>
      </rPr>
      <t>Dan Villari</t>
    </r>
    <r>
      <rPr>
        <rFont val="Poppins, Arial, Helvetica, sans-serif"/>
      </rPr>
      <t>LAR (11)</t>
    </r>
  </si>
  <si>
    <t>TE25</t>
  </si>
  <si>
    <r>
      <rPr>
        <rFont val="Poppins, Arial, Helvetica, sans-serif"/>
        <color rgb="FF1155CC"/>
        <u/>
      </rPr>
      <t>Miles Kitselman</t>
    </r>
    <r>
      <rPr>
        <rFont val="Poppins, Arial, Helvetica, sans-serif"/>
      </rPr>
      <t>DET (6)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</si>
  <si>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TENWR1</t>
    </r>
  </si>
  <si>
    <t>TE26</t>
  </si>
  <si>
    <r>
      <rPr>
        <rFont val="Poppins, Arial, Helvetica, sans-serif"/>
        <color rgb="FF1155CC"/>
        <u/>
      </rPr>
      <t>RJ Maryland</t>
    </r>
    <r>
      <rPr>
        <rFont val="Poppins, Arial, Helvetica, sans-serif"/>
      </rPr>
      <t>GB (11)</t>
    </r>
  </si>
  <si>
    <t>TE27</t>
  </si>
  <si>
    <r>
      <rPr>
        <rFont val="Poppins, Arial, Helvetica, sans-serif"/>
        <color rgb="FF1155CC"/>
        <u/>
      </rPr>
      <t>Bauer Sharp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</si>
  <si>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NOWR2</t>
    </r>
  </si>
  <si>
    <t>TE28</t>
  </si>
  <si>
    <r>
      <rPr>
        <rFont val="Poppins, Arial, Helvetica, sans-serif"/>
        <color rgb="FF1155CC"/>
        <u/>
      </rPr>
      <t>Khalil Dinkins</t>
    </r>
  </si>
  <si>
    <t>TE29</t>
  </si>
  <si>
    <r>
      <rPr>
        <rFont val="Poppins, Arial, Helvetica, sans-serif"/>
        <color rgb="FF1155CC"/>
        <u/>
      </rPr>
      <t>Rohan Jones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</si>
  <si>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PHIWR3</t>
    </r>
  </si>
  <si>
    <t>TE30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</si>
  <si>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</si>
  <si>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</si>
  <si>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NYJTE1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</si>
  <si>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NYJWR5</t>
    </r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</si>
  <si>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</si>
  <si>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</si>
  <si>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ARIRB1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</si>
  <si>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</si>
  <si>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SFWR7</t>
    </r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</si>
  <si>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</si>
  <si>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TENWR1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</si>
  <si>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</si>
  <si>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NOWR2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</si>
  <si>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WASWR9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</si>
  <si>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</si>
  <si>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BALWR10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</si>
  <si>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</si>
  <si>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</si>
  <si>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</si>
  <si>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TBWR11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</si>
  <si>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CLEWR4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</si>
  <si>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</si>
  <si>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</si>
  <si>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MIAWR12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</si>
  <si>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NYJWR5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</si>
  <si>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ATLWR13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</si>
  <si>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CLEWR6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</si>
  <si>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Douglas</t>
    </r>
    <r>
      <rPr>
        <rFont val="Roboto, sans-serif"/>
      </rPr>
      <t xml:space="preserve">
MIAWR14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</si>
  <si>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PHITE2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</si>
  <si>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kyler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BUFWR15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</si>
  <si>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SFWR7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</si>
  <si>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LARQB2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</si>
  <si>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PITWR8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</si>
  <si>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</si>
  <si>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WASWR9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</si>
  <si>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</si>
  <si>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BALWR10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</si>
  <si>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CARWR16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</si>
  <si>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</si>
  <si>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TBWR11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</si>
  <si>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WASRB7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</si>
  <si>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MIAWR12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</si>
  <si>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Thompson</t>
    </r>
    <r>
      <rPr>
        <rFont val="Roboto, sans-serif"/>
      </rPr>
      <t xml:space="preserve">
LACWR17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</si>
  <si>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</si>
  <si>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Lance</t>
    </r>
    <r>
      <rPr>
        <rFont val="Roboto, sans-serif"/>
      </rPr>
      <t xml:space="preserve">
NOWR18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</si>
  <si>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ATLWR13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</si>
  <si>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BALWR19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</si>
  <si>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Douglas</t>
    </r>
    <r>
      <rPr>
        <rFont val="Roboto, sans-serif"/>
      </rPr>
      <t xml:space="preserve">
MIAWR14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</si>
  <si>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Randall</t>
    </r>
    <r>
      <rPr>
        <rFont val="Roboto, sans-serif"/>
      </rPr>
      <t xml:space="preserve">
BALRB8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</si>
  <si>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kyler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BUFWR15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</si>
  <si>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Black</t>
    </r>
    <r>
      <rPr>
        <rFont val="Roboto, sans-serif"/>
      </rPr>
      <t xml:space="preserve">
SFRB9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</si>
  <si>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</si>
  <si>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MINRB10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</si>
  <si>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CARWR16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</si>
  <si>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KCRB6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</si>
  <si>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NYGWR20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</si>
  <si>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Allar</t>
    </r>
    <r>
      <rPr>
        <rFont val="Roboto, sans-serif"/>
      </rPr>
      <t xml:space="preserve">
PITQB3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</si>
  <si>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scar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Delp</t>
    </r>
    <r>
      <rPr>
        <rFont val="Roboto, sans-serif"/>
      </rPr>
      <t xml:space="preserve">
NOTE3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</si>
  <si>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WASRB7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</si>
  <si>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</si>
  <si>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</t>
    </r>
    <r>
      <rPr>
        <rFont val="Roboto, sans-serif"/>
      </rPr>
      <t xml:space="preserve">
ARIQB4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</si>
  <si>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Raridon</t>
    </r>
    <r>
      <rPr>
        <rFont val="Roboto, sans-serif"/>
      </rPr>
      <t xml:space="preserve">
NETE5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</si>
  <si>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Thompson</t>
    </r>
    <r>
      <rPr>
        <rFont val="Roboto, sans-serif"/>
      </rPr>
      <t xml:space="preserve">
LACWR17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</si>
  <si>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Joly</t>
    </r>
    <r>
      <rPr>
        <rFont val="Roboto, sans-serif"/>
      </rPr>
      <t xml:space="preserve">
DENTE6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</si>
  <si>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Lance</t>
    </r>
    <r>
      <rPr>
        <rFont val="Roboto, sans-serif"/>
      </rPr>
      <t xml:space="preserve">
NOWR18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</si>
  <si>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LVRWR21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</si>
  <si>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BALWR19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</si>
  <si>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McGowan</t>
    </r>
    <r>
      <rPr>
        <rFont val="Roboto, sans-serif"/>
      </rPr>
      <t xml:space="preserve">
INDRB11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</si>
  <si>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Klubnik</t>
    </r>
    <r>
      <rPr>
        <rFont val="Roboto, sans-serif"/>
      </rPr>
      <t xml:space="preserve">
NYJQB5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</si>
  <si>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Klein</t>
    </r>
    <r>
      <rPr>
        <rFont val="Roboto, sans-serif"/>
      </rPr>
      <t xml:space="preserve">
HOUTE7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</si>
  <si>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Randall</t>
    </r>
    <r>
      <rPr>
        <rFont val="Roboto, sans-serif"/>
      </rPr>
      <t xml:space="preserve">
BALRB8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</si>
  <si>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 Jr.</t>
    </r>
    <r>
      <rPr>
        <rFont val="Roboto, sans-serif"/>
      </rPr>
      <t xml:space="preserve">
MIAWR22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</si>
  <si>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Black</t>
    </r>
    <r>
      <rPr>
        <rFont val="Roboto, sans-serif"/>
      </rPr>
      <t xml:space="preserve">
SFRB9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</si>
  <si>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Boerkircher</t>
    </r>
    <r>
      <rPr>
        <rFont val="Roboto, sans-serif"/>
      </rPr>
      <t xml:space="preserve">
JACTE8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</si>
  <si>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NYGWR20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</si>
  <si>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anner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Koziol</t>
    </r>
    <r>
      <rPr>
        <rFont val="Roboto, sans-serif"/>
      </rPr>
      <t xml:space="preserve">
JACTE9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</si>
  <si>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MINRB10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</si>
  <si>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scar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Delp</t>
    </r>
    <r>
      <rPr>
        <rFont val="Roboto, sans-serif"/>
      </rPr>
      <t xml:space="preserve">
NOTE3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</si>
  <si>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Heidenreich</t>
    </r>
    <r>
      <rPr>
        <rFont val="Roboto, sans-serif"/>
      </rPr>
      <t xml:space="preserve">
PITWR12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</si>
  <si>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</si>
  <si>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Endries</t>
    </r>
    <r>
      <rPr>
        <rFont val="Roboto, sans-serif"/>
      </rPr>
      <t xml:space="preserve">
CINTE10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</si>
  <si>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Raridon</t>
    </r>
    <r>
      <rPr>
        <rFont val="Roboto, sans-serif"/>
      </rPr>
      <t xml:space="preserve">
NETE5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</si>
  <si>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Roush</t>
    </r>
    <r>
      <rPr>
        <rFont val="Roboto, sans-serif"/>
      </rPr>
      <t xml:space="preserve">
CHITE11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</si>
  <si>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Joly</t>
    </r>
    <r>
      <rPr>
        <rFont val="Roboto, sans-serif"/>
      </rPr>
      <t xml:space="preserve">
DENTE6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</si>
  <si>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NERB13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</si>
  <si>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Green</t>
    </r>
    <r>
      <rPr>
        <rFont val="Roboto, sans-serif"/>
      </rPr>
      <t xml:space="preserve">
CLEQB6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</si>
  <si>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eggie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Virgil</t>
    </r>
    <r>
      <rPr>
        <rFont val="Roboto, sans-serif"/>
      </rPr>
      <t xml:space="preserve">
ARIWR23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</si>
  <si>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LVRWR21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</si>
  <si>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 Jr.</t>
    </r>
    <r>
      <rPr>
        <rFont val="Roboto, sans-serif"/>
      </rPr>
      <t xml:space="preserve">
SEAWR24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</si>
  <si>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McGowan</t>
    </r>
    <r>
      <rPr>
        <rFont val="Roboto, sans-serif"/>
      </rPr>
      <t xml:space="preserve">
INDRB11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</si>
  <si>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eff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Caldwell</t>
    </r>
    <r>
      <rPr>
        <rFont val="Roboto, sans-serif"/>
      </rPr>
      <t xml:space="preserve">
KCWR25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</si>
  <si>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Klein</t>
    </r>
    <r>
      <rPr>
        <rFont val="Roboto, sans-serif"/>
      </rPr>
      <t xml:space="preserve">
HOUTE7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</si>
  <si>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Cameron</t>
    </r>
    <r>
      <rPr>
        <rFont val="Roboto, sans-serif"/>
      </rPr>
      <t xml:space="preserve">
JACWR26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</si>
  <si>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 Jr.</t>
    </r>
    <r>
      <rPr>
        <rFont val="Roboto, sans-serif"/>
      </rPr>
      <t xml:space="preserve">
MIAWR22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</si>
  <si>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Burks</t>
    </r>
    <r>
      <rPr>
        <rFont val="Roboto, sans-serif"/>
      </rPr>
      <t xml:space="preserve">
INDWR27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</si>
  <si>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Boerkircher</t>
    </r>
    <r>
      <rPr>
        <rFont val="Roboto, sans-serif"/>
      </rPr>
      <t xml:space="preserve">
JACTE8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</si>
  <si>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LARWR28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</si>
  <si>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anner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Koziol</t>
    </r>
    <r>
      <rPr>
        <rFont val="Roboto, sans-serif"/>
      </rPr>
      <t xml:space="preserve">
JACTE9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</si>
  <si>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Hibner</t>
    </r>
    <r>
      <rPr>
        <rFont val="Roboto, sans-serif"/>
      </rPr>
      <t xml:space="preserve">
BALTE12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</si>
  <si>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Roush</t>
    </r>
    <r>
      <rPr>
        <rFont val="Roboto, sans-serif"/>
      </rPr>
      <t xml:space="preserve">
CHITE10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</si>
  <si>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Cuevas</t>
    </r>
    <r>
      <rPr>
        <rFont val="Roboto, sans-serif"/>
      </rPr>
      <t xml:space="preserve">
BALTE13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</si>
  <si>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Endries</t>
    </r>
    <r>
      <rPr>
        <rFont val="Roboto, sans-serif"/>
      </rPr>
      <t xml:space="preserve">
CINTE11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</si>
  <si>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auer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Sharp</t>
    </r>
    <r>
      <rPr>
        <rFont val="Roboto, sans-serif"/>
      </rPr>
      <t xml:space="preserve">
TBTE14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</si>
  <si>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Heidenreich</t>
    </r>
    <r>
      <rPr>
        <rFont val="Roboto, sans-serif"/>
      </rPr>
      <t xml:space="preserve">
PITWR12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</si>
  <si>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Kanak</t>
    </r>
    <r>
      <rPr>
        <rFont val="Roboto, sans-serif"/>
      </rPr>
      <t xml:space="preserve">
TENTE15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</si>
  <si>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NERB13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</si>
  <si>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Rogers</t>
    </r>
    <r>
      <rPr>
        <rFont val="Roboto, sans-serif"/>
      </rPr>
      <t xml:space="preserve">
DALTE16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</si>
  <si>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eggie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Virgil</t>
    </r>
    <r>
      <rPr>
        <rFont val="Roboto, sans-serif"/>
      </rPr>
      <t xml:space="preserve">
ARIWR23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</si>
  <si>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obert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 Jr.</t>
    </r>
    <r>
      <rPr>
        <rFont val="Roboto, sans-serif"/>
      </rPr>
      <t xml:space="preserve">
WASRB14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</si>
  <si>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 Jr.</t>
    </r>
    <r>
      <rPr>
        <rFont val="Roboto, sans-serif"/>
      </rPr>
      <t xml:space="preserve">
SEAWR24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</si>
  <si>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Rivers</t>
    </r>
    <r>
      <rPr>
        <rFont val="Roboto, sans-serif"/>
      </rPr>
      <t xml:space="preserve">
TBWR29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</si>
  <si>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esmond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Reid</t>
    </r>
    <r>
      <rPr>
        <rFont val="Roboto, sans-serif"/>
      </rPr>
      <t xml:space="preserve">
BUFRB15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</si>
  <si>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eff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Caldwell</t>
    </r>
    <r>
      <rPr>
        <rFont val="Roboto, sans-serif"/>
      </rPr>
      <t xml:space="preserve">
KCWR25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</si>
  <si>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'Mari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JACRB16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</si>
  <si>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Cameron</t>
    </r>
    <r>
      <rPr>
        <rFont val="Roboto, sans-serif"/>
      </rPr>
      <t xml:space="preserve">
JACWR26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</si>
  <si>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DALTE17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</si>
  <si>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Burks</t>
    </r>
    <r>
      <rPr>
        <rFont val="Roboto, sans-serif"/>
      </rPr>
      <t xml:space="preserve">
INDWR27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</si>
  <si>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ohn Michael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Gyllenborg</t>
    </r>
    <r>
      <rPr>
        <rFont val="Roboto, sans-serif"/>
      </rPr>
      <t xml:space="preserve">
KCTE18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</si>
  <si>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LARWR28</t>
    </r>
  </si>
  <si>
    <r>
      <rPr>
        <rFont val="Roboto, sans-serif"/>
        <color rgb="FF1155CC"/>
        <u/>
      </rPr>
      <t>V</t>
    </r>
    <r>
      <rPr>
        <rFont val="Roboto, sans-serif"/>
        <color rgb="FF1155CC"/>
        <u/>
      </rPr>
      <t>inny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Anthony II</t>
    </r>
    <r>
      <rPr>
        <rFont val="Roboto, sans-serif"/>
      </rPr>
      <t xml:space="preserve">
ATLWR30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</si>
  <si>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Nussmeier</t>
    </r>
    <r>
      <rPr>
        <rFont val="Roboto, sans-serif"/>
      </rPr>
      <t xml:space="preserve">
KCQB7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</si>
  <si>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Hemby</t>
    </r>
    <r>
      <rPr>
        <rFont val="Roboto, sans-serif"/>
      </rPr>
      <t xml:space="preserve">
LVRRB17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</si>
  <si>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Hibner</t>
    </r>
    <r>
      <rPr>
        <rFont val="Roboto, sans-serif"/>
      </rPr>
      <t xml:space="preserve">
BALTE12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</si>
  <si>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ejon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Owens</t>
    </r>
    <r>
      <rPr>
        <rFont val="Roboto, sans-serif"/>
      </rPr>
      <t xml:space="preserve">
MINRB18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</si>
  <si>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Cuevas</t>
    </r>
    <r>
      <rPr>
        <rFont val="Roboto, sans-serif"/>
      </rPr>
      <t xml:space="preserve">
BALTE13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</si>
  <si>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Donaldson</t>
    </r>
    <r>
      <rPr>
        <rFont val="Roboto, sans-serif"/>
      </rPr>
      <t xml:space="preserve">
NORB19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</si>
  <si>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auer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Sharp</t>
    </r>
    <r>
      <rPr>
        <rFont val="Roboto, sans-serif"/>
      </rPr>
      <t xml:space="preserve">
TBTE14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</si>
  <si>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amal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Haynes</t>
    </r>
    <r>
      <rPr>
        <rFont val="Roboto, sans-serif"/>
      </rPr>
      <t xml:space="preserve">
CINRB20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</si>
  <si>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Kanak</t>
    </r>
    <r>
      <rPr>
        <rFont val="Roboto, sans-serif"/>
      </rPr>
      <t xml:space="preserve">
TENTE15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</si>
  <si>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McRee</t>
    </r>
    <r>
      <rPr>
        <rFont val="Roboto, sans-serif"/>
      </rPr>
      <t xml:space="preserve">
PITTE19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</si>
  <si>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Rogers</t>
    </r>
    <r>
      <rPr>
        <rFont val="Roboto, sans-serif"/>
      </rPr>
      <t xml:space="preserve">
DALTE16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</si>
  <si>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Hudson</t>
    </r>
    <r>
      <rPr>
        <rFont val="Roboto, sans-serif"/>
      </rPr>
      <t xml:space="preserve">
DALWR31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</si>
  <si>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Rivers</t>
    </r>
    <r>
      <rPr>
        <rFont val="Roboto, sans-serif"/>
      </rPr>
      <t xml:space="preserve">
TBWR29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</si>
  <si>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obert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 Jr.</t>
    </r>
    <r>
      <rPr>
        <rFont val="Roboto, sans-serif"/>
      </rPr>
      <t xml:space="preserve">
WASRB14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</si>
  <si>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Allar</t>
    </r>
    <r>
      <rPr>
        <rFont val="Roboto, sans-serif"/>
      </rPr>
      <t xml:space="preserve">
PITQB3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</si>
  <si>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esmond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Reid</t>
    </r>
    <r>
      <rPr>
        <rFont val="Roboto, sans-serif"/>
      </rPr>
      <t xml:space="preserve">
BUFRB15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</si>
  <si>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Villari</t>
    </r>
    <r>
      <rPr>
        <rFont val="Roboto, sans-serif"/>
      </rPr>
      <t xml:space="preserve">
LARTE20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</si>
  <si>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'Mari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JACRB16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</si>
  <si>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ae'Quan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PHITE21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</si>
  <si>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DALTE17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</si>
  <si>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ohn Michael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Gyllenborg</t>
    </r>
    <r>
      <rPr>
        <rFont val="Roboto, sans-serif"/>
      </rPr>
      <t xml:space="preserve">
KCTE18</t>
    </r>
  </si>
  <si>
    <r>
      <rPr>
        <rFont val="Roboto, sans-serif"/>
        <color rgb="FF1155CC"/>
        <u/>
      </rPr>
      <t>V</t>
    </r>
    <r>
      <rPr>
        <rFont val="Roboto, sans-serif"/>
        <color rgb="FF1155CC"/>
        <u/>
      </rPr>
      <t>inny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Anthony II</t>
    </r>
    <r>
      <rPr>
        <rFont val="Roboto, sans-serif"/>
      </rPr>
      <t xml:space="preserve">
ATLWR30</t>
    </r>
  </si>
  <si>
    <t>Sleeper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</si>
  <si>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ehren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Morton</t>
    </r>
    <r>
      <rPr>
        <rFont val="Roboto, sans-serif"/>
      </rPr>
      <t xml:space="preserve">
NEQB8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</si>
  <si>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ijan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ATLRB1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</si>
  <si>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Altmyer</t>
    </r>
    <r>
      <rPr>
        <rFont val="Roboto, sans-serif"/>
      </rPr>
      <t xml:space="preserve">
DETQB9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</si>
  <si>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a'Marr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Chase</t>
    </r>
    <r>
      <rPr>
        <rFont val="Roboto, sans-serif"/>
      </rPr>
      <t xml:space="preserve">
CINWR1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</si>
  <si>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Payton</t>
    </r>
    <r>
      <rPr>
        <rFont val="Roboto, sans-serif"/>
      </rPr>
      <t xml:space="preserve">
PHIQB10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</si>
  <si>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ahmyr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Gibbs</t>
    </r>
    <r>
      <rPr>
        <rFont val="Roboto, sans-serif"/>
      </rPr>
      <t xml:space="preserve">
DETRB2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</si>
  <si>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Fagnano</t>
    </r>
    <r>
      <rPr>
        <rFont val="Roboto, sans-serif"/>
      </rPr>
      <t xml:space="preserve">
BALQB11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</si>
  <si>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Hemby</t>
    </r>
    <r>
      <rPr>
        <rFont val="Roboto, sans-serif"/>
      </rPr>
      <t xml:space="preserve">
LVRRB17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</si>
  <si>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Smith-Njigba</t>
    </r>
    <r>
      <rPr>
        <rFont val="Roboto, sans-serif"/>
      </rPr>
      <t xml:space="preserve">
SEAWR2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</si>
  <si>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uka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Nacua</t>
    </r>
    <r>
      <rPr>
        <rFont val="Roboto, sans-serif"/>
      </rPr>
      <t xml:space="preserve">
LARWR3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</si>
  <si>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</si>
  <si>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Jefferson</t>
    </r>
    <r>
      <rPr>
        <rFont val="Roboto, sans-serif"/>
      </rPr>
      <t xml:space="preserve">
MINWR4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</si>
  <si>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shton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Jeanty</t>
    </r>
    <r>
      <rPr>
        <rFont val="Roboto, sans-serif"/>
      </rPr>
      <t xml:space="preserve">
LVRRB4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</si>
  <si>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eeDee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Lamb</t>
    </r>
    <r>
      <rPr>
        <rFont val="Roboto, sans-serif"/>
      </rPr>
      <t xml:space="preserve">
DALWR5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</si>
  <si>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INDRB5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</si>
  <si>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mon-Ra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St. Brown</t>
    </r>
    <r>
      <rPr>
        <rFont val="Roboto, sans-serif"/>
      </rPr>
      <t xml:space="preserve">
DETWR6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</si>
  <si>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Nabers</t>
    </r>
    <r>
      <rPr>
        <rFont val="Roboto, sans-serif"/>
      </rPr>
      <t xml:space="preserve">
NYGWR7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</si>
  <si>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Hampton</t>
    </r>
    <r>
      <rPr>
        <rFont val="Roboto, sans-serif"/>
      </rPr>
      <t xml:space="preserve">
LACRB6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</si>
  <si>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ejon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Owens</t>
    </r>
    <r>
      <rPr>
        <rFont val="Roboto, sans-serif"/>
      </rPr>
      <t xml:space="preserve">
MINRB18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</si>
  <si>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London</t>
    </r>
    <r>
      <rPr>
        <rFont val="Roboto, sans-serif"/>
      </rPr>
      <t xml:space="preserve">
ATLWR8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</si>
  <si>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Donaldson</t>
    </r>
    <r>
      <rPr>
        <rFont val="Roboto, sans-serif"/>
      </rPr>
      <t xml:space="preserve">
NORB19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</si>
  <si>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e'Von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Achane</t>
    </r>
    <r>
      <rPr>
        <rFont val="Roboto, sans-serif"/>
      </rPr>
      <t xml:space="preserve">
MIARB7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</si>
  <si>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amal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Haynes</t>
    </r>
    <r>
      <rPr>
        <rFont val="Roboto, sans-serif"/>
      </rPr>
      <t xml:space="preserve">
CINRB20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</si>
  <si>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Collins</t>
    </r>
    <r>
      <rPr>
        <rFont val="Roboto, sans-serif"/>
      </rPr>
      <t xml:space="preserve">
HOUWR9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</si>
  <si>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McRee</t>
    </r>
    <r>
      <rPr>
        <rFont val="Roboto, sans-serif"/>
      </rPr>
      <t xml:space="preserve">
PITTE19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</si>
  <si>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Bowers</t>
    </r>
    <r>
      <rPr>
        <rFont val="Roboto, sans-serif"/>
      </rPr>
      <t xml:space="preserve">
LVRTE1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</si>
  <si>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Hudson</t>
    </r>
    <r>
      <rPr>
        <rFont val="Roboto, sans-serif"/>
      </rPr>
      <t xml:space="preserve">
DALWR31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</si>
  <si>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McBride</t>
    </r>
    <r>
      <rPr>
        <rFont val="Roboto, sans-serif"/>
      </rPr>
      <t xml:space="preserve">
ARITE2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</si>
  <si>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Villari</t>
    </r>
    <r>
      <rPr>
        <rFont val="Roboto, sans-serif"/>
      </rPr>
      <t xml:space="preserve">
LARTE20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</si>
  <si>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etairoa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CARWR10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</si>
  <si>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ae'Quan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PHITE21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</si>
  <si>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Cook</t>
    </r>
    <r>
      <rPr>
        <rFont val="Roboto, sans-serif"/>
      </rPr>
      <t xml:space="preserve">
BUFRB8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</si>
  <si>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Hardy</t>
    </r>
    <r>
      <rPr>
        <rFont val="Roboto, sans-serif"/>
      </rPr>
      <t xml:space="preserve">
NOTE22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</si>
  <si>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Pickens</t>
    </r>
    <r>
      <rPr>
        <rFont val="Roboto, sans-serif"/>
      </rPr>
      <t xml:space="preserve">
DALWR11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</si>
  <si>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anner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Arkin</t>
    </r>
    <r>
      <rPr>
        <rFont val="Roboto, sans-serif"/>
      </rPr>
      <t xml:space="preserve">
NETE23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</si>
  <si>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 III</t>
    </r>
    <r>
      <rPr>
        <rFont val="Roboto, sans-serif"/>
      </rPr>
      <t xml:space="preserve">
KCRB9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</si>
  <si>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McAlister</t>
    </r>
    <r>
      <rPr>
        <rFont val="Roboto, sans-serif"/>
      </rPr>
      <t xml:space="preserve">
RKWR32</t>
    </r>
  </si>
  <si>
    <t>C. Payton</t>
  </si>
  <si>
    <t>QB-6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</si>
  <si>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Walthall</t>
    </r>
    <r>
      <rPr>
        <rFont val="Roboto, sans-serif"/>
      </rPr>
      <t xml:space="preserve">
HOUWR33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</si>
  <si>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BUFQB1</t>
    </r>
  </si>
  <si>
    <t>T. Green</t>
  </si>
  <si>
    <t>QB-7</t>
  </si>
  <si>
    <t>G. Nussmeier</t>
  </si>
  <si>
    <t>QB-8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</si>
  <si>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Anderson</t>
    </r>
    <r>
      <rPr>
        <rFont val="Roboto, sans-serif"/>
      </rPr>
      <t xml:space="preserve">
CLEWR34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</si>
  <si>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reVeyon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</t>
    </r>
    <r>
      <rPr>
        <rFont val="Roboto, sans-serif"/>
      </rPr>
      <t xml:space="preserve">
NERB10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</si>
  <si>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oah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</t>
    </r>
    <r>
      <rPr>
        <rFont val="Roboto, sans-serif"/>
      </rPr>
      <t xml:space="preserve">
CINWR35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</si>
  <si>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meka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Egbuka</t>
    </r>
    <r>
      <rPr>
        <rFont val="Roboto, sans-serif"/>
      </rPr>
      <t xml:space="preserve">
TBWR12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</si>
  <si>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aullin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Lacy</t>
    </r>
    <r>
      <rPr>
        <rFont val="Roboto, sans-serif"/>
      </rPr>
      <t xml:space="preserve">
NYJWR36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</si>
  <si>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SFRB11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</si>
  <si>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Key</t>
    </r>
    <r>
      <rPr>
        <rFont val="Roboto, sans-serif"/>
      </rPr>
      <t xml:space="preserve">
DENWR37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</si>
  <si>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reece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Hall</t>
    </r>
    <r>
      <rPr>
        <rFont val="Roboto, sans-serif"/>
      </rPr>
      <t xml:space="preserve">
NYJRB12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</si>
  <si>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Smack</t>
    </r>
    <r>
      <rPr>
        <rFont val="Roboto, sans-serif"/>
      </rPr>
      <t xml:space="preserve">
GBK1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</si>
  <si>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ominic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Zvada</t>
    </r>
    <r>
      <rPr>
        <rFont val="Roboto, sans-serif"/>
      </rPr>
      <t xml:space="preserve">
NYGK2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</si>
  <si>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Judkins</t>
    </r>
    <r>
      <rPr>
        <rFont val="Roboto, sans-serif"/>
      </rPr>
      <t xml:space="preserve">
CLERB13</t>
    </r>
  </si>
  <si>
    <t>K2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</si>
  <si>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Loveland</t>
    </r>
    <r>
      <rPr>
        <rFont val="Roboto, sans-serif"/>
      </rPr>
      <t xml:space="preserve">
CHITE3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</si>
  <si>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aquon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Barkley</t>
    </r>
    <r>
      <rPr>
        <rFont val="Roboto, sans-serif"/>
      </rPr>
      <t xml:space="preserve">
PHIRB14</t>
    </r>
  </si>
  <si>
    <t>A. Kaliakmanis</t>
  </si>
  <si>
    <t>QB-9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</si>
  <si>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</t>
    </r>
    <r>
      <rPr>
        <rFont val="Roboto, sans-serif"/>
      </rPr>
      <t xml:space="preserve">
NEQB2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</si>
  <si>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Flowers</t>
    </r>
    <r>
      <rPr>
        <rFont val="Roboto, sans-serif"/>
      </rPr>
      <t xml:space="preserve">
BALWR13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</si>
  <si>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Olave</t>
    </r>
    <r>
      <rPr>
        <rFont val="Roboto, sans-serif"/>
      </rPr>
      <t xml:space="preserve">
NOWR14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</si>
  <si>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CINWR15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</si>
  <si>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a'Marr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Chase</t>
    </r>
    <r>
      <rPr>
        <rFont val="Roboto, sans-serif"/>
      </rPr>
      <t xml:space="preserve">
CINWR1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</si>
  <si>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NOWR16</t>
    </r>
  </si>
  <si>
    <t>player-headshot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</si>
  <si>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ijan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ATLRB1</t>
    </r>
  </si>
  <si>
    <t>J. Smith-Njigba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</si>
  <si>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Rice</t>
    </r>
    <r>
      <rPr>
        <rFont val="Roboto, sans-serif"/>
      </rPr>
      <t xml:space="preserve">
KCWR17</t>
    </r>
  </si>
  <si>
    <t>P. Nacua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</si>
  <si>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Smith-Njigba</t>
    </r>
    <r>
      <rPr>
        <rFont val="Roboto, sans-serif"/>
      </rPr>
      <t xml:space="preserve">
SEAWR2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</si>
  <si>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PHIWR18</t>
    </r>
  </si>
  <si>
    <t>J. Gibbs</t>
  </si>
  <si>
    <t>DET</t>
  </si>
  <si>
    <t>B. Robinson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</si>
  <si>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ahmyr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Gibbs</t>
    </r>
    <r>
      <rPr>
        <rFont val="Roboto, sans-serif"/>
      </rPr>
      <t xml:space="preserve">
DETRB2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</si>
  <si>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WASQB3</t>
    </r>
  </si>
  <si>
    <t>J. Chase</t>
  </si>
  <si>
    <t>A. Jeanty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</si>
  <si>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uka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Nacua</t>
    </r>
    <r>
      <rPr>
        <rFont val="Roboto, sans-serif"/>
      </rPr>
      <t xml:space="preserve">
LARWR3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</si>
  <si>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add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McConkey</t>
    </r>
    <r>
      <rPr>
        <rFont val="Roboto, sans-serif"/>
      </rPr>
      <t xml:space="preserve">
LACWR19</t>
    </r>
  </si>
  <si>
    <t>B. Bowers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</si>
  <si>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ARIRB3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</si>
  <si>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NYJWR20</t>
    </r>
  </si>
  <si>
    <t>M. Nabers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</si>
  <si>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mon-Ra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St. Brown</t>
    </r>
    <r>
      <rPr>
        <rFont val="Roboto, sans-serif"/>
      </rPr>
      <t xml:space="preserve">
DETWR4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</si>
  <si>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DETWR21</t>
    </r>
  </si>
  <si>
    <t>A. St. Brown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</si>
  <si>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eeDee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Lamb</t>
    </r>
    <r>
      <rPr>
        <rFont val="Roboto, sans-serif"/>
      </rPr>
      <t xml:space="preserve">
DALWR5</t>
    </r>
  </si>
  <si>
    <t>O. Hampton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</si>
  <si>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Jacobs</t>
    </r>
    <r>
      <rPr>
        <rFont val="Roboto, sans-serif"/>
      </rPr>
      <t xml:space="preserve">
GBRB15</t>
    </r>
  </si>
  <si>
    <t>D. Achane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</si>
  <si>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Jefferson</t>
    </r>
    <r>
      <rPr>
        <rFont val="Roboto, sans-serif"/>
      </rPr>
      <t xml:space="preserve">
MINWR2</t>
    </r>
  </si>
  <si>
    <t>T. McBride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</si>
  <si>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TENWR22</t>
    </r>
  </si>
  <si>
    <t>D. London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</si>
  <si>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Nabers</t>
    </r>
    <r>
      <rPr>
        <rFont val="Roboto, sans-serif"/>
      </rPr>
      <t xml:space="preserve">
NYGWR7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</si>
  <si>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NEWR23</t>
    </r>
  </si>
  <si>
    <t>J. Jefferson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</si>
  <si>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shton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Jeanty</t>
    </r>
    <r>
      <rPr>
        <rFont val="Roboto, sans-serif"/>
      </rPr>
      <t xml:space="preserve">
LVRRB5</t>
    </r>
  </si>
  <si>
    <t>D. Maye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</si>
  <si>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CINRB16</t>
    </r>
  </si>
  <si>
    <t>J. Allen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</si>
  <si>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e'Von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Achane</t>
    </r>
    <r>
      <rPr>
        <rFont val="Roboto, sans-serif"/>
      </rPr>
      <t xml:space="preserve">
MIARB5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</si>
  <si>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Waddle</t>
    </r>
    <r>
      <rPr>
        <rFont val="Roboto, sans-serif"/>
      </rPr>
      <t xml:space="preserve">
DENWR24</t>
    </r>
  </si>
  <si>
    <t>C. Loveland</t>
  </si>
  <si>
    <t>C. Lamb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</si>
  <si>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INDRB6</t>
    </r>
  </si>
  <si>
    <t>DAL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</si>
  <si>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Irving</t>
    </r>
    <r>
      <rPr>
        <rFont val="Roboto, sans-serif"/>
      </rPr>
      <t xml:space="preserve">
TBRB17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</si>
  <si>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London</t>
    </r>
    <r>
      <rPr>
        <rFont val="Roboto, sans-serif"/>
      </rPr>
      <t xml:space="preserve">
ATLWR8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</si>
  <si>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PHIWR25</t>
    </r>
  </si>
  <si>
    <t>C. Olave</t>
  </si>
  <si>
    <t>T. McMillan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</si>
  <si>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Hampton</t>
    </r>
    <r>
      <rPr>
        <rFont val="Roboto, sans-serif"/>
      </rPr>
      <t xml:space="preserve">
LACRB6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</si>
  <si>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uther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Burden III</t>
    </r>
    <r>
      <rPr>
        <rFont val="Roboto, sans-serif"/>
      </rPr>
      <t xml:space="preserve">
CHIWR26</t>
    </r>
  </si>
  <si>
    <t>N. Collins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</si>
  <si>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Collins</t>
    </r>
    <r>
      <rPr>
        <rFont val="Roboto, sans-serif"/>
      </rPr>
      <t xml:space="preserve">
HOUWR9</t>
    </r>
  </si>
  <si>
    <t>E. Egbuka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</si>
  <si>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LARRB18</t>
    </r>
  </si>
  <si>
    <t>J. Cook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</si>
  <si>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Bowers</t>
    </r>
    <r>
      <rPr>
        <rFont val="Roboto, sans-serif"/>
      </rPr>
      <t xml:space="preserve">
LVRTE1</t>
    </r>
  </si>
  <si>
    <t>K. Walker III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</si>
  <si>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INDTE4</t>
    </r>
  </si>
  <si>
    <t>C. Brown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</si>
  <si>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McBride</t>
    </r>
    <r>
      <rPr>
        <rFont val="Roboto, sans-serif"/>
      </rPr>
      <t xml:space="preserve">
ARITE2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</si>
  <si>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arold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Fannin Jr.</t>
    </r>
    <r>
      <rPr>
        <rFont val="Roboto, sans-serif"/>
      </rPr>
      <t xml:space="preserve">
CLETE5</t>
    </r>
  </si>
  <si>
    <t>G. Pickens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</si>
  <si>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etairoa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CARWR10</t>
    </r>
  </si>
  <si>
    <t>Q. Judkins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</si>
  <si>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Jackson</t>
    </r>
    <r>
      <rPr>
        <rFont val="Roboto, sans-serif"/>
      </rPr>
      <t xml:space="preserve">
BALQB4</t>
    </r>
  </si>
  <si>
    <t>L. Jackson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</si>
  <si>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Cook</t>
    </r>
    <r>
      <rPr>
        <rFont val="Roboto, sans-serif"/>
      </rPr>
      <t xml:space="preserve">
BUFRB8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</si>
  <si>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Odunze</t>
    </r>
    <r>
      <rPr>
        <rFont val="Roboto, sans-serif"/>
      </rPr>
      <t xml:space="preserve">
CHIWR27</t>
    </r>
  </si>
  <si>
    <t>J. Daniels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</si>
  <si>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Pickens</t>
    </r>
    <r>
      <rPr>
        <rFont val="Roboto, sans-serif"/>
      </rPr>
      <t xml:space="preserve">
DALWR10</t>
    </r>
  </si>
  <si>
    <t>J. Burrow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</si>
  <si>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SEARB19</t>
    </r>
  </si>
  <si>
    <t>G. Wilson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</si>
  <si>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meka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Egbuka</t>
    </r>
    <r>
      <rPr>
        <rFont val="Roboto, sans-serif"/>
      </rPr>
      <t xml:space="preserve">
TBWR12</t>
    </r>
  </si>
  <si>
    <t>L. McConkey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</si>
  <si>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Burrow</t>
    </r>
    <r>
      <rPr>
        <rFont val="Roboto, sans-serif"/>
      </rPr>
      <t xml:space="preserve">
CINQB5</t>
    </r>
  </si>
  <si>
    <t>T. Warren</t>
  </si>
  <si>
    <t>T. Henderson</t>
  </si>
  <si>
    <t>B. Hall</t>
  </si>
  <si>
    <t>C. Williams</t>
  </si>
  <si>
    <t>L. Burden III</t>
  </si>
  <si>
    <t>B. Irving</t>
  </si>
  <si>
    <t>Z. Flowers</t>
  </si>
  <si>
    <t>J. Hurts</t>
  </si>
  <si>
    <t>K. Williams</t>
  </si>
  <si>
    <t>RB-15</t>
  </si>
  <si>
    <t>B. Thomas Jr.</t>
  </si>
  <si>
    <t>S. Barkley</t>
  </si>
  <si>
    <t>RB-16</t>
  </si>
  <si>
    <t>A. Brown</t>
  </si>
  <si>
    <t>C. McCaffrey</t>
  </si>
  <si>
    <t>RB-17</t>
  </si>
  <si>
    <t>T. Kraft</t>
  </si>
  <si>
    <t>GB</t>
  </si>
  <si>
    <t>H. Fannin Jr.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</si>
  <si>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Hardy</t>
    </r>
    <r>
      <rPr>
        <rFont val="Roboto, sans-serif"/>
      </rPr>
      <t xml:space="preserve">
NOTE22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</si>
  <si>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anner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Arkin</t>
    </r>
    <r>
      <rPr>
        <rFont val="Roboto, sans-serif"/>
      </rPr>
      <t xml:space="preserve">
NETE23</t>
    </r>
  </si>
  <si>
    <r>
      <rPr>
        <rFont val="Poppins, Arial, Helvetica, sans-serif"/>
        <color rgb="FF1155CC"/>
        <u/>
      </rPr>
      <t>Bijan Robinson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</si>
  <si>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</t>
    </r>
    <r>
      <rPr>
        <rFont val="Roboto, sans-serif"/>
      </rPr>
      <t xml:space="preserve">
ARIQB4</t>
    </r>
  </si>
  <si>
    <t>2 -1</t>
  </si>
  <si>
    <r>
      <rPr>
        <rFont val="Poppins, Arial, Helvetica, sans-serif"/>
        <color rgb="FF1155CC"/>
        <u/>
      </rPr>
      <t>Ja'Marr Chase</t>
    </r>
    <r>
      <rPr>
        <rFont val="Poppins, Arial, Helvetica, sans-serif"/>
      </rPr>
      <t>CIN (6)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</si>
  <si>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McAlister</t>
    </r>
    <r>
      <rPr>
        <rFont val="Roboto, sans-serif"/>
      </rPr>
      <t xml:space="preserve">
RKWR32</t>
    </r>
  </si>
  <si>
    <t>3 -1</t>
  </si>
  <si>
    <r>
      <rPr>
        <rFont val="Poppins, Arial, Helvetica, sans-serif"/>
        <color rgb="FF1155CC"/>
        <u/>
      </rPr>
      <t>Jahmyr Gibbs</t>
    </r>
    <r>
      <rPr>
        <rFont val="Poppins, Arial, Helvetica, sans-serif"/>
      </rPr>
      <t>DET (6)</t>
    </r>
  </si>
  <si>
    <t>1 +2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</si>
  <si>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Walthall</t>
    </r>
    <r>
      <rPr>
        <rFont val="Roboto, sans-serif"/>
      </rPr>
      <t xml:space="preserve">
HOUWR33</t>
    </r>
  </si>
  <si>
    <r>
      <rPr>
        <rFont val="Poppins, Arial, Helvetica, sans-serif"/>
        <color rgb="FF1155CC"/>
        <u/>
      </rPr>
      <t>Puka Nacua</t>
    </r>
    <r>
      <rPr>
        <rFont val="Poppins, Arial, Helvetica, sans-serif"/>
      </rPr>
      <t>LAR (11)</t>
    </r>
  </si>
  <si>
    <r>
      <rPr>
        <rFont val="Poppins, Arial, Helvetica, sans-serif"/>
        <color rgb="FF1155CC"/>
        <u/>
      </rPr>
      <t>Jaxon Smith-Njigba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</si>
  <si>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Klubnik</t>
    </r>
    <r>
      <rPr>
        <rFont val="Roboto, sans-serif"/>
      </rPr>
      <t xml:space="preserve">
NYJQB5</t>
    </r>
  </si>
  <si>
    <t>7 -2</t>
  </si>
  <si>
    <r>
      <rPr>
        <rFont val="Poppins, Arial, Helvetica, sans-serif"/>
        <color rgb="FF1155CC"/>
        <u/>
      </rPr>
      <t>Josh Allen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</si>
  <si>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Green</t>
    </r>
    <r>
      <rPr>
        <rFont val="Roboto, sans-serif"/>
      </rPr>
      <t xml:space="preserve">
CLEQB6</t>
    </r>
  </si>
  <si>
    <t>23 -17</t>
  </si>
  <si>
    <r>
      <rPr>
        <rFont val="Poppins, Arial, Helvetica, sans-serif"/>
        <color rgb="FF1155CC"/>
        <u/>
      </rPr>
      <t>Amon-Ra St. Brown</t>
    </r>
    <r>
      <rPr>
        <rFont val="Poppins, Arial, Helvetica, sans-serif"/>
      </rPr>
      <t>DET (6)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</si>
  <si>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Anderson</t>
    </r>
    <r>
      <rPr>
        <rFont val="Roboto, sans-serif"/>
      </rPr>
      <t xml:space="preserve">
CLEWR34</t>
    </r>
  </si>
  <si>
    <t>9 -2</t>
  </si>
  <si>
    <r>
      <rPr>
        <rFont val="Poppins, Arial, Helvetica, sans-serif"/>
        <color rgb="FF1155CC"/>
        <u/>
      </rPr>
      <t>Malik Nabers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</si>
  <si>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oah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</t>
    </r>
    <r>
      <rPr>
        <rFont val="Roboto, sans-serif"/>
      </rPr>
      <t xml:space="preserve">
CINWR35</t>
    </r>
  </si>
  <si>
    <t>37 -29</t>
  </si>
  <si>
    <r>
      <rPr>
        <rFont val="Poppins, Arial, Helvetica, sans-serif"/>
        <color rgb="FF1155CC"/>
        <u/>
      </rPr>
      <t>Drake Maye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</si>
  <si>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aullin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Lacy</t>
    </r>
    <r>
      <rPr>
        <rFont val="Roboto, sans-serif"/>
      </rPr>
      <t xml:space="preserve">
NYJWR36</t>
    </r>
  </si>
  <si>
    <t>50 -41</t>
  </si>
  <si>
    <r>
      <rPr>
        <rFont val="Poppins, Arial, Helvetica, sans-serif"/>
        <color rgb="FF1155CC"/>
        <u/>
      </rPr>
      <t>Brock Bowers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</si>
  <si>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Key</t>
    </r>
    <r>
      <rPr>
        <rFont val="Roboto, sans-serif"/>
      </rPr>
      <t xml:space="preserve">
DENWR37</t>
    </r>
  </si>
  <si>
    <t>20 -10</t>
  </si>
  <si>
    <r>
      <rPr>
        <rFont val="Poppins, Arial, Helvetica, sans-serif"/>
        <color rgb="FF1155CC"/>
        <u/>
      </rPr>
      <t>Joe Burrow</t>
    </r>
    <r>
      <rPr>
        <rFont val="Poppins, Arial, Helvetica, sans-serif"/>
      </rPr>
      <t>CIN (6)</t>
    </r>
  </si>
  <si>
    <t>53 -42</t>
  </si>
  <si>
    <r>
      <rPr>
        <rFont val="Poppins, Arial, Helvetica, sans-serif"/>
        <color rgb="FF1155CC"/>
        <u/>
      </rPr>
      <t>Trey McBride</t>
    </r>
    <r>
      <rPr>
        <rFont val="Poppins, Arial, Helvetica, sans-serif"/>
      </rPr>
      <t>ARI (14)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</si>
  <si>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Nussmeier</t>
    </r>
    <r>
      <rPr>
        <rFont val="Roboto, sans-serif"/>
      </rPr>
      <t xml:space="preserve">
KCQB7</t>
    </r>
  </si>
  <si>
    <t>26 -14</t>
  </si>
  <si>
    <r>
      <rPr>
        <rFont val="Poppins, Arial, Helvetica, sans-serif"/>
        <color rgb="FF1155CC"/>
        <u/>
      </rPr>
      <t>Justin Jefferson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</si>
  <si>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ehren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Morton</t>
    </r>
    <r>
      <rPr>
        <rFont val="Roboto, sans-serif"/>
      </rPr>
      <t xml:space="preserve">
NEQB8</t>
    </r>
  </si>
  <si>
    <t>12 +1</t>
  </si>
  <si>
    <r>
      <rPr>
        <rFont val="Poppins, Arial, Helvetica, sans-serif"/>
        <color rgb="FF1155CC"/>
        <u/>
      </rPr>
      <t>Ashton Jeanty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</si>
  <si>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Altmyer</t>
    </r>
    <r>
      <rPr>
        <rFont val="Roboto, sans-serif"/>
      </rPr>
      <t xml:space="preserve">
DETQB9</t>
    </r>
  </si>
  <si>
    <t>10 +4</t>
  </si>
  <si>
    <r>
      <rPr>
        <rFont val="Poppins, Arial, Helvetica, sans-serif"/>
        <color rgb="FF1155CC"/>
        <u/>
      </rPr>
      <t>Jayden Daniels</t>
    </r>
    <r>
      <rPr>
        <rFont val="Poppins, Arial, Helvetica, sans-serif"/>
      </rPr>
      <t>WAS (7)</t>
    </r>
  </si>
  <si>
    <t>59 -44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</si>
  <si>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Payton</t>
    </r>
    <r>
      <rPr>
        <rFont val="Roboto, sans-serif"/>
      </rPr>
      <t xml:space="preserve">
PHIQB10</t>
    </r>
  </si>
  <si>
    <r>
      <rPr>
        <rFont val="Poppins, Arial, Helvetica, sans-serif"/>
        <color rgb="FF1155CC"/>
        <u/>
      </rPr>
      <t>Jeremiyah Love</t>
    </r>
    <r>
      <rPr>
        <rFont val="Poppins, Arial, Helvetica, sans-serif"/>
      </rPr>
      <t>ARI (14)</t>
    </r>
  </si>
  <si>
    <t>25 -9</t>
  </si>
  <si>
    <r>
      <rPr>
        <rFont val="Poppins, Arial, Helvetica, sans-serif"/>
        <color rgb="FF1155CC"/>
        <u/>
      </rPr>
      <t>Lamar Jackson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</si>
  <si>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Fagnano</t>
    </r>
    <r>
      <rPr>
        <rFont val="Roboto, sans-serif"/>
      </rPr>
      <t xml:space="preserve">
BALQB11</t>
    </r>
  </si>
  <si>
    <t>39 -22</t>
  </si>
  <si>
    <r>
      <rPr>
        <rFont val="Poppins, Arial, Helvetica, sans-serif"/>
        <color rgb="FF1155CC"/>
        <u/>
      </rPr>
      <t>CeeDee Lamb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</si>
  <si>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Smack</t>
    </r>
    <r>
      <rPr>
        <rFont val="Roboto, sans-serif"/>
      </rPr>
      <t xml:space="preserve">
GBK1</t>
    </r>
  </si>
  <si>
    <t>11 +7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</si>
  <si>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ominic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Zvada</t>
    </r>
    <r>
      <rPr>
        <rFont val="Roboto, sans-serif"/>
      </rPr>
      <t xml:space="preserve">
NYGK2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</si>
  <si>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ijan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ATLRB1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</si>
  <si>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a'Marr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Chase</t>
    </r>
    <r>
      <rPr>
        <rFont val="Roboto, sans-serif"/>
      </rPr>
      <t xml:space="preserve">
CINWR1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</si>
  <si>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ahmyr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Gibbs</t>
    </r>
    <r>
      <rPr>
        <rFont val="Roboto, sans-serif"/>
      </rPr>
      <t xml:space="preserve">
DETRB2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</si>
  <si>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</si>
  <si>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INDRB4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</si>
  <si>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Jefferson</t>
    </r>
    <r>
      <rPr>
        <rFont val="Roboto, sans-serif"/>
      </rPr>
      <t xml:space="preserve">
MINWR2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</si>
  <si>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shton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Jeanty</t>
    </r>
    <r>
      <rPr>
        <rFont val="Roboto, sans-serif"/>
      </rPr>
      <t xml:space="preserve">
LVRRB5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</si>
  <si>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Smith-Njigba</t>
    </r>
    <r>
      <rPr>
        <rFont val="Roboto, sans-serif"/>
      </rPr>
      <t xml:space="preserve">
SEAWR3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</si>
  <si>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Hampton</t>
    </r>
    <r>
      <rPr>
        <rFont val="Roboto, sans-serif"/>
      </rPr>
      <t xml:space="preserve">
LACRB6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</si>
  <si>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uka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Nacua</t>
    </r>
    <r>
      <rPr>
        <rFont val="Roboto, sans-serif"/>
      </rPr>
      <t xml:space="preserve">
LARWR4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</si>
  <si>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eeDee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Lamb</t>
    </r>
    <r>
      <rPr>
        <rFont val="Roboto, sans-serif"/>
      </rPr>
      <t xml:space="preserve">
DALWR5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</si>
  <si>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Nabers</t>
    </r>
    <r>
      <rPr>
        <rFont val="Roboto, sans-serif"/>
      </rPr>
      <t xml:space="preserve">
NYGWR6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</si>
  <si>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mon-Ra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St. Brown</t>
    </r>
    <r>
      <rPr>
        <rFont val="Roboto, sans-serif"/>
      </rPr>
      <t xml:space="preserve">
DETWR7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</si>
  <si>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London</t>
    </r>
    <r>
      <rPr>
        <rFont val="Roboto, sans-serif"/>
      </rPr>
      <t xml:space="preserve">
ATLWR8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</si>
  <si>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e'Von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Achane</t>
    </r>
    <r>
      <rPr>
        <rFont val="Roboto, sans-serif"/>
      </rPr>
      <t xml:space="preserve">
MIARB7</t>
    </r>
  </si>
  <si>
    <r>
      <rPr>
        <rFont val="Poppins, Arial, Helvetica, sans-serif"/>
        <color rgb="FF1155CC"/>
        <u/>
      </rPr>
      <t>De'Von Achane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</si>
  <si>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Collins</t>
    </r>
    <r>
      <rPr>
        <rFont val="Roboto, sans-serif"/>
      </rPr>
      <t xml:space="preserve">
HOUWR9</t>
    </r>
  </si>
  <si>
    <t>14 +5</t>
  </si>
  <si>
    <r>
      <rPr>
        <rFont val="Poppins, Arial, Helvetica, sans-serif"/>
        <color rgb="FF1155CC"/>
        <u/>
      </rPr>
      <t>Omarion Hampton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</si>
  <si>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Cook</t>
    </r>
    <r>
      <rPr>
        <rFont val="Roboto, sans-serif"/>
      </rPr>
      <t xml:space="preserve">
BUFRB8</t>
    </r>
  </si>
  <si>
    <t>15 +5</t>
  </si>
  <si>
    <r>
      <rPr>
        <rFont val="Poppins, Arial, Helvetica, sans-serif"/>
        <color rgb="FF1155CC"/>
        <u/>
      </rPr>
      <t>Drake London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</si>
  <si>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Pickens</t>
    </r>
    <r>
      <rPr>
        <rFont val="Roboto, sans-serif"/>
      </rPr>
      <t xml:space="preserve">
DALWR10</t>
    </r>
  </si>
  <si>
    <t>18 +3</t>
  </si>
  <si>
    <r>
      <rPr>
        <rFont val="Poppins, Arial, Helvetica, sans-serif"/>
        <color rgb="FF1155CC"/>
        <u/>
      </rPr>
      <t>Jonathan Taylor</t>
    </r>
    <r>
      <rPr>
        <rFont val="Poppins, Arial, Helvetica, sans-serif"/>
      </rPr>
      <t>IND (13)</t>
    </r>
  </si>
  <si>
    <t>6 +16</t>
  </si>
  <si>
    <r>
      <rPr>
        <rFont val="Poppins, Arial, Helvetica, sans-serif"/>
        <color rgb="FF1155CC"/>
        <u/>
      </rPr>
      <t>Tetairoa McMillan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</si>
  <si>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 III</t>
    </r>
    <r>
      <rPr>
        <rFont val="Roboto, sans-serif"/>
      </rPr>
      <t xml:space="preserve">
KCRB9</t>
    </r>
  </si>
  <si>
    <t>40 -17</t>
  </si>
  <si>
    <r>
      <rPr>
        <rFont val="Poppins, Arial, Helvetica, sans-serif"/>
        <color rgb="FF1155CC"/>
        <u/>
      </rPr>
      <t>Colston Loveland</t>
    </r>
    <r>
      <rPr>
        <rFont val="Poppins, Arial, Helvetica, sans-serif"/>
      </rPr>
      <t>CHI (10)</t>
    </r>
  </si>
  <si>
    <t>41 -17</t>
  </si>
  <si>
    <r>
      <rPr>
        <rFont val="Poppins, Arial, Helvetica, sans-serif"/>
        <color rgb="FF1155CC"/>
        <u/>
      </rPr>
      <t>James Cook III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</si>
  <si>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etairoa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CARWR11</t>
    </r>
  </si>
  <si>
    <t>8 +17</t>
  </si>
  <si>
    <r>
      <rPr>
        <rFont val="Poppins, Arial, Helvetica, sans-serif"/>
        <color rgb="FF1155CC"/>
        <u/>
      </rPr>
      <t>Jalen Hurts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</si>
  <si>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McBride</t>
    </r>
    <r>
      <rPr>
        <rFont val="Roboto, sans-serif"/>
      </rPr>
      <t xml:space="preserve">
ARITE1</t>
    </r>
  </si>
  <si>
    <t>63 -37</t>
  </si>
  <si>
    <r>
      <rPr>
        <rFont val="Poppins, Arial, Helvetica, sans-serif"/>
        <color rgb="FF1155CC"/>
        <u/>
      </rPr>
      <t>George Pickens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</si>
  <si>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Bowers</t>
    </r>
    <r>
      <rPr>
        <rFont val="Roboto, sans-serif"/>
      </rPr>
      <t xml:space="preserve">
LVRTE2</t>
    </r>
  </si>
  <si>
    <t>24 +3</t>
  </si>
  <si>
    <r>
      <rPr>
        <rFont val="Poppins, Arial, Helvetica, sans-serif"/>
        <color rgb="FF1155CC"/>
        <u/>
      </rPr>
      <t>Nico Collins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</si>
  <si>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BUFQB1</t>
    </r>
  </si>
  <si>
    <t>21 +7</t>
  </si>
  <si>
    <r>
      <rPr>
        <rFont val="Poppins, Arial, Helvetica, sans-serif"/>
        <color rgb="FF1155CC"/>
        <u/>
      </rPr>
      <t>Chris Olave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</si>
  <si>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Judkins</t>
    </r>
    <r>
      <rPr>
        <rFont val="Roboto, sans-serif"/>
      </rPr>
      <t xml:space="preserve">
CLERB10</t>
    </r>
  </si>
  <si>
    <t>33 -4</t>
  </si>
  <si>
    <r>
      <rPr>
        <rFont val="Poppins, Arial, Helvetica, sans-serif"/>
        <color rgb="FF1155CC"/>
        <u/>
      </rPr>
      <t>Emeka Egbuka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</si>
  <si>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reVeyon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</t>
    </r>
    <r>
      <rPr>
        <rFont val="Roboto, sans-serif"/>
      </rPr>
      <t xml:space="preserve">
NERB11</t>
    </r>
  </si>
  <si>
    <t>42 -12</t>
  </si>
  <si>
    <r>
      <rPr>
        <rFont val="Poppins, Arial, Helvetica, sans-serif"/>
        <color rgb="FF1155CC"/>
        <u/>
      </rPr>
      <t>Tyler Warren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</si>
  <si>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aquon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Barkley</t>
    </r>
    <r>
      <rPr>
        <rFont val="Roboto, sans-serif"/>
      </rPr>
      <t xml:space="preserve">
PHIRB12</t>
    </r>
  </si>
  <si>
    <t>55 -24</t>
  </si>
  <si>
    <r>
      <rPr>
        <rFont val="Poppins, Arial, Helvetica, sans-serif"/>
        <color rgb="FF1155CC"/>
        <u/>
      </rPr>
      <t>Garrett Wilson</t>
    </r>
    <r>
      <rPr>
        <rFont val="Poppins, Arial, Helvetica, sans-serif"/>
      </rPr>
      <t>NYJ (13)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</si>
  <si>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</t>
    </r>
    <r>
      <rPr>
        <rFont val="Roboto, sans-serif"/>
      </rPr>
      <t xml:space="preserve">
NEQB2</t>
    </r>
  </si>
  <si>
    <t>43 -11</t>
  </si>
  <si>
    <r>
      <rPr>
        <rFont val="Poppins, Arial, Helvetica, sans-serif"/>
        <color rgb="FF1155CC"/>
        <u/>
      </rPr>
      <t>Chase Brown</t>
    </r>
    <r>
      <rPr>
        <rFont val="Poppins, Arial, Helvetica, sans-serif"/>
      </rPr>
      <t>CIN (6)</t>
    </r>
  </si>
  <si>
    <t>16 +17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</si>
  <si>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Loveland</t>
    </r>
    <r>
      <rPr>
        <rFont val="Roboto, sans-serif"/>
      </rPr>
      <t xml:space="preserve">
CHITE3</t>
    </r>
  </si>
  <si>
    <r>
      <rPr>
        <rFont val="Poppins, Arial, Helvetica, sans-serif"/>
        <color rgb="FF1155CC"/>
        <u/>
      </rPr>
      <t>TreVeyon Henderson</t>
    </r>
    <r>
      <rPr>
        <rFont val="Poppins, Arial, Helvetica, sans-serif"/>
      </rPr>
      <t>NE (11)</t>
    </r>
  </si>
  <si>
    <t>54 -20</t>
  </si>
  <si>
    <r>
      <rPr>
        <rFont val="Poppins, Arial, Helvetica, sans-serif"/>
        <color rgb="FF1155CC"/>
        <u/>
      </rPr>
      <t>Christian McCaffrey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</si>
  <si>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SFRB13</t>
    </r>
  </si>
  <si>
    <t>5 +30</t>
  </si>
  <si>
    <r>
      <rPr>
        <rFont val="Poppins, Arial, Helvetica, sans-serif"/>
        <color rgb="FF1155CC"/>
        <u/>
      </rPr>
      <t>Ladd McConkey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</si>
  <si>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DETWR12</t>
    </r>
  </si>
  <si>
    <t>44 -8</t>
  </si>
  <si>
    <r>
      <rPr>
        <rFont val="Poppins, Arial, Helvetica, sans-serif"/>
        <color rgb="FF1155CC"/>
        <u/>
      </rPr>
      <t>Harold Fannin Jr.</t>
    </r>
    <r>
      <rPr>
        <rFont val="Poppins, Arial, Helvetica, sans-serif"/>
      </rPr>
      <t>CLE (11)</t>
    </r>
  </si>
  <si>
    <t>68 -31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</si>
  <si>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meka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Egbuka</t>
    </r>
    <r>
      <rPr>
        <rFont val="Roboto, sans-serif"/>
      </rPr>
      <t xml:space="preserve">
TBWR13</t>
    </r>
  </si>
  <si>
    <r>
      <rPr>
        <rFont val="Poppins, Arial, Helvetica, sans-serif"/>
        <color rgb="FF1155CC"/>
        <u/>
      </rPr>
      <t>Kenneth Walker III</t>
    </r>
    <r>
      <rPr>
        <rFont val="Poppins, Arial, Helvetica, sans-serif"/>
      </rPr>
      <t>KC (5)</t>
    </r>
  </si>
  <si>
    <t>19 +19</t>
  </si>
  <si>
    <r>
      <rPr>
        <rFont val="Poppins, Arial, Helvetica, sans-serif"/>
        <color rgb="FF1155CC"/>
        <u/>
      </rPr>
      <t>Breece Hall</t>
    </r>
    <r>
      <rPr>
        <rFont val="Poppins, Arial, Helvetica, sans-serif"/>
      </rPr>
      <t>NYJ (13)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</si>
  <si>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reece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Hall</t>
    </r>
    <r>
      <rPr>
        <rFont val="Roboto, sans-serif"/>
      </rPr>
      <t xml:space="preserve">
NYJRB14</t>
    </r>
  </si>
  <si>
    <t>31 +8</t>
  </si>
  <si>
    <r>
      <rPr>
        <rFont val="Poppins, Arial, Helvetica, sans-serif"/>
        <color rgb="FF1155CC"/>
        <u/>
      </rPr>
      <t>Carnell Tate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</si>
  <si>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NOWR14</t>
    </r>
  </si>
  <si>
    <t>70 -30</t>
  </si>
  <si>
    <r>
      <rPr>
        <rFont val="Poppins, Arial, Helvetica, sans-serif"/>
        <color rgb="FF1155CC"/>
        <u/>
      </rPr>
      <t>Bucky Irving</t>
    </r>
    <r>
      <rPr>
        <rFont val="Poppins, Arial, Helvetica, sans-serif"/>
      </rPr>
      <t>TB (10)</t>
    </r>
  </si>
  <si>
    <t>45 -4</t>
  </si>
  <si>
    <r>
      <rPr>
        <rFont val="Poppins, Arial, Helvetica, sans-serif"/>
        <color rgb="FF1155CC"/>
        <u/>
      </rPr>
      <t>Rashee Rice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</si>
  <si>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CINWR15</t>
    </r>
  </si>
  <si>
    <t>30 +12</t>
  </si>
  <si>
    <r>
      <rPr>
        <rFont val="Poppins, Arial, Helvetica, sans-serif"/>
        <color rgb="FF1155CC"/>
        <u/>
      </rPr>
      <t>Quinshon Judkins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</si>
  <si>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PHIWR16</t>
    </r>
  </si>
  <si>
    <t>47 -4</t>
  </si>
  <si>
    <r>
      <rPr>
        <rFont val="Poppins, Arial, Helvetica, sans-serif"/>
        <color rgb="FF1155CC"/>
        <u/>
      </rPr>
      <t>Patrick Mahomes II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</si>
  <si>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WASQB3</t>
    </r>
  </si>
  <si>
    <t>99 -55</t>
  </si>
  <si>
    <r>
      <rPr>
        <rFont val="Poppins, Arial, Helvetica, sans-serif"/>
        <color rgb="FF1155CC"/>
        <u/>
      </rPr>
      <t>Luther Burden III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</si>
  <si>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Flowers</t>
    </r>
    <r>
      <rPr>
        <rFont val="Roboto, sans-serif"/>
      </rPr>
      <t xml:space="preserve">
BALWR17</t>
    </r>
  </si>
  <si>
    <t>56 -11</t>
  </si>
  <si>
    <r>
      <rPr>
        <rFont val="Poppins, Arial, Helvetica, sans-serif"/>
        <color rgb="FF1155CC"/>
        <u/>
      </rPr>
      <t>Rome Odunze</t>
    </r>
    <r>
      <rPr>
        <rFont val="Poppins, Arial, Helvetica, sans-serif"/>
      </rPr>
      <t>CHI (10)</t>
    </r>
  </si>
  <si>
    <t>65 -19</t>
  </si>
  <si>
    <r>
      <rPr>
        <rFont val="Poppins, Arial, Helvetica, sans-serif"/>
        <color rgb="FF1155CC"/>
        <u/>
      </rPr>
      <t>Saquon Barkley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</si>
  <si>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Jacobs</t>
    </r>
    <r>
      <rPr>
        <rFont val="Roboto, sans-serif"/>
      </rPr>
      <t xml:space="preserve">
GBRB15</t>
    </r>
  </si>
  <si>
    <t>13 +34</t>
  </si>
  <si>
    <r>
      <rPr>
        <rFont val="Poppins, Arial, Helvetica, sans-serif"/>
        <color rgb="FF1155CC"/>
        <u/>
      </rPr>
      <t>Jordyn Tyson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</si>
  <si>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Rice</t>
    </r>
    <r>
      <rPr>
        <rFont val="Roboto, sans-serif"/>
      </rPr>
      <t xml:space="preserve">
KCWR18</t>
    </r>
  </si>
  <si>
    <t>84 -36</t>
  </si>
  <si>
    <r>
      <rPr>
        <rFont val="Poppins, Arial, Helvetica, sans-serif"/>
        <color rgb="FF1155CC"/>
        <u/>
      </rPr>
      <t>Tucker Kraft</t>
    </r>
    <r>
      <rPr>
        <rFont val="Poppins, Arial, Helvetica, sans-serif"/>
      </rPr>
      <t>GB (11)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</si>
  <si>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NEWR19</t>
    </r>
  </si>
  <si>
    <t>66 -17</t>
  </si>
  <si>
    <r>
      <rPr>
        <rFont val="Poppins, Arial, Helvetica, sans-serif"/>
        <color rgb="FF1155CC"/>
        <u/>
      </rPr>
      <t>Marvin Harrison Jr.</t>
    </r>
    <r>
      <rPr>
        <rFont val="Poppins, Arial, Helvetica, sans-serif"/>
      </rPr>
      <t>ARI (14)</t>
    </r>
  </si>
  <si>
    <t>72 -22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</si>
  <si>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Olave</t>
    </r>
    <r>
      <rPr>
        <rFont val="Roboto, sans-serif"/>
      </rPr>
      <t xml:space="preserve">
NOWR20</t>
    </r>
  </si>
  <si>
    <r>
      <rPr>
        <rFont val="Poppins, Arial, Helvetica, sans-serif"/>
        <color rgb="FF1155CC"/>
        <u/>
      </rPr>
      <t>A.J. Brown</t>
    </r>
    <r>
      <rPr>
        <rFont val="Poppins, Arial, Helvetica, sans-serif"/>
      </rPr>
      <t>NE (11)</t>
    </r>
  </si>
  <si>
    <t>22 +29</t>
  </si>
  <si>
    <r>
      <rPr>
        <rFont val="Poppins, Arial, Helvetica, sans-serif"/>
        <color rgb="FF1155CC"/>
        <u/>
      </rPr>
      <t>Caleb Williams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</si>
  <si>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Waddle</t>
    </r>
    <r>
      <rPr>
        <rFont val="Roboto, sans-serif"/>
      </rPr>
      <t xml:space="preserve">
DENWR21</t>
    </r>
  </si>
  <si>
    <t>77 -25</t>
  </si>
  <si>
    <r>
      <rPr>
        <rFont val="Poppins, Arial, Helvetica, sans-serif"/>
        <color rgb="FF1155CC"/>
        <u/>
      </rPr>
      <t>Justin Herbert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</si>
  <si>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TENWR22</t>
    </r>
  </si>
  <si>
    <t>80 -27</t>
  </si>
  <si>
    <r>
      <rPr>
        <rFont val="Poppins, Arial, Helvetica, sans-serif"/>
        <color rgb="FF1155CC"/>
        <u/>
      </rPr>
      <t>Tee Higgins</t>
    </r>
    <r>
      <rPr>
        <rFont val="Poppins, Arial, Helvetica, sans-serif"/>
      </rPr>
      <t>CIN (6)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</si>
  <si>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add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McConkey</t>
    </r>
    <r>
      <rPr>
        <rFont val="Roboto, sans-serif"/>
      </rPr>
      <t xml:space="preserve">
LACWR23</t>
    </r>
  </si>
  <si>
    <t>36 +18</t>
  </si>
  <si>
    <r>
      <rPr>
        <rFont val="Poppins, Arial, Helvetica, sans-serif"/>
        <color rgb="FF1155CC"/>
        <u/>
      </rPr>
      <t>Jaxson Dart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</si>
  <si>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Irving</t>
    </r>
    <r>
      <rPr>
        <rFont val="Roboto, sans-serif"/>
      </rPr>
      <t xml:space="preserve">
TBRB16</t>
    </r>
  </si>
  <si>
    <t>86 -31</t>
  </si>
  <si>
    <r>
      <rPr>
        <rFont val="Poppins, Arial, Helvetica, sans-serif"/>
        <color rgb="FF1155CC"/>
        <u/>
      </rPr>
      <t>Brian Thomas Jr.</t>
    </r>
    <r>
      <rPr>
        <rFont val="Poppins, Arial, Helvetica, sans-serif"/>
      </rPr>
      <t>JAC (7)</t>
    </r>
  </si>
  <si>
    <t>76 -20</t>
  </si>
  <si>
    <r>
      <rPr>
        <rFont val="Poppins, Arial, Helvetica, sans-serif"/>
        <color rgb="FF1155CC"/>
        <u/>
      </rPr>
      <t>Kyren Williams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</si>
  <si>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LARRB17</t>
    </r>
  </si>
  <si>
    <t>27 +30</t>
  </si>
  <si>
    <r>
      <rPr>
        <rFont val="Poppins, Arial, Helvetica, sans-serif"/>
        <color rgb="FF1155CC"/>
        <u/>
      </rPr>
      <t>Zay Flowers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</si>
  <si>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CINRB18</t>
    </r>
  </si>
  <si>
    <t>38 +20</t>
  </si>
  <si>
    <r>
      <rPr>
        <rFont val="Poppins, Arial, Helvetica, sans-serif"/>
        <color rgb="FF1155CC"/>
        <u/>
      </rPr>
      <t>Makai Lemon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</si>
  <si>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NYJWR24</t>
    </r>
  </si>
  <si>
    <t>95 -36</t>
  </si>
  <si>
    <r>
      <rPr>
        <rFont val="Poppins, Arial, Helvetica, sans-serif"/>
        <color rgb="FF1155CC"/>
        <u/>
      </rPr>
      <t>Bo Nix</t>
    </r>
    <r>
      <rPr>
        <rFont val="Poppins, Arial, Helvetica, sans-serif"/>
      </rPr>
      <t>DEN (10)</t>
    </r>
  </si>
  <si>
    <t>106 -46</t>
  </si>
  <si>
    <r>
      <rPr>
        <rFont val="Poppins, Arial, Helvetica, sans-serif"/>
        <color rgb="FF1155CC"/>
        <u/>
      </rPr>
      <t>Sam LaPorta</t>
    </r>
    <r>
      <rPr>
        <rFont val="Poppins, Arial, Helvetica, sans-serif"/>
      </rPr>
      <t>DET (6)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</si>
  <si>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PHIWR25</t>
    </r>
  </si>
  <si>
    <t>71 -10</t>
  </si>
  <si>
    <r>
      <rPr>
        <rFont val="Poppins, Arial, Helvetica, sans-serif"/>
        <color rgb="FF1155CC"/>
        <u/>
      </rPr>
      <t>Jameson Williams</t>
    </r>
    <r>
      <rPr>
        <rFont val="Poppins, Arial, Helvetica, sans-serif"/>
      </rPr>
      <t>DET (6)</t>
    </r>
  </si>
  <si>
    <r>
      <rPr>
        <rFont val="Poppins, Arial, Helvetica, sans-serif"/>
        <color rgb="FF1155CC"/>
        <u/>
      </rPr>
      <t>Javonte Williams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</si>
  <si>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SEARB19</t>
    </r>
  </si>
  <si>
    <t>29 +34</t>
  </si>
  <si>
    <r>
      <rPr>
        <rFont val="Poppins, Arial, Helvetica, sans-serif"/>
        <color rgb="FF1155CC"/>
        <u/>
      </rPr>
      <t>Josh Jacobs</t>
    </r>
    <r>
      <rPr>
        <rFont val="Poppins, Arial, Helvetica, sans-serif"/>
      </rPr>
      <t>GB (11)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</si>
  <si>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uther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Burden III</t>
    </r>
    <r>
      <rPr>
        <rFont val="Roboto, sans-serif"/>
      </rPr>
      <t xml:space="preserve">
CHIWR26</t>
    </r>
  </si>
  <si>
    <t>28 +36</t>
  </si>
  <si>
    <r>
      <rPr>
        <rFont val="Poppins, Arial, Helvetica, sans-serif"/>
        <color rgb="FF1155CC"/>
        <u/>
      </rPr>
      <t>Trevor Lawrence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</si>
  <si>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INDTE4</t>
    </r>
  </si>
  <si>
    <t>87 -22</t>
  </si>
  <si>
    <r>
      <rPr>
        <rFont val="Poppins, Arial, Helvetica, sans-serif"/>
        <color rgb="FF1155CC"/>
        <u/>
      </rPr>
      <t>Travis Etienne Jr.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</si>
  <si>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GBWR27</t>
    </r>
  </si>
  <si>
    <t>34 +32</t>
  </si>
  <si>
    <r>
      <rPr>
        <rFont val="Poppins, Arial, Helvetica, sans-serif"/>
        <color rgb="FF1155CC"/>
        <u/>
      </rPr>
      <t>DeVonta Smith</t>
    </r>
    <r>
      <rPr>
        <rFont val="Poppins, Arial, Helvetica, sans-serif"/>
      </rPr>
      <t>PHI (10)</t>
    </r>
  </si>
  <si>
    <t>32 +35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</si>
  <si>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ucker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Kraft</t>
    </r>
    <r>
      <rPr>
        <rFont val="Roboto, sans-serif"/>
      </rPr>
      <t xml:space="preserve">
GBTE5</t>
    </r>
  </si>
  <si>
    <r>
      <rPr>
        <rFont val="Poppins, Arial, Helvetica, sans-serif"/>
        <color rgb="FF1155CC"/>
        <u/>
      </rPr>
      <t>Cam Skattebo</t>
    </r>
    <r>
      <rPr>
        <rFont val="Poppins, Arial, Helvetica, sans-serif"/>
      </rPr>
      <t>NYG (8)</t>
    </r>
  </si>
  <si>
    <t>35 +33</t>
  </si>
  <si>
    <r>
      <rPr>
        <rFont val="Poppins, Arial, Helvetica, sans-serif"/>
        <color rgb="FF1155CC"/>
        <u/>
      </rPr>
      <t>Kyle Pitts Sr.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</si>
  <si>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arold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Fannin Jr.</t>
    </r>
    <r>
      <rPr>
        <rFont val="Roboto, sans-serif"/>
      </rPr>
      <t xml:space="preserve">
CLETE6</t>
    </r>
  </si>
  <si>
    <t>73 -4</t>
  </si>
  <si>
    <r>
      <rPr>
        <rFont val="Poppins, Arial, Helvetica, sans-serif"/>
        <color rgb="FF1155CC"/>
        <u/>
      </rPr>
      <t>Jaylen Waddle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</si>
  <si>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Jackson</t>
    </r>
    <r>
      <rPr>
        <rFont val="Roboto, sans-serif"/>
      </rPr>
      <t xml:space="preserve">
BALQB4</t>
    </r>
  </si>
  <si>
    <t>46 +24</t>
  </si>
  <si>
    <r>
      <rPr>
        <rFont val="Poppins, Arial, Helvetica, sans-serif"/>
        <color rgb="FF1155CC"/>
        <u/>
      </rPr>
      <t>Jadarian Price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</si>
  <si>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Odunze</t>
    </r>
    <r>
      <rPr>
        <rFont val="Roboto, sans-serif"/>
      </rPr>
      <t xml:space="preserve">
CHIWR28</t>
    </r>
  </si>
  <si>
    <t>61 +10</t>
  </si>
  <si>
    <r>
      <rPr>
        <rFont val="Poppins, Arial, Helvetica, sans-serif"/>
        <color rgb="FF1155CC"/>
        <u/>
      </rPr>
      <t>RJ Harvey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</si>
  <si>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errick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BALRB20</t>
    </r>
  </si>
  <si>
    <t>83 -11</t>
  </si>
  <si>
    <r>
      <rPr>
        <rFont val="Poppins, Arial, Helvetica, sans-serif"/>
        <color rgb="FF1155CC"/>
        <u/>
      </rPr>
      <t>Derrick Henry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</si>
  <si>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Burrow</t>
    </r>
    <r>
      <rPr>
        <rFont val="Roboto, sans-serif"/>
      </rPr>
      <t xml:space="preserve">
CINQB5</t>
    </r>
  </si>
  <si>
    <t>17 +56</t>
  </si>
  <si>
    <r>
      <rPr>
        <rFont val="Poppins, Arial, Helvetica, sans-serif"/>
        <color rgb="FF1155CC"/>
        <u/>
      </rPr>
      <t>Oronde Gadsden II</t>
    </r>
    <r>
      <rPr>
        <rFont val="Poppins, Arial, Helvetica, sans-serif"/>
      </rPr>
      <t>LAC (7)</t>
    </r>
  </si>
  <si>
    <t>146 -72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</si>
  <si>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CLEWR29</t>
    </r>
  </si>
  <si>
    <r>
      <rPr>
        <rFont val="Poppins, Arial, Helvetica, sans-serif"/>
        <color rgb="FF1155CC"/>
        <u/>
      </rPr>
      <t>Brock Purdy</t>
    </r>
    <r>
      <rPr>
        <rFont val="Poppins, Arial, Helvetica, sans-serif"/>
      </rPr>
      <t>SF (8)</t>
    </r>
  </si>
  <si>
    <t>102 -27</t>
  </si>
  <si>
    <r>
      <rPr>
        <rFont val="Poppins, Arial, Helvetica, sans-serif"/>
        <color rgb="FF1155CC"/>
        <u/>
      </rPr>
      <t>KC Concepcion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</si>
  <si>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 Jr.</t>
    </r>
    <r>
      <rPr>
        <rFont val="Roboto, sans-serif"/>
      </rPr>
      <t xml:space="preserve">
JACWR30</t>
    </r>
  </si>
  <si>
    <t>132 -56</t>
  </si>
  <si>
    <r>
      <rPr>
        <rFont val="Poppins, Arial, Helvetica, sans-serif"/>
        <color rgb="FF1155CC"/>
        <u/>
      </rPr>
      <t>Alec Pierce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</si>
  <si>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CHIQB6</t>
    </r>
  </si>
  <si>
    <t>79 -2</t>
  </si>
  <si>
    <r>
      <rPr>
        <rFont val="Poppins, Arial, Helvetica, sans-serif"/>
        <color rgb="FF1155CC"/>
        <u/>
      </rPr>
      <t>Michael Wilson</t>
    </r>
    <r>
      <rPr>
        <rFont val="Poppins, Arial, Helvetica, sans-serif"/>
      </rPr>
      <t>ARI (14)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</si>
  <si>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Mahomes</t>
    </r>
    <r>
      <rPr>
        <rFont val="Roboto, sans-serif"/>
      </rPr>
      <t xml:space="preserve">
KCQB7</t>
    </r>
  </si>
  <si>
    <t>94 -16</t>
  </si>
  <si>
    <r>
      <rPr>
        <rFont val="Poppins, Arial, Helvetica, sans-serif"/>
        <color rgb="FF1155CC"/>
        <u/>
      </rPr>
      <t>Omar Cooper Jr.</t>
    </r>
    <r>
      <rPr>
        <rFont val="Poppins, Arial, Helvetica, sans-serif"/>
      </rPr>
      <t>NYJ (13)</t>
    </r>
  </si>
  <si>
    <t>173 -94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</si>
  <si>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Metcalf</t>
    </r>
    <r>
      <rPr>
        <rFont val="Roboto, sans-serif"/>
      </rPr>
      <t xml:space="preserve">
PITWR31</t>
    </r>
  </si>
  <si>
    <r>
      <rPr>
        <rFont val="Poppins, Arial, Helvetica, sans-serif"/>
        <color rgb="FF1155CC"/>
        <u/>
      </rPr>
      <t>Bhayshul Tuten</t>
    </r>
    <r>
      <rPr>
        <rFont val="Poppins, Arial, Helvetica, sans-serif"/>
      </rPr>
      <t>JAC (7)</t>
    </r>
  </si>
  <si>
    <t>57 +23</t>
  </si>
  <si>
    <r>
      <rPr>
        <rFont val="Poppins, Arial, Helvetica, sans-serif"/>
        <color rgb="FF1155CC"/>
        <u/>
      </rPr>
      <t>Jordan Addison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</si>
  <si>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Skattebo</t>
    </r>
    <r>
      <rPr>
        <rFont val="Roboto, sans-serif"/>
      </rPr>
      <t xml:space="preserve">
NYGRB21</t>
    </r>
  </si>
  <si>
    <t>114 -33</t>
  </si>
  <si>
    <r>
      <rPr>
        <rFont val="Poppins, Arial, Helvetica, sans-serif"/>
        <color rgb="FF1155CC"/>
        <u/>
      </rPr>
      <t>Christian Watson</t>
    </r>
    <r>
      <rPr>
        <rFont val="Poppins, Arial, Helvetica, sans-serif"/>
      </rPr>
      <t>GB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</si>
  <si>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Addison</t>
    </r>
    <r>
      <rPr>
        <rFont val="Roboto, sans-serif"/>
      </rPr>
      <t xml:space="preserve">
MINWR32</t>
    </r>
  </si>
  <si>
    <t>64 +18</t>
  </si>
  <si>
    <r>
      <rPr>
        <rFont val="Poppins, Arial, Helvetica, sans-serif"/>
        <color rgb="FF1155CC"/>
        <u/>
      </rPr>
      <t>Wan'Dale Robinson</t>
    </r>
    <r>
      <rPr>
        <rFont val="Poppins, Arial, Helvetica, sans-serif"/>
      </rPr>
      <t>TEN (9)</t>
    </r>
  </si>
  <si>
    <t>120 -37</t>
  </si>
  <si>
    <r>
      <rPr>
        <rFont val="Poppins, Arial, Helvetica, sans-serif"/>
        <color rgb="FF1155CC"/>
        <u/>
      </rPr>
      <t>D'Andre Swift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</si>
  <si>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McLaurin</t>
    </r>
    <r>
      <rPr>
        <rFont val="Roboto, sans-serif"/>
      </rPr>
      <t xml:space="preserve">
WASWR33</t>
    </r>
  </si>
  <si>
    <t>48 +36</t>
  </si>
  <si>
    <r>
      <rPr>
        <rFont val="Poppins, Arial, Helvetica, sans-serif"/>
        <color rgb="FF1155CC"/>
        <u/>
      </rPr>
      <t>Dalton Kincaid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</si>
  <si>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Pitts</t>
    </r>
    <r>
      <rPr>
        <rFont val="Roboto, sans-serif"/>
      </rPr>
      <t xml:space="preserve">
ATLTE7</t>
    </r>
  </si>
  <si>
    <t>108 -23</t>
  </si>
  <si>
    <r>
      <rPr>
        <rFont val="Poppins, Arial, Helvetica, sans-serif"/>
        <color rgb="FF1155CC"/>
        <u/>
      </rPr>
      <t>Kenyon Sadiq</t>
    </r>
    <r>
      <rPr>
        <rFont val="Poppins, Arial, Helvetica, sans-serif"/>
      </rPr>
      <t>NYJ (13)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</si>
  <si>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Harrison Jr.</t>
    </r>
    <r>
      <rPr>
        <rFont val="Roboto, sans-serif"/>
      </rPr>
      <t xml:space="preserve">
ARIWR34</t>
    </r>
  </si>
  <si>
    <t>167 -81</t>
  </si>
  <si>
    <r>
      <rPr>
        <rFont val="Poppins, Arial, Helvetica, sans-serif"/>
        <color rgb="FF1155CC"/>
        <u/>
      </rPr>
      <t>Kyle Monangai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</si>
  <si>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Herbert</t>
    </r>
    <r>
      <rPr>
        <rFont val="Roboto, sans-serif"/>
      </rPr>
      <t xml:space="preserve">
LACQB8</t>
    </r>
  </si>
  <si>
    <t>88 -1</t>
  </si>
  <si>
    <r>
      <rPr>
        <rFont val="Poppins, Arial, Helvetica, sans-serif"/>
        <color rgb="FF1155CC"/>
        <u/>
      </rPr>
      <t>DJ Moore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</si>
  <si>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Hurts</t>
    </r>
    <r>
      <rPr>
        <rFont val="Roboto, sans-serif"/>
      </rPr>
      <t xml:space="preserve">
PHIQB9</t>
    </r>
  </si>
  <si>
    <t>58 +30</t>
  </si>
  <si>
    <r>
      <rPr>
        <rFont val="Poppins, Arial, Helvetica, sans-serif"/>
        <color rgb="FF1155CC"/>
        <u/>
      </rPr>
      <t>Davante Adams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</si>
  <si>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Evans</t>
    </r>
    <r>
      <rPr>
        <rFont val="Roboto, sans-serif"/>
      </rPr>
      <t xml:space="preserve">
SFWR35</t>
    </r>
  </si>
  <si>
    <t>51 +38</t>
  </si>
  <si>
    <r>
      <rPr>
        <rFont val="Poppins, Arial, Helvetica, sans-serif"/>
        <color rgb="FF1155CC"/>
        <u/>
      </rPr>
      <t>Terry McLaurin</t>
    </r>
    <r>
      <rPr>
        <rFont val="Poppins, Arial, Helvetica, sans-serif"/>
      </rPr>
      <t>WAS (7)</t>
    </r>
  </si>
  <si>
    <t>52 +38</t>
  </si>
  <si>
    <r>
      <rPr>
        <rFont val="Poppins, Arial, Helvetica, sans-serif"/>
        <color rgb="FF1155CC"/>
        <u/>
      </rPr>
      <t>Jake Ferguson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</si>
  <si>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BUFWR36</t>
    </r>
  </si>
  <si>
    <t>117 -26</t>
  </si>
  <si>
    <r>
      <rPr>
        <rFont val="Poppins, Arial, Helvetica, sans-serif"/>
        <color rgb="FF1155CC"/>
        <u/>
      </rPr>
      <t>David Montgomery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</si>
  <si>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LaPorta</t>
    </r>
    <r>
      <rPr>
        <rFont val="Roboto, sans-serif"/>
      </rPr>
      <t xml:space="preserve">
DETTE8</t>
    </r>
  </si>
  <si>
    <t>49 +43</t>
  </si>
  <si>
    <r>
      <rPr>
        <rFont val="Poppins, Arial, Helvetica, sans-serif"/>
        <color rgb="FF1155CC"/>
        <u/>
      </rPr>
      <t>Brenton Strange</t>
    </r>
    <r>
      <rPr>
        <rFont val="Poppins, Arial, Helvetica, sans-serif"/>
      </rPr>
      <t>JAC (7)</t>
    </r>
  </si>
  <si>
    <t>141 -48</t>
  </si>
  <si>
    <r>
      <rPr>
        <rFont val="Poppins, Arial, Helvetica, sans-serif"/>
        <color rgb="FF1155CC"/>
        <u/>
      </rPr>
      <t>Baker Mayfield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</si>
  <si>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lec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Pierce</t>
    </r>
    <r>
      <rPr>
        <rFont val="Roboto, sans-serif"/>
      </rPr>
      <t xml:space="preserve">
INDWR37</t>
    </r>
  </si>
  <si>
    <t>142 -48</t>
  </si>
  <si>
    <r>
      <rPr>
        <rFont val="Poppins, Arial, Helvetica, sans-serif"/>
        <color rgb="FF1155CC"/>
        <u/>
      </rPr>
      <t>Parker Washington</t>
    </r>
    <r>
      <rPr>
        <rFont val="Poppins, Arial, Helvetica, sans-serif"/>
      </rPr>
      <t>JAC (7)</t>
    </r>
  </si>
  <si>
    <t>90 +5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</si>
  <si>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ourtland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Sutton</t>
    </r>
    <r>
      <rPr>
        <rFont val="Roboto, sans-serif"/>
      </rPr>
      <t xml:space="preserve">
DENWR38</t>
    </r>
  </si>
  <si>
    <r>
      <rPr>
        <rFont val="Poppins, Arial, Helvetica, sans-serif"/>
        <color rgb="FF1155CC"/>
        <u/>
      </rPr>
      <t>Travis Hunter</t>
    </r>
    <r>
      <rPr>
        <rFont val="Poppins, Arial, Helvetica, sans-serif"/>
      </rPr>
      <t>JAC (7)</t>
    </r>
  </si>
  <si>
    <t>185 -89</t>
  </si>
  <si>
    <r>
      <rPr>
        <rFont val="Poppins, Arial, Helvetica, sans-serif"/>
        <color rgb="FF1155CC"/>
        <u/>
      </rPr>
      <t>Denzel Boston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</si>
  <si>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avonte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DALRB22</t>
    </r>
  </si>
  <si>
    <t>176 -79</t>
  </si>
  <si>
    <r>
      <rPr>
        <rFont val="Poppins, Arial, Helvetica, sans-serif"/>
        <color rgb="FF1155CC"/>
        <u/>
      </rPr>
      <t>Fernando Mendoza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</si>
  <si>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Worthy</t>
    </r>
    <r>
      <rPr>
        <rFont val="Roboto, sans-serif"/>
      </rPr>
      <t xml:space="preserve">
KCWR39</t>
    </r>
  </si>
  <si>
    <t>220 -122</t>
  </si>
  <si>
    <r>
      <rPr>
        <rFont val="Poppins, Arial, Helvetica, sans-serif"/>
        <color rgb="FF1155CC"/>
        <u/>
      </rPr>
      <t>George Kittle</t>
    </r>
    <r>
      <rPr>
        <rFont val="Poppins, Arial, Helvetica, sans-serif"/>
      </rPr>
      <t>SF (8)</t>
    </r>
  </si>
  <si>
    <t>93 +6</t>
  </si>
  <si>
    <r>
      <rPr>
        <rFont val="Poppins, Arial, Helvetica, sans-serif"/>
        <color rgb="FF1155CC"/>
        <u/>
      </rPr>
      <t>Zach Charbonnet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</si>
  <si>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arker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JACWR40</t>
    </r>
  </si>
  <si>
    <t>131 -31</t>
  </si>
  <si>
    <r>
      <rPr>
        <rFont val="Poppins, Arial, Helvetica, sans-serif"/>
        <color rgb="FF1155CC"/>
        <u/>
      </rPr>
      <t>Jayden Higgins</t>
    </r>
    <r>
      <rPr>
        <rFont val="Poppins, Arial, Helvetica, sans-serif"/>
      </rPr>
      <t>HOU (8)</t>
    </r>
  </si>
  <si>
    <t>137 -36</t>
  </si>
  <si>
    <r>
      <rPr>
        <rFont val="Poppins, Arial, Helvetica, sans-serif"/>
        <color rgb="FF1155CC"/>
        <u/>
      </rPr>
      <t>DK Metcalf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</si>
  <si>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ARIWR41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</si>
  <si>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reVeyon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</t>
    </r>
    <r>
      <rPr>
        <rFont val="Roboto, sans-serif"/>
      </rPr>
      <t xml:space="preserve">
NERB9</t>
    </r>
  </si>
  <si>
    <t>82 +20</t>
  </si>
  <si>
    <r>
      <rPr>
        <rFont val="Poppins, Arial, Helvetica, sans-serif"/>
        <color rgb="FF1155CC"/>
        <u/>
      </rPr>
      <t>Jaylen Warren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</si>
  <si>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ucker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Kraft</t>
    </r>
    <r>
      <rPr>
        <rFont val="Roboto, sans-serif"/>
      </rPr>
      <t xml:space="preserve">
GBTE6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</si>
  <si>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Lawrence</t>
    </r>
    <r>
      <rPr>
        <rFont val="Roboto, sans-serif"/>
      </rPr>
      <t xml:space="preserve">
JACQB10</t>
    </r>
  </si>
  <si>
    <t>67 +36</t>
  </si>
  <si>
    <r>
      <rPr>
        <rFont val="Poppins, Arial, Helvetica, sans-serif"/>
        <color rgb="FF1155CC"/>
        <u/>
      </rPr>
      <t>Michael Pittman Jr.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</si>
  <si>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HOUWR42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</si>
  <si>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 III</t>
    </r>
    <r>
      <rPr>
        <rFont val="Roboto, sans-serif"/>
      </rPr>
      <t xml:space="preserve">
KCRB9</t>
    </r>
  </si>
  <si>
    <t>110 -6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</si>
  <si>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GBWR28</t>
    </r>
  </si>
  <si>
    <r>
      <rPr>
        <rFont val="Poppins, Arial, Helvetica, sans-serif"/>
        <color rgb="FF1155CC"/>
        <u/>
      </rPr>
      <t>Mike Evans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</si>
  <si>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avante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Adams</t>
    </r>
    <r>
      <rPr>
        <rFont val="Roboto, sans-serif"/>
      </rPr>
      <t xml:space="preserve">
LARWR43</t>
    </r>
  </si>
  <si>
    <t>60 +45</t>
  </si>
  <si>
    <r>
      <rPr>
        <rFont val="Poppins, Arial, Helvetica, sans-serif"/>
        <color rgb="FF1155CC"/>
        <u/>
      </rPr>
      <t>Chuba Hubbard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</si>
  <si>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reece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Hall</t>
    </r>
    <r>
      <rPr>
        <rFont val="Roboto, sans-serif"/>
      </rPr>
      <t xml:space="preserve">
NYJRB11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</si>
  <si>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CHIQB6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</si>
  <si>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NYJTE9</t>
    </r>
  </si>
  <si>
    <t>69 +37</t>
  </si>
  <si>
    <r>
      <rPr>
        <rFont val="Poppins, Arial, Helvetica, sans-serif"/>
        <color rgb="FF1155CC"/>
        <u/>
      </rPr>
      <t>Tyler Allgeier</t>
    </r>
    <r>
      <rPr>
        <rFont val="Poppins, Arial, Helvetica, sans-serif"/>
      </rPr>
      <t>ARI (14)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</si>
  <si>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BUFQB1</t>
    </r>
  </si>
  <si>
    <t>RB32</t>
  </si>
  <si>
    <t>133 -26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</si>
  <si>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NORB23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</si>
  <si>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Mahomes</t>
    </r>
    <r>
      <rPr>
        <rFont val="Roboto, sans-serif"/>
      </rPr>
      <t xml:space="preserve">
KCQB7</t>
    </r>
  </si>
  <si>
    <r>
      <rPr>
        <rFont val="Poppins, Arial, Helvetica, sans-serif"/>
        <color rgb="FF1155CC"/>
        <u/>
      </rPr>
      <t>Quentin Johnston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</si>
  <si>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SFRB12</t>
    </r>
  </si>
  <si>
    <t>97 +11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</si>
  <si>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Golden</t>
    </r>
    <r>
      <rPr>
        <rFont val="Roboto, sans-serif"/>
      </rPr>
      <t xml:space="preserve">
GBWR44</t>
    </r>
  </si>
  <si>
    <r>
      <rPr>
        <rFont val="Poppins, Arial, Helvetica, sans-serif"/>
        <color rgb="FF1155CC"/>
        <u/>
      </rPr>
      <t>Courtland Sutton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</si>
  <si>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errick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BALRB20</t>
    </r>
  </si>
  <si>
    <t>85 +24</t>
  </si>
  <si>
    <r>
      <rPr>
        <rFont val="Poppins, Arial, Helvetica, sans-serif"/>
        <color rgb="FF1155CC"/>
        <u/>
      </rPr>
      <t>Matthew Golden</t>
    </r>
    <r>
      <rPr>
        <rFont val="Poppins, Arial, Helvetica, sans-serif"/>
      </rPr>
      <t>GB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</si>
  <si>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Olave</t>
    </r>
    <r>
      <rPr>
        <rFont val="Roboto, sans-serif"/>
      </rPr>
      <t xml:space="preserve">
NOWR13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</si>
  <si>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NYJWR45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</si>
  <si>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Skattebo</t>
    </r>
    <r>
      <rPr>
        <rFont val="Roboto, sans-serif"/>
      </rPr>
      <t xml:space="preserve">
NYGRB21</t>
    </r>
  </si>
  <si>
    <t>130 -20</t>
  </si>
  <si>
    <r>
      <rPr>
        <rFont val="Poppins, Arial, Helvetica, sans-serif"/>
        <color rgb="FF1155CC"/>
        <u/>
      </rPr>
      <t>Blake Corum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</si>
  <si>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uentin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Johnston</t>
    </r>
    <r>
      <rPr>
        <rFont val="Roboto, sans-serif"/>
      </rPr>
      <t xml:space="preserve">
LACWR46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</si>
  <si>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Loveland</t>
    </r>
    <r>
      <rPr>
        <rFont val="Roboto, sans-serif"/>
      </rPr>
      <t xml:space="preserve">
CHITE3</t>
    </r>
  </si>
  <si>
    <t>RB33</t>
  </si>
  <si>
    <t>92 +19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</si>
  <si>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CLEWR29</t>
    </r>
  </si>
  <si>
    <r>
      <rPr>
        <rFont val="Poppins, Arial, Helvetica, sans-serif"/>
        <color rgb="FF1155CC"/>
        <u/>
      </rPr>
      <t>Dak Prescott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</si>
  <si>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Pittman Jr.</t>
    </r>
    <r>
      <rPr>
        <rFont val="Roboto, sans-serif"/>
      </rPr>
      <t xml:space="preserve">
PITWR47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</si>
  <si>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Flowers</t>
    </r>
    <r>
      <rPr>
        <rFont val="Roboto, sans-serif"/>
      </rPr>
      <t xml:space="preserve">
BALWR14</t>
    </r>
  </si>
  <si>
    <t>78 +34</t>
  </si>
  <si>
    <r>
      <rPr>
        <rFont val="Poppins, Arial, Helvetica, sans-serif"/>
        <color rgb="FF1155CC"/>
        <u/>
      </rPr>
      <t>Isaiah Likely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</si>
  <si>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Herbert</t>
    </r>
    <r>
      <rPr>
        <rFont val="Roboto, sans-serif"/>
      </rPr>
      <t xml:space="preserve">
LACQB8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</si>
  <si>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Reed</t>
    </r>
    <r>
      <rPr>
        <rFont val="Roboto, sans-serif"/>
      </rPr>
      <t xml:space="preserve">
GBWR48</t>
    </r>
  </si>
  <si>
    <t>101 +12</t>
  </si>
  <si>
    <r>
      <rPr>
        <rFont val="Poppins, Arial, Helvetica, sans-serif"/>
        <color rgb="FF1155CC"/>
        <u/>
      </rPr>
      <t>Jakobi Meyers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</si>
  <si>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NYJWR15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</si>
  <si>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Hurts</t>
    </r>
    <r>
      <rPr>
        <rFont val="Roboto, sans-serif"/>
      </rPr>
      <t xml:space="preserve">
PHIQB9</t>
    </r>
  </si>
  <si>
    <t>111 +3</t>
  </si>
  <si>
    <r>
      <rPr>
        <rFont val="Poppins, Arial, Helvetica, sans-serif"/>
        <color rgb="FF1155CC"/>
        <u/>
      </rPr>
      <t>Xavier Worthy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</si>
  <si>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Purdy</t>
    </r>
    <r>
      <rPr>
        <rFont val="Roboto, sans-serif"/>
      </rPr>
      <t xml:space="preserve">
SFQB11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</si>
  <si>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</t>
    </r>
    <r>
      <rPr>
        <rFont val="Roboto, sans-serif"/>
      </rPr>
      <t xml:space="preserve">
NEQB2</t>
    </r>
  </si>
  <si>
    <t>122 -7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</si>
  <si>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 Jr.</t>
    </r>
    <r>
      <rPr>
        <rFont val="Roboto, sans-serif"/>
      </rPr>
      <t xml:space="preserve">
JACWR30</t>
    </r>
  </si>
  <si>
    <r>
      <rPr>
        <rFont val="Poppins, Arial, Helvetica, sans-serif"/>
        <color rgb="FF1155CC"/>
        <u/>
      </rPr>
      <t>Rico Dowdle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</si>
  <si>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Doubs</t>
    </r>
    <r>
      <rPr>
        <rFont val="Roboto, sans-serif"/>
      </rPr>
      <t xml:space="preserve">
NEWR49</t>
    </r>
  </si>
  <si>
    <t>RB34</t>
  </si>
  <si>
    <t>74 +42</t>
  </si>
  <si>
    <r>
      <rPr>
        <rFont val="Poppins, Arial, Helvetica, sans-serif"/>
        <color rgb="FF1155CC"/>
        <u/>
      </rPr>
      <t>Eli Stowers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</si>
  <si>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aquon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Barkley</t>
    </r>
    <r>
      <rPr>
        <rFont val="Roboto, sans-serif"/>
      </rPr>
      <t xml:space="preserve">
PHIRB13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</si>
  <si>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McLaurin</t>
    </r>
    <r>
      <rPr>
        <rFont val="Roboto, sans-serif"/>
      </rPr>
      <t xml:space="preserve">
WASWR31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</si>
  <si>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hayshul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Tuten</t>
    </r>
    <r>
      <rPr>
        <rFont val="Roboto, sans-serif"/>
      </rPr>
      <t xml:space="preserve">
JACRB24</t>
    </r>
  </si>
  <si>
    <t>221 -104</t>
  </si>
  <si>
    <r>
      <rPr>
        <rFont val="Poppins, Arial, Helvetica, sans-serif"/>
        <color rgb="FF1155CC"/>
        <u/>
      </rPr>
      <t>Chris Bell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</si>
  <si>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add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McConkey</t>
    </r>
    <r>
      <rPr>
        <rFont val="Roboto, sans-serif"/>
      </rPr>
      <t xml:space="preserve">
LACWR16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</si>
  <si>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Dart</t>
    </r>
    <r>
      <rPr>
        <rFont val="Roboto, sans-serif"/>
      </rPr>
      <t xml:space="preserve">
NYGQB12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</si>
  <si>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Addison</t>
    </r>
    <r>
      <rPr>
        <rFont val="Roboto, sans-serif"/>
      </rPr>
      <t xml:space="preserve">
MINWR32</t>
    </r>
  </si>
  <si>
    <t>271 -153</t>
  </si>
  <si>
    <r>
      <rPr>
        <rFont val="Poppins, Arial, Helvetica, sans-serif"/>
        <color rgb="FF1155CC"/>
        <u/>
      </rPr>
      <t>Romeo Doubs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</si>
  <si>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ronde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Gadsden II</t>
    </r>
    <r>
      <rPr>
        <rFont val="Roboto, sans-serif"/>
      </rPr>
      <t xml:space="preserve">
LACTE10</t>
    </r>
  </si>
  <si>
    <t>127 -8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</si>
  <si>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Rice</t>
    </r>
    <r>
      <rPr>
        <rFont val="Roboto, sans-serif"/>
      </rPr>
      <t xml:space="preserve">
KCWR17</t>
    </r>
  </si>
  <si>
    <r>
      <rPr>
        <rFont val="Poppins, Arial, Helvetica, sans-serif"/>
        <color rgb="FF1155CC"/>
        <u/>
      </rPr>
      <t>Rhamondre Stevenson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</si>
  <si>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Pitts</t>
    </r>
    <r>
      <rPr>
        <rFont val="Roboto, sans-serif"/>
      </rPr>
      <t xml:space="preserve">
ATLTE7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</si>
  <si>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PHITE11</t>
    </r>
  </si>
  <si>
    <t>RB35</t>
  </si>
  <si>
    <t>81 +39</t>
  </si>
  <si>
    <r>
      <rPr>
        <rFont val="Poppins, Arial, Helvetica, sans-serif"/>
        <color rgb="FF1155CC"/>
        <u/>
      </rPr>
      <t>Germie Bernard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</si>
  <si>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Judkins</t>
    </r>
    <r>
      <rPr>
        <rFont val="Roboto, sans-serif"/>
      </rPr>
      <t xml:space="preserve">
CLERB10</t>
    </r>
  </si>
  <si>
    <t>267 -146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</si>
  <si>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Montgomery</t>
    </r>
    <r>
      <rPr>
        <rFont val="Roboto, sans-serif"/>
      </rPr>
      <t xml:space="preserve">
HOURB25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</si>
  <si>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Metcalf</t>
    </r>
    <r>
      <rPr>
        <rFont val="Roboto, sans-serif"/>
      </rPr>
      <t xml:space="preserve">
PITWR33</t>
    </r>
  </si>
  <si>
    <r>
      <rPr>
        <rFont val="Poppins, Arial, Helvetica, sans-serif"/>
        <color rgb="FF1155CC"/>
        <u/>
      </rPr>
      <t>C.J. Stroud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</si>
  <si>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CINWR18</t>
    </r>
  </si>
  <si>
    <t>190 -68</t>
  </si>
  <si>
    <r>
      <rPr>
        <rFont val="Poppins, Arial, Helvetica, sans-serif"/>
        <color rgb="FF1155CC"/>
        <u/>
      </rPr>
      <t>Jayden Reed</t>
    </r>
    <r>
      <rPr>
        <rFont val="Poppins, Arial, Helvetica, sans-serif"/>
      </rPr>
      <t>GB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</si>
  <si>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Meyers</t>
    </r>
    <r>
      <rPr>
        <rFont val="Roboto, sans-serif"/>
      </rPr>
      <t xml:space="preserve">
JACWR50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</si>
  <si>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Lawrence</t>
    </r>
    <r>
      <rPr>
        <rFont val="Roboto, sans-serif"/>
      </rPr>
      <t xml:space="preserve">
JACQB10</t>
    </r>
  </si>
  <si>
    <t>115 +8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</si>
  <si>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TENWR19</t>
    </r>
  </si>
  <si>
    <r>
      <rPr>
        <rFont val="Poppins, Arial, Helvetica, sans-serif"/>
        <color rgb="FF1155CC"/>
        <u/>
      </rPr>
      <t>Mason Taylor</t>
    </r>
    <r>
      <rPr>
        <rFont val="Poppins, Arial, Helvetica, sans-serif"/>
      </rPr>
      <t>NYJ (13)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</si>
  <si>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Kincaid</t>
    </r>
    <r>
      <rPr>
        <rFont val="Roboto, sans-serif"/>
      </rPr>
      <t xml:space="preserve">
BUFTE12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</si>
  <si>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Harrison Jr.</t>
    </r>
    <r>
      <rPr>
        <rFont val="Roboto, sans-serif"/>
      </rPr>
      <t xml:space="preserve">
ARIWR34</t>
    </r>
  </si>
  <si>
    <r>
      <rPr>
        <rFont val="Poppins, Arial, Helvetica, sans-serif"/>
        <color rgb="FF1155CC"/>
        <u/>
      </rPr>
      <t>Jalen Coker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</si>
  <si>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NOWR14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</si>
  <si>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Kittle</t>
    </r>
    <r>
      <rPr>
        <rFont val="Roboto, sans-serif"/>
      </rPr>
      <t xml:space="preserve">
SFTE13</t>
    </r>
  </si>
  <si>
    <t>151 -26</t>
  </si>
  <si>
    <r>
      <rPr>
        <rFont val="Poppins, Arial, Helvetica, sans-serif"/>
        <color rgb="FF1155CC"/>
        <u/>
      </rPr>
      <t>Josh Downs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</si>
  <si>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avonte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DALRB22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</si>
  <si>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WASQB3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</si>
  <si>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'Andre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Swift</t>
    </r>
    <r>
      <rPr>
        <rFont val="Roboto, sans-serif"/>
      </rPr>
      <t xml:space="preserve">
CHIRB26</t>
    </r>
  </si>
  <si>
    <t>WR57</t>
  </si>
  <si>
    <t>105 +21</t>
  </si>
  <si>
    <r>
      <rPr>
        <rFont val="Poppins, Arial, Helvetica, sans-serif"/>
        <color rgb="FF1155CC"/>
        <u/>
      </rPr>
      <t>Jonah Coleman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</si>
  <si>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BUFWR35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</si>
  <si>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DALTE14</t>
    </r>
  </si>
  <si>
    <t>RB36</t>
  </si>
  <si>
    <t>164 -37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</si>
  <si>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CINRB15</t>
    </r>
  </si>
  <si>
    <r>
      <rPr>
        <rFont val="Poppins, Arial, Helvetica, sans-serif"/>
        <color rgb="FF1155CC"/>
        <u/>
      </rPr>
      <t>Chris Brazzell II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</si>
  <si>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arker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JACWR36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</si>
  <si>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Nix</t>
    </r>
    <r>
      <rPr>
        <rFont val="Roboto, sans-serif"/>
      </rPr>
      <t xml:space="preserve">
DENQB13</t>
    </r>
  </si>
  <si>
    <t>WR58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</si>
  <si>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PHIWR16</t>
    </r>
  </si>
  <si>
    <r>
      <rPr>
        <rFont val="Poppins, Arial, Helvetica, sans-serif"/>
        <color rgb="FF1155CC"/>
        <u/>
      </rPr>
      <t>Chris Godwin Jr.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</si>
  <si>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Shaheed</t>
    </r>
    <r>
      <rPr>
        <rFont val="Roboto, sans-serif"/>
      </rPr>
      <t xml:space="preserve">
SEAWR51</t>
    </r>
  </si>
  <si>
    <t>WR59</t>
  </si>
  <si>
    <t>91 +38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</si>
  <si>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Evans</t>
    </r>
    <r>
      <rPr>
        <rFont val="Roboto, sans-serif"/>
      </rPr>
      <t xml:space="preserve">
SFWR37</t>
    </r>
  </si>
  <si>
    <r>
      <rPr>
        <rFont val="Poppins, Arial, Helvetica, sans-serif"/>
        <color rgb="FF1155CC"/>
        <u/>
      </rPr>
      <t>Juwan Johnson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</si>
  <si>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Jacobs</t>
    </r>
    <r>
      <rPr>
        <rFont val="Roboto, sans-serif"/>
      </rPr>
      <t xml:space="preserve">
GBRB15</t>
    </r>
  </si>
  <si>
    <t>WR68</t>
  </si>
  <si>
    <t>157 -27</t>
  </si>
  <si>
    <r>
      <rPr>
        <rFont val="Poppins, Arial, Helvetica, sans-serif"/>
        <color rgb="FF1155CC"/>
        <u/>
      </rPr>
      <t>Woody Marks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</si>
  <si>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Godwin</t>
    </r>
    <r>
      <rPr>
        <rFont val="Roboto, sans-serif"/>
      </rPr>
      <t xml:space="preserve">
TBWR52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</si>
  <si>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lec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Pierce</t>
    </r>
    <r>
      <rPr>
        <rFont val="Roboto, sans-serif"/>
      </rPr>
      <t xml:space="preserve">
INDWR38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</si>
  <si>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NEWR19</t>
    </r>
  </si>
  <si>
    <t>RB37</t>
  </si>
  <si>
    <t>136 -5</t>
  </si>
  <si>
    <r>
      <rPr>
        <rFont val="Poppins, Arial, Helvetica, sans-serif"/>
        <color rgb="FF1155CC"/>
        <u/>
      </rPr>
      <t>J.K. Dobbins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</si>
  <si>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CLEWR53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</si>
  <si>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LaPorta</t>
    </r>
    <r>
      <rPr>
        <rFont val="Roboto, sans-serif"/>
      </rPr>
      <t xml:space="preserve">
DETTE8</t>
    </r>
  </si>
  <si>
    <t>RB38</t>
  </si>
  <si>
    <t>89 +43</t>
  </si>
  <si>
    <r>
      <rPr>
        <rFont val="Poppins, Arial, Helvetica, sans-serif"/>
        <color rgb="FF1155CC"/>
        <u/>
      </rPr>
      <t>AJ Barner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</si>
  <si>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PHIWR23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</si>
  <si>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SFWR54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</si>
  <si>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ARIWR39</t>
    </r>
  </si>
  <si>
    <t>200 -67</t>
  </si>
  <si>
    <r>
      <rPr>
        <rFont val="Poppins, Arial, Helvetica, sans-serif"/>
        <color rgb="FF1155CC"/>
        <u/>
      </rPr>
      <t>Khalil Shakir</t>
    </r>
    <r>
      <rPr>
        <rFont val="Poppins, Arial, Helvetica, sans-serif"/>
      </rPr>
      <t>BUF (7)</t>
    </r>
  </si>
  <si>
    <t>WR86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</si>
  <si>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uther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Burden III</t>
    </r>
    <r>
      <rPr>
        <rFont val="Roboto, sans-serif"/>
      </rPr>
      <t xml:space="preserve">
CHIWR24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</si>
  <si>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halil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Shakir</t>
    </r>
    <r>
      <rPr>
        <rFont val="Roboto, sans-serif"/>
      </rPr>
      <t xml:space="preserve">
BUFWR55</t>
    </r>
  </si>
  <si>
    <t>WR60</t>
  </si>
  <si>
    <t>140 -6</t>
  </si>
  <si>
    <r>
      <rPr>
        <rFont val="Poppins, Arial, Helvetica, sans-serif"/>
        <color rgb="FF1155CC"/>
        <u/>
      </rPr>
      <t>Kenny Gainwell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</si>
  <si>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ourtland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Sutton</t>
    </r>
    <r>
      <rPr>
        <rFont val="Roboto, sans-serif"/>
      </rPr>
      <t xml:space="preserve">
DENWR40</t>
    </r>
  </si>
  <si>
    <t>RB39</t>
  </si>
  <si>
    <t>96 +39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</si>
  <si>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Waddle</t>
    </r>
    <r>
      <rPr>
        <rFont val="Roboto, sans-serif"/>
      </rPr>
      <t xml:space="preserve">
DENWR21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</si>
  <si>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Mason</t>
    </r>
    <r>
      <rPr>
        <rFont val="Roboto, sans-serif"/>
      </rPr>
      <t xml:space="preserve">
MINRB27</t>
    </r>
  </si>
  <si>
    <r>
      <rPr>
        <rFont val="Poppins, Arial, Helvetica, sans-serif"/>
        <color rgb="FF1155CC"/>
        <u/>
      </rPr>
      <t>Jacory Croskey-Merritt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</si>
  <si>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NORB23</t>
    </r>
  </si>
  <si>
    <t>RB40</t>
  </si>
  <si>
    <t>RB46</t>
  </si>
  <si>
    <t>109 +27</t>
  </si>
  <si>
    <r>
      <rPr>
        <rFont val="Poppins, Arial, Helvetica, sans-serif"/>
        <color rgb="FF1155CC"/>
        <u/>
      </rPr>
      <t>Jalen McMillan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</si>
  <si>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hamondre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Stevenson</t>
    </r>
    <r>
      <rPr>
        <rFont val="Roboto, sans-serif"/>
      </rPr>
      <t xml:space="preserve">
NERB28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</si>
  <si>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Irving</t>
    </r>
    <r>
      <rPr>
        <rFont val="Roboto, sans-serif"/>
      </rPr>
      <t xml:space="preserve">
TBRB16</t>
    </r>
  </si>
  <si>
    <t>WR61</t>
  </si>
  <si>
    <t>165 -28</t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</si>
  <si>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Worthy</t>
    </r>
    <r>
      <rPr>
        <rFont val="Roboto, sans-serif"/>
      </rPr>
      <t xml:space="preserve">
KCWR41</t>
    </r>
  </si>
  <si>
    <r>
      <rPr>
        <rFont val="Poppins, Arial, Helvetica, sans-serif"/>
        <color rgb="FF1155CC"/>
        <u/>
      </rPr>
      <t>Elijah Sarratt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</si>
  <si>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Likely</t>
    </r>
    <r>
      <rPr>
        <rFont val="Roboto, sans-serif"/>
      </rPr>
      <t xml:space="preserve">
NYGTE15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</si>
  <si>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DETWR26</t>
    </r>
  </si>
  <si>
    <t>WR62</t>
  </si>
  <si>
    <t>262 -124</t>
  </si>
  <si>
    <r>
      <rPr>
        <rFont val="Poppins, Arial, Helvetica, sans-serif"/>
        <color rgb="FF1155CC"/>
        <u/>
      </rPr>
      <t>Mark Andrews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</si>
  <si>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avante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Adams</t>
    </r>
    <r>
      <rPr>
        <rFont val="Roboto, sans-serif"/>
      </rPr>
      <t xml:space="preserve">
LARWR42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</si>
  <si>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TBWR56</t>
    </r>
  </si>
  <si>
    <t>119 +20</t>
  </si>
  <si>
    <r>
      <rPr>
        <rFont val="Poppins, Arial, Helvetica, sans-serif"/>
        <color rgb="FF1155CC"/>
        <u/>
      </rPr>
      <t>Jonathon Brooks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</si>
  <si>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LARRB17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</si>
  <si>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WASWR57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</si>
  <si>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HOUWR43</t>
    </r>
  </si>
  <si>
    <t>RB41</t>
  </si>
  <si>
    <t>98 +42</t>
  </si>
  <si>
    <r>
      <rPr>
        <rFont val="Poppins, Arial, Helvetica, sans-serif"/>
        <color rgb="FF1155CC"/>
        <u/>
      </rPr>
      <t>Brandon Aiyuk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</si>
  <si>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INDTE4</t>
    </r>
  </si>
  <si>
    <t>WR75</t>
  </si>
  <si>
    <t>WR63</t>
  </si>
  <si>
    <t>222 -81</t>
  </si>
  <si>
    <r>
      <rPr>
        <rFont val="Poppins, Arial, Helvetica, sans-serif"/>
        <color rgb="FF1155CC"/>
        <u/>
      </rPr>
      <t>Trey Benson</t>
    </r>
    <r>
      <rPr>
        <rFont val="Poppins, Arial, Helvetica, sans-serif"/>
      </rPr>
      <t>ARI (14)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</si>
  <si>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Monangai</t>
    </r>
    <r>
      <rPr>
        <rFont val="Roboto, sans-serif"/>
      </rPr>
      <t xml:space="preserve">
CHIRB29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</si>
  <si>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NYJTE9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</si>
  <si>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arold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Fannin Jr.</t>
    </r>
    <r>
      <rPr>
        <rFont val="Roboto, sans-serif"/>
      </rPr>
      <t xml:space="preserve">
CLETE6</t>
    </r>
  </si>
  <si>
    <t>RB42</t>
  </si>
  <si>
    <t>243 -101</t>
  </si>
  <si>
    <r>
      <rPr>
        <rFont val="Poppins, Arial, Helvetica, sans-serif"/>
        <color rgb="FF1155CC"/>
        <u/>
      </rPr>
      <t>Zachariah Branch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</si>
  <si>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Andrews</t>
    </r>
    <r>
      <rPr>
        <rFont val="Roboto, sans-serif"/>
      </rPr>
      <t xml:space="preserve">
BALTE16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</si>
  <si>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Pittman Jr.</t>
    </r>
    <r>
      <rPr>
        <rFont val="Roboto, sans-serif"/>
      </rPr>
      <t xml:space="preserve">
PITWR44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</si>
  <si>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Jackson</t>
    </r>
    <r>
      <rPr>
        <rFont val="Roboto, sans-serif"/>
      </rPr>
      <t xml:space="preserve">
BALQB4</t>
    </r>
  </si>
  <si>
    <t>WR64</t>
  </si>
  <si>
    <t>227 -84</t>
  </si>
  <si>
    <r>
      <rPr>
        <rFont val="Poppins, Arial, Helvetica, sans-serif"/>
        <color rgb="FF1155CC"/>
        <u/>
      </rPr>
      <t>Jauan Jennings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</si>
  <si>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Corum</t>
    </r>
    <r>
      <rPr>
        <rFont val="Roboto, sans-serif"/>
      </rPr>
      <t xml:space="preserve">
LARRB30</t>
    </r>
  </si>
  <si>
    <t>WR65</t>
  </si>
  <si>
    <t>169 -25</t>
  </si>
  <si>
    <r>
      <rPr>
        <rFont val="Poppins, Arial, Helvetica, sans-serif"/>
        <color rgb="FF1155CC"/>
        <u/>
      </rPr>
      <t>Dallas Goedert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</si>
  <si>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Odunze</t>
    </r>
    <r>
      <rPr>
        <rFont val="Roboto, sans-serif"/>
      </rPr>
      <t xml:space="preserve">
CHIWR28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</si>
  <si>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Purdy</t>
    </r>
    <r>
      <rPr>
        <rFont val="Roboto, sans-serif"/>
      </rPr>
      <t xml:space="preserve">
SFQB11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</si>
  <si>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Pearsall</t>
    </r>
    <r>
      <rPr>
        <rFont val="Roboto, sans-serif"/>
      </rPr>
      <t xml:space="preserve">
SFWR58</t>
    </r>
  </si>
  <si>
    <t>112 +33</t>
  </si>
  <si>
    <r>
      <rPr>
        <rFont val="Poppins, Arial, Helvetica, sans-serif"/>
        <color rgb="FF1155CC"/>
        <u/>
      </rPr>
      <t>T.J. Hockenson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</si>
  <si>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Burrow</t>
    </r>
    <r>
      <rPr>
        <rFont val="Roboto, sans-serif"/>
      </rPr>
      <t xml:space="preserve">
CINQB5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</si>
  <si>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Dart</t>
    </r>
    <r>
      <rPr>
        <rFont val="Roboto, sans-serif"/>
      </rPr>
      <t xml:space="preserve">
NYGQB12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</si>
  <si>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uwan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NOTE17</t>
    </r>
  </si>
  <si>
    <t>171 -25</t>
  </si>
  <si>
    <r>
      <rPr>
        <rFont val="Poppins, Arial, Helvetica, sans-serif"/>
        <color rgb="FF1155CC"/>
        <u/>
      </rPr>
      <t>Terrance Ferguson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</si>
  <si>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SEARB19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</si>
  <si>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Golden</t>
    </r>
    <r>
      <rPr>
        <rFont val="Roboto, sans-serif"/>
      </rPr>
      <t xml:space="preserve">
GBWR45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</si>
  <si>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Prescott</t>
    </r>
    <r>
      <rPr>
        <rFont val="Roboto, sans-serif"/>
      </rPr>
      <t xml:space="preserve">
DALQB14</t>
    </r>
  </si>
  <si>
    <t>234 -87</t>
  </si>
  <si>
    <r>
      <rPr>
        <rFont val="Poppins, Arial, Helvetica, sans-serif"/>
        <color rgb="FF1155CC"/>
        <u/>
      </rPr>
      <t>Emmett Johnson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</si>
  <si>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Coker</t>
    </r>
    <r>
      <rPr>
        <rFont val="Roboto, sans-serif"/>
      </rPr>
      <t xml:space="preserve">
CARWR59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</si>
  <si>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CHIQB6</t>
    </r>
  </si>
  <si>
    <t>RB43</t>
  </si>
  <si>
    <t>189 -41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</si>
  <si>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Nix</t>
    </r>
    <r>
      <rPr>
        <rFont val="Roboto, sans-serif"/>
      </rPr>
      <t xml:space="preserve">
DENQB13</t>
    </r>
  </si>
  <si>
    <r>
      <rPr>
        <rFont val="Poppins, Arial, Helvetica, sans-serif"/>
        <color rgb="FF1155CC"/>
        <u/>
      </rPr>
      <t>Tre' Harris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</si>
  <si>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PITWR60</t>
    </r>
  </si>
  <si>
    <t>WR66</t>
  </si>
  <si>
    <t>210 -61</t>
  </si>
  <si>
    <r>
      <rPr>
        <rFont val="Poppins, Arial, Helvetica, sans-serif"/>
        <color rgb="FF1155CC"/>
        <u/>
      </rPr>
      <t>Gunnar Helm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</si>
  <si>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ucker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Kraft</t>
    </r>
    <r>
      <rPr>
        <rFont val="Roboto, sans-serif"/>
      </rPr>
      <t xml:space="preserve">
GBTE6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</si>
  <si>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hayshul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Tuten</t>
    </r>
    <r>
      <rPr>
        <rFont val="Roboto, sans-serif"/>
      </rPr>
      <t xml:space="preserve">
JACRB24</t>
    </r>
  </si>
  <si>
    <t>235 -85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</si>
  <si>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errance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LARTE18</t>
    </r>
  </si>
  <si>
    <r>
      <rPr>
        <rFont val="Poppins, Arial, Helvetica, sans-serif"/>
        <color rgb="FF1155CC"/>
        <u/>
      </rPr>
      <t>Michael Penix Jr.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</si>
  <si>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Mahomes</t>
    </r>
    <r>
      <rPr>
        <rFont val="Roboto, sans-serif"/>
      </rPr>
      <t xml:space="preserve">
KCQB7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</si>
  <si>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NYJWR46</t>
    </r>
  </si>
  <si>
    <r>
      <rPr>
        <rFont val="Poppins, Arial, Helvetica, sans-serif"/>
        <color rgb="FF1155CC"/>
        <u/>
      </rPr>
      <t>Tony Pollard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</si>
  <si>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BALWR61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</si>
  <si>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Skattebo</t>
    </r>
    <r>
      <rPr>
        <rFont val="Roboto, sans-serif"/>
      </rPr>
      <t xml:space="preserve">
NYGRB21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</si>
  <si>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'Andre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Swift</t>
    </r>
    <r>
      <rPr>
        <rFont val="Roboto, sans-serif"/>
      </rPr>
      <t xml:space="preserve">
CHIRB25</t>
    </r>
  </si>
  <si>
    <t>RB44</t>
  </si>
  <si>
    <t>75 +77</t>
  </si>
  <si>
    <t>WR82</t>
  </si>
  <si>
    <r>
      <rPr>
        <rFont val="Poppins, Arial, Helvetica, sans-serif"/>
        <color rgb="FF1155CC"/>
        <u/>
      </rPr>
      <t>Jordan Mason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</si>
  <si>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Dobbins</t>
    </r>
    <r>
      <rPr>
        <rFont val="Roboto, sans-serif"/>
      </rPr>
      <t xml:space="preserve">
DENRB31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</si>
  <si>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GBWR28</t>
    </r>
  </si>
  <si>
    <t>RB45</t>
  </si>
  <si>
    <t>104 +49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</si>
  <si>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halil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Shakir</t>
    </r>
    <r>
      <rPr>
        <rFont val="Roboto, sans-serif"/>
      </rPr>
      <t xml:space="preserve">
BUFWR47</t>
    </r>
  </si>
  <si>
    <r>
      <rPr>
        <rFont val="Poppins, Arial, Helvetica, sans-serif"/>
        <color rgb="FF1155CC"/>
        <u/>
      </rPr>
      <t>Travis Kelce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</si>
  <si>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Noel</t>
    </r>
    <r>
      <rPr>
        <rFont val="Roboto, sans-serif"/>
      </rPr>
      <t xml:space="preserve">
HOUWR62</t>
    </r>
  </si>
  <si>
    <t>103 +51</t>
  </si>
  <si>
    <r>
      <rPr>
        <rFont val="Poppins, Arial, Helvetica, sans-serif"/>
        <color rgb="FF1155CC"/>
        <u/>
      </rPr>
      <t>Rashid Shaheed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</si>
  <si>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Herbert</t>
    </r>
    <r>
      <rPr>
        <rFont val="Roboto, sans-serif"/>
      </rPr>
      <t xml:space="preserve">
LACQB8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</si>
  <si>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Montgomery</t>
    </r>
    <r>
      <rPr>
        <rFont val="Roboto, sans-serif"/>
      </rPr>
      <t xml:space="preserve">
HOURB26</t>
    </r>
  </si>
  <si>
    <t>WR81</t>
  </si>
  <si>
    <t>WR67</t>
  </si>
  <si>
    <t>135 +20</t>
  </si>
  <si>
    <r>
      <rPr>
        <rFont val="Poppins, Arial, Helvetica, sans-serif"/>
        <color rgb="FF1155CC"/>
        <u/>
      </rPr>
      <t>Jordan Love</t>
    </r>
    <r>
      <rPr>
        <rFont val="Poppins, Arial, Helvetica, sans-serif"/>
      </rPr>
      <t>GB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</si>
  <si>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huba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Hubbard</t>
    </r>
    <r>
      <rPr>
        <rFont val="Roboto, sans-serif"/>
      </rPr>
      <t xml:space="preserve">
CARRB32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</si>
  <si>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Hurts</t>
    </r>
    <r>
      <rPr>
        <rFont val="Roboto, sans-serif"/>
      </rPr>
      <t xml:space="preserve">
PHIQB9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</si>
  <si>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Prescott</t>
    </r>
    <r>
      <rPr>
        <rFont val="Roboto, sans-serif"/>
      </rPr>
      <t xml:space="preserve">
DALQB14</t>
    </r>
  </si>
  <si>
    <r>
      <rPr>
        <rFont val="Poppins, Arial, Helvetica, sans-serif"/>
        <color rgb="FF1155CC"/>
        <u/>
      </rPr>
      <t>Jared Goff</t>
    </r>
    <r>
      <rPr>
        <rFont val="Poppins, Arial, Helvetica, sans-serif"/>
      </rPr>
      <t>DET (6)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</si>
  <si>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Strange</t>
    </r>
    <r>
      <rPr>
        <rFont val="Roboto, sans-serif"/>
      </rPr>
      <t xml:space="preserve">
JACTE19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</si>
  <si>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CLEWR29</t>
    </r>
  </si>
  <si>
    <t>QB20</t>
  </si>
  <si>
    <t>124 +33</t>
  </si>
  <si>
    <r>
      <rPr>
        <rFont val="Poppins, Arial, Helvetica, sans-serif"/>
        <color rgb="FF1155CC"/>
        <u/>
      </rPr>
      <t>Pat Bryant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</si>
  <si>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Doubs</t>
    </r>
    <r>
      <rPr>
        <rFont val="Roboto, sans-serif"/>
      </rPr>
      <t xml:space="preserve">
NEWR48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</si>
  <si>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Harvey</t>
    </r>
    <r>
      <rPr>
        <rFont val="Roboto, sans-serif"/>
      </rPr>
      <t xml:space="preserve">
DENRB33</t>
    </r>
  </si>
  <si>
    <t>253 -95</t>
  </si>
  <si>
    <r>
      <rPr>
        <rFont val="Poppins, Arial, Helvetica, sans-serif"/>
        <color rgb="FF1155CC"/>
        <u/>
      </rPr>
      <t>Troy Franklin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</si>
  <si>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errick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BALRB21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</si>
  <si>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Pollard</t>
    </r>
    <r>
      <rPr>
        <rFont val="Roboto, sans-serif"/>
      </rPr>
      <t xml:space="preserve">
TENRB34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</si>
  <si>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uentin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Johnston</t>
    </r>
    <r>
      <rPr>
        <rFont val="Roboto, sans-serif"/>
      </rPr>
      <t xml:space="preserve">
LACWR49</t>
    </r>
  </si>
  <si>
    <t>WR69</t>
  </si>
  <si>
    <t>264 -105</t>
  </si>
  <si>
    <r>
      <rPr>
        <rFont val="Poppins, Arial, Helvetica, sans-serif"/>
        <color rgb="FF1155CC"/>
        <u/>
      </rPr>
      <t>Daniel Jones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</si>
  <si>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JACWR63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</si>
  <si>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Lawrence</t>
    </r>
    <r>
      <rPr>
        <rFont val="Roboto, sans-serif"/>
      </rPr>
      <t xml:space="preserve">
JACQB10</t>
    </r>
  </si>
  <si>
    <t>QB21</t>
  </si>
  <si>
    <t>212 -52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</si>
  <si>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an'Dale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TENWR50</t>
    </r>
  </si>
  <si>
    <r>
      <rPr>
        <rFont val="Poppins, Arial, Helvetica, sans-serif"/>
        <color rgb="FF1155CC"/>
        <u/>
      </rPr>
      <t>Matthew Stafford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</si>
  <si>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LACWR64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</si>
  <si>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McLaurin</t>
    </r>
    <r>
      <rPr>
        <rFont val="Roboto, sans-serif"/>
      </rPr>
      <t xml:space="preserve">
WASWR33</t>
    </r>
  </si>
  <si>
    <t>QB22</t>
  </si>
  <si>
    <t>116 +45</t>
  </si>
  <si>
    <r>
      <rPr>
        <rFont val="Poppins, Arial, Helvetica, sans-serif"/>
        <color rgb="FF1155CC"/>
        <u/>
      </rPr>
      <t>Theo Johnson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</si>
  <si>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Reed</t>
    </r>
    <r>
      <rPr>
        <rFont val="Roboto, sans-serif"/>
      </rPr>
      <t xml:space="preserve">
GBWR51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</si>
  <si>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Croskey-Merritt</t>
    </r>
    <r>
      <rPr>
        <rFont val="Roboto, sans-serif"/>
      </rPr>
      <t xml:space="preserve">
WASRB35</t>
    </r>
  </si>
  <si>
    <r>
      <rPr>
        <rFont val="Poppins, Arial, Helvetica, sans-serif"/>
        <color rgb="FF1155CC"/>
        <u/>
      </rPr>
      <t>Dalton Schultz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</si>
  <si>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 Jr.</t>
    </r>
    <r>
      <rPr>
        <rFont val="Roboto, sans-serif"/>
      </rPr>
      <t xml:space="preserve">
JACWR31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</si>
  <si>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Harvey</t>
    </r>
    <r>
      <rPr>
        <rFont val="Roboto, sans-serif"/>
      </rPr>
      <t xml:space="preserve">
DENRB27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</si>
  <si>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Arroyo</t>
    </r>
    <r>
      <rPr>
        <rFont val="Roboto, sans-serif"/>
      </rPr>
      <t xml:space="preserve">
SEATE20</t>
    </r>
  </si>
  <si>
    <t>193 -30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</si>
  <si>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avonte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DALRB22</t>
    </r>
  </si>
  <si>
    <r>
      <rPr>
        <rFont val="Poppins, Arial, Helvetica, sans-serif"/>
        <color rgb="FF1155CC"/>
        <u/>
      </rPr>
      <t>Hunter Henry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</si>
  <si>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Meyers</t>
    </r>
    <r>
      <rPr>
        <rFont val="Roboto, sans-serif"/>
      </rPr>
      <t xml:space="preserve">
JACWR52</t>
    </r>
  </si>
  <si>
    <t>TE35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</si>
  <si>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Goedert</t>
    </r>
    <r>
      <rPr>
        <rFont val="Roboto, sans-serif"/>
      </rPr>
      <t xml:space="preserve">
PHITE21</t>
    </r>
  </si>
  <si>
    <t>162 +2</t>
  </si>
  <si>
    <r>
      <rPr>
        <rFont val="Poppins, Arial, Helvetica, sans-serif"/>
        <color rgb="FF1155CC"/>
        <u/>
      </rPr>
      <t>Tyrone Tracy Jr.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</si>
  <si>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Pitts</t>
    </r>
    <r>
      <rPr>
        <rFont val="Roboto, sans-serif"/>
      </rPr>
      <t xml:space="preserve">
ATLTE7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</si>
  <si>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hamondre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Stevenson</t>
    </r>
    <r>
      <rPr>
        <rFont val="Roboto, sans-serif"/>
      </rPr>
      <t xml:space="preserve">
NERB28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</si>
  <si>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GBQB15</t>
    </r>
  </si>
  <si>
    <t>128 +37</t>
  </si>
  <si>
    <r>
      <rPr>
        <rFont val="Poppins, Arial, Helvetica, sans-serif"/>
        <color rgb="FF1155CC"/>
        <u/>
      </rPr>
      <t>Rachaad White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</si>
  <si>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Addison</t>
    </r>
    <r>
      <rPr>
        <rFont val="Roboto, sans-serif"/>
      </rPr>
      <t xml:space="preserve">
MINWR32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</si>
  <si>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Kincaid</t>
    </r>
    <r>
      <rPr>
        <rFont val="Roboto, sans-serif"/>
      </rPr>
      <t xml:space="preserve">
BUFTE10</t>
    </r>
  </si>
  <si>
    <t>RB47</t>
  </si>
  <si>
    <t>100 +66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</si>
  <si>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an'Dale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TENWR65</t>
    </r>
  </si>
  <si>
    <r>
      <rPr>
        <rFont val="Poppins, Arial, Helvetica, sans-serif"/>
        <color rgb="FF1155CC"/>
        <u/>
      </rPr>
      <t>Kayshon Boutte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</si>
  <si>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NORB23</t>
    </r>
  </si>
  <si>
    <t>WR70</t>
  </si>
  <si>
    <t>215 -48</t>
  </si>
  <si>
    <r>
      <rPr>
        <rFont val="Poppins, Arial, Helvetica, sans-serif"/>
        <color rgb="FF1155CC"/>
        <u/>
      </rPr>
      <t>Chig Okonkwo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</si>
  <si>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ronde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Gadsden II</t>
    </r>
    <r>
      <rPr>
        <rFont val="Roboto, sans-serif"/>
      </rPr>
      <t xml:space="preserve">
LACTE11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</si>
  <si>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Downs</t>
    </r>
    <r>
      <rPr>
        <rFont val="Roboto, sans-serif"/>
      </rPr>
      <t xml:space="preserve">
INDWR66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</si>
  <si>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Harrison Jr.</t>
    </r>
    <r>
      <rPr>
        <rFont val="Roboto, sans-serif"/>
      </rPr>
      <t xml:space="preserve">
ARIWR34</t>
    </r>
  </si>
  <si>
    <t>152 +16</t>
  </si>
  <si>
    <r>
      <rPr>
        <rFont val="Poppins, Arial, Helvetica, sans-serif"/>
        <color rgb="FF1155CC"/>
        <u/>
      </rPr>
      <t>Braelon Allen</t>
    </r>
    <r>
      <rPr>
        <rFont val="Poppins, Arial, Helvetica, sans-serif"/>
      </rPr>
      <t>NYJ (13)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</si>
  <si>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Kelce</t>
    </r>
    <r>
      <rPr>
        <rFont val="Roboto, sans-serif"/>
      </rPr>
      <t xml:space="preserve">
KCTE22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</si>
  <si>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PITRB29</t>
    </r>
  </si>
  <si>
    <t>RB48</t>
  </si>
  <si>
    <t>180 -11</t>
  </si>
  <si>
    <r>
      <rPr>
        <rFont val="Poppins, Arial, Helvetica, sans-serif"/>
        <color rgb="FF1155CC"/>
        <u/>
      </rPr>
      <t>Nicholas Singleton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</si>
  <si>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arker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JACWR34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</si>
  <si>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BALWR67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</si>
  <si>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Godwin</t>
    </r>
    <r>
      <rPr>
        <rFont val="Roboto, sans-serif"/>
      </rPr>
      <t xml:space="preserve">
TBWR53</t>
    </r>
  </si>
  <si>
    <t>RB49</t>
  </si>
  <si>
    <t>194 -24</t>
  </si>
  <si>
    <r>
      <rPr>
        <rFont val="Poppins, Arial, Helvetica, sans-serif"/>
        <color rgb="FF1155CC"/>
        <u/>
      </rPr>
      <t>Chimere Dike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</si>
  <si>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unter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NETE23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</si>
  <si>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BUFWR36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</si>
  <si>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GBQB15</t>
    </r>
  </si>
  <si>
    <t>WR71</t>
  </si>
  <si>
    <r>
      <rPr>
        <rFont val="Poppins, Arial, Helvetica, sans-serif"/>
        <color rgb="FF1155CC"/>
        <u/>
      </rPr>
      <t>Ty Simpson</t>
    </r>
    <r>
      <rPr>
        <rFont val="Poppins, Arial, Helvetica, sans-serif"/>
      </rPr>
      <t>LAR (11)</t>
    </r>
  </si>
  <si>
    <t>QB23</t>
  </si>
  <si>
    <r>
      <rPr>
        <rFont val="Poppins, Arial, Helvetica, sans-serif"/>
        <color rgb="FF1155CC"/>
        <u/>
      </rPr>
      <t>David Njoku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</si>
  <si>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Metcalf</t>
    </r>
    <r>
      <rPr>
        <rFont val="Roboto, sans-serif"/>
      </rPr>
      <t xml:space="preserve">
PITWR36</t>
    </r>
  </si>
  <si>
    <t>203 -30</t>
  </si>
  <si>
    <r>
      <rPr>
        <rFont val="Poppins, Arial, Helvetica, sans-serif"/>
        <color rgb="FF1155CC"/>
        <u/>
      </rPr>
      <t>Antonio Williams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</si>
  <si>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CLEWR54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</si>
  <si>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Purdy</t>
    </r>
    <r>
      <rPr>
        <rFont val="Roboto, sans-serif"/>
      </rPr>
      <t xml:space="preserve">
SFQB11</t>
    </r>
  </si>
  <si>
    <t>WR72</t>
  </si>
  <si>
    <t>192 -18</t>
  </si>
  <si>
    <r>
      <rPr>
        <rFont val="Poppins, Arial, Helvetica, sans-serif"/>
        <color rgb="FF1155CC"/>
        <u/>
      </rPr>
      <t>Jerry Jeudy</t>
    </r>
    <r>
      <rPr>
        <rFont val="Poppins, Arial, Helvetica, sans-serif"/>
      </rPr>
      <t>CLE (11)</t>
    </r>
  </si>
  <si>
    <t>WR73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</si>
  <si>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ARIWR37</t>
    </r>
  </si>
  <si>
    <t>174 +1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</si>
  <si>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PHITE12</t>
    </r>
  </si>
  <si>
    <r>
      <rPr>
        <rFont val="Poppins, Arial, Helvetica, sans-serif"/>
        <color rgb="FF1155CC"/>
        <u/>
      </rPr>
      <t>Isaac TeSlaa</t>
    </r>
    <r>
      <rPr>
        <rFont val="Poppins, Arial, Helvetica, sans-serif"/>
      </rPr>
      <t>DET (6)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</si>
  <si>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PITRB36</t>
    </r>
  </si>
  <si>
    <t>WR74</t>
  </si>
  <si>
    <t>219 -43</t>
  </si>
  <si>
    <r>
      <rPr>
        <rFont val="Poppins, Arial, Helvetica, sans-serif"/>
        <color rgb="FF1155CC"/>
        <u/>
      </rPr>
      <t>Sam Darnold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</si>
  <si>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Dart</t>
    </r>
    <r>
      <rPr>
        <rFont val="Roboto, sans-serif"/>
      </rPr>
      <t xml:space="preserve">
NYGQB12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</si>
  <si>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huba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Hubbard</t>
    </r>
    <r>
      <rPr>
        <rFont val="Roboto, sans-serif"/>
      </rPr>
      <t xml:space="preserve">
CARRB30</t>
    </r>
  </si>
  <si>
    <t>QB24</t>
  </si>
  <si>
    <t>172 +5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</si>
  <si>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Barner</t>
    </r>
    <r>
      <rPr>
        <rFont val="Roboto, sans-serif"/>
      </rPr>
      <t xml:space="preserve">
SEATE24</t>
    </r>
  </si>
  <si>
    <r>
      <rPr>
        <rFont val="Poppins, Arial, Helvetica, sans-serif"/>
        <color rgb="FF1155CC"/>
        <u/>
      </rPr>
      <t>Tyjae Spears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</si>
  <si>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avante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Adams</t>
    </r>
    <r>
      <rPr>
        <rFont val="Roboto, sans-serif"/>
      </rPr>
      <t xml:space="preserve">
LARWR38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</si>
  <si>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DALTE13</t>
    </r>
  </si>
  <si>
    <t>RB50</t>
  </si>
  <si>
    <t>145 +33</t>
  </si>
  <si>
    <r>
      <rPr>
        <rFont val="Poppins, Arial, Helvetica, sans-serif"/>
        <color rgb="FF1155CC"/>
        <u/>
      </rPr>
      <t>Dylan Sampson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</si>
  <si>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unnar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Helm</t>
    </r>
    <r>
      <rPr>
        <rFont val="Roboto, sans-serif"/>
      </rPr>
      <t xml:space="preserve">
TENTE25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</si>
  <si>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lec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Pierce</t>
    </r>
    <r>
      <rPr>
        <rFont val="Roboto, sans-serif"/>
      </rPr>
      <t xml:space="preserve">
INDWR37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</si>
  <si>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Mason</t>
    </r>
    <r>
      <rPr>
        <rFont val="Roboto, sans-serif"/>
      </rPr>
      <t xml:space="preserve">
MINRB31</t>
    </r>
  </si>
  <si>
    <t>RB51</t>
  </si>
  <si>
    <t>163 +16</t>
  </si>
  <si>
    <r>
      <rPr>
        <rFont val="Poppins, Arial, Helvetica, sans-serif"/>
        <color rgb="FF1155CC"/>
        <u/>
      </rPr>
      <t>Malachi Fields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</si>
  <si>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Dowdle</t>
    </r>
    <r>
      <rPr>
        <rFont val="Roboto, sans-serif"/>
      </rPr>
      <t xml:space="preserve">
PITRB37</t>
    </r>
  </si>
  <si>
    <t>202 -22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</si>
  <si>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Pittman Jr.</t>
    </r>
    <r>
      <rPr>
        <rFont val="Roboto, sans-serif"/>
      </rPr>
      <t xml:space="preserve">
PITWR40</t>
    </r>
  </si>
  <si>
    <r>
      <rPr>
        <rFont val="Poppins, Arial, Helvetica, sans-serif"/>
        <color rgb="FF1155CC"/>
        <u/>
      </rPr>
      <t>Elic Ayomanor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</si>
  <si>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Pollard</t>
    </r>
    <r>
      <rPr>
        <rFont val="Roboto, sans-serif"/>
      </rPr>
      <t xml:space="preserve">
TENRB32</t>
    </r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</si>
  <si>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LVRQB16</t>
    </r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</si>
  <si>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Worthy</t>
    </r>
    <r>
      <rPr>
        <rFont val="Roboto, sans-serif"/>
      </rPr>
      <t xml:space="preserve">
KCWR39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</si>
  <si>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Charbonnet</t>
    </r>
    <r>
      <rPr>
        <rFont val="Roboto, sans-serif"/>
      </rPr>
      <t xml:space="preserve">
SEARB38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</si>
  <si>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Monangai</t>
    </r>
    <r>
      <rPr>
        <rFont val="Roboto, sans-serif"/>
      </rPr>
      <t xml:space="preserve">
CHIRB33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</si>
  <si>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higoziem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Okonkwo</t>
    </r>
    <r>
      <rPr>
        <rFont val="Roboto, sans-serif"/>
      </rPr>
      <t xml:space="preserve">
WASTE26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</si>
  <si>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HOUWR42</t>
    </r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</si>
  <si>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LVRQB16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</si>
  <si>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Stroud</t>
    </r>
    <r>
      <rPr>
        <rFont val="Roboto, sans-serif"/>
      </rPr>
      <t xml:space="preserve">
HOUQB17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</si>
  <si>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Evans</t>
    </r>
    <r>
      <rPr>
        <rFont val="Roboto, sans-serif"/>
      </rPr>
      <t xml:space="preserve">
SFWR43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</si>
  <si>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Shaheed</t>
    </r>
    <r>
      <rPr>
        <rFont val="Roboto, sans-serif"/>
      </rPr>
      <t xml:space="preserve">
SEAWR55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</si>
  <si>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Freiermuth</t>
    </r>
    <r>
      <rPr>
        <rFont val="Roboto, sans-serif"/>
      </rPr>
      <t xml:space="preserve">
PITTE27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</si>
  <si>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Nix</t>
    </r>
    <r>
      <rPr>
        <rFont val="Roboto, sans-serif"/>
      </rPr>
      <t xml:space="preserve">
DENQB13</t>
    </r>
  </si>
  <si>
    <t>TE32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</si>
  <si>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Stroud</t>
    </r>
    <r>
      <rPr>
        <rFont val="Roboto, sans-serif"/>
      </rPr>
      <t xml:space="preserve">
HOUQB17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</si>
  <si>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roy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Franklin</t>
    </r>
    <r>
      <rPr>
        <rFont val="Roboto, sans-serif"/>
      </rPr>
      <t xml:space="preserve">
DENWR68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</si>
  <si>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NYJTE9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</si>
  <si>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Corum</t>
    </r>
    <r>
      <rPr>
        <rFont val="Roboto, sans-serif"/>
      </rPr>
      <t xml:space="preserve">
LARRB34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</si>
  <si>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Mayfield</t>
    </r>
    <r>
      <rPr>
        <rFont val="Roboto, sans-serif"/>
      </rPr>
      <t xml:space="preserve">
TBQB18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</si>
  <si>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ourtland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Sutton</t>
    </r>
    <r>
      <rPr>
        <rFont val="Roboto, sans-serif"/>
      </rPr>
      <t xml:space="preserve">
DENWR44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</si>
  <si>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Charbonnet</t>
    </r>
    <r>
      <rPr>
        <rFont val="Roboto, sans-serif"/>
      </rPr>
      <t xml:space="preserve">
SEARB35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</si>
  <si>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Murray</t>
    </r>
    <r>
      <rPr>
        <rFont val="Roboto, sans-serif"/>
      </rPr>
      <t xml:space="preserve">
MINQB19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</si>
  <si>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LaPorta</t>
    </r>
    <r>
      <rPr>
        <rFont val="Roboto, sans-serif"/>
      </rPr>
      <t xml:space="preserve">
DETTE9</t>
    </r>
  </si>
  <si>
    <t>QB28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</si>
  <si>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Kittle</t>
    </r>
    <r>
      <rPr>
        <rFont val="Roboto, sans-serif"/>
      </rPr>
      <t xml:space="preserve">
SFTE14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</si>
  <si>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Mayer</t>
    </r>
    <r>
      <rPr>
        <rFont val="Roboto, sans-serif"/>
      </rPr>
      <t xml:space="preserve">
LVRTE28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</si>
  <si>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halil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Shakir</t>
    </r>
    <r>
      <rPr>
        <rFont val="Roboto, sans-serif"/>
      </rPr>
      <t xml:space="preserve">
BUFWR45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</si>
  <si>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SFWR56</t>
    </r>
  </si>
  <si>
    <t>TE37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</si>
  <si>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CARWR69</t>
    </r>
  </si>
  <si>
    <t>WR76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</si>
  <si>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an'Dale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TENWR46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</si>
  <si>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Downs</t>
    </r>
    <r>
      <rPr>
        <rFont val="Roboto, sans-serif"/>
      </rPr>
      <t xml:space="preserve">
INDWR57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</si>
  <si>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Schultz</t>
    </r>
    <r>
      <rPr>
        <rFont val="Roboto, sans-serif"/>
      </rPr>
      <t xml:space="preserve">
HOUTE29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</si>
  <si>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Harvey</t>
    </r>
    <r>
      <rPr>
        <rFont val="Roboto, sans-serif"/>
      </rPr>
      <t xml:space="preserve">
DENRB24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</si>
  <si>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Mayfield</t>
    </r>
    <r>
      <rPr>
        <rFont val="Roboto, sans-serif"/>
      </rPr>
      <t xml:space="preserve">
TBQB18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</si>
  <si>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Goff</t>
    </r>
    <r>
      <rPr>
        <rFont val="Roboto, sans-serif"/>
      </rPr>
      <t xml:space="preserve">
DETQB20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</si>
  <si>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hayshul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Tuten</t>
    </r>
    <r>
      <rPr>
        <rFont val="Roboto, sans-serif"/>
      </rPr>
      <t xml:space="preserve">
JACRB25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</si>
  <si>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Dobbins</t>
    </r>
    <r>
      <rPr>
        <rFont val="Roboto, sans-serif"/>
      </rPr>
      <t xml:space="preserve">
DENRB36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</si>
  <si>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Brooks</t>
    </r>
    <r>
      <rPr>
        <rFont val="Roboto, sans-serif"/>
      </rPr>
      <t xml:space="preserve">
CARRB39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</si>
  <si>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Prescott</t>
    </r>
    <r>
      <rPr>
        <rFont val="Roboto, sans-serif"/>
      </rPr>
      <t xml:space="preserve">
DALQB14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</si>
  <si>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oody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Marks</t>
    </r>
    <r>
      <rPr>
        <rFont val="Roboto, sans-serif"/>
      </rPr>
      <t xml:space="preserve">
HOURB40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</si>
  <si>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Murray</t>
    </r>
    <r>
      <rPr>
        <rFont val="Roboto, sans-serif"/>
      </rPr>
      <t xml:space="preserve">
MINQB19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</si>
  <si>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TBWR70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</si>
  <si>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'Andre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Swift</t>
    </r>
    <r>
      <rPr>
        <rFont val="Roboto, sans-serif"/>
      </rPr>
      <t xml:space="preserve">
CHIRB26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</si>
  <si>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Goff</t>
    </r>
    <r>
      <rPr>
        <rFont val="Roboto, sans-serif"/>
      </rPr>
      <t xml:space="preserve">
DETQB20</t>
    </r>
  </si>
  <si>
    <t>WR87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</si>
  <si>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Shough</t>
    </r>
    <r>
      <rPr>
        <rFont val="Roboto, sans-serif"/>
      </rPr>
      <t xml:space="preserve">
NOQB21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</si>
  <si>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PITRB27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</si>
  <si>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Croskey-Merritt</t>
    </r>
    <r>
      <rPr>
        <rFont val="Roboto, sans-serif"/>
      </rPr>
      <t xml:space="preserve">
WASRB37</t>
    </r>
  </si>
  <si>
    <t>QB33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</si>
  <si>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Golden</t>
    </r>
    <r>
      <rPr>
        <rFont val="Roboto, sans-serif"/>
      </rPr>
      <t xml:space="preserve">
GBWR44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</si>
  <si>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Gainwell</t>
    </r>
    <r>
      <rPr>
        <rFont val="Roboto, sans-serif"/>
      </rPr>
      <t xml:space="preserve">
TBRB41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</si>
  <si>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Shough</t>
    </r>
    <r>
      <rPr>
        <rFont val="Roboto, sans-serif"/>
      </rPr>
      <t xml:space="preserve">
NOQB21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</si>
  <si>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LVRWR71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</si>
  <si>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NYJWR45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</si>
  <si>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Coker</t>
    </r>
    <r>
      <rPr>
        <rFont val="Roboto, sans-serif"/>
      </rPr>
      <t xml:space="preserve">
CARWR58</t>
    </r>
  </si>
  <si>
    <t>WR95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</si>
  <si>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ATLWR72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</si>
  <si>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GBQB15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</si>
  <si>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TBWR59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</si>
  <si>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NYJRB42</t>
    </r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</si>
  <si>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LVRQB16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</si>
  <si>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PITWR60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</si>
  <si>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Boutte</t>
    </r>
    <r>
      <rPr>
        <rFont val="Roboto, sans-serif"/>
      </rPr>
      <t xml:space="preserve">
NEWR73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</si>
  <si>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Montgomery</t>
    </r>
    <r>
      <rPr>
        <rFont val="Roboto, sans-serif"/>
      </rPr>
      <t xml:space="preserve">
HOURB28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</si>
  <si>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oody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Marks</t>
    </r>
    <r>
      <rPr>
        <rFont val="Roboto, sans-serif"/>
      </rPr>
      <t xml:space="preserve">
HOURB38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</si>
  <si>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Otton</t>
    </r>
    <r>
      <rPr>
        <rFont val="Roboto, sans-serif"/>
      </rPr>
      <t xml:space="preserve">
TBTE30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</si>
  <si>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Stroud</t>
    </r>
    <r>
      <rPr>
        <rFont val="Roboto, sans-serif"/>
      </rPr>
      <t xml:space="preserve">
HOUQB17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</si>
  <si>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Likely</t>
    </r>
    <r>
      <rPr>
        <rFont val="Roboto, sans-serif"/>
      </rPr>
      <t xml:space="preserve">
NYGTE15</t>
    </r>
  </si>
  <si>
    <t>TE33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</si>
  <si>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Hockenson</t>
    </r>
    <r>
      <rPr>
        <rFont val="Roboto, sans-serif"/>
      </rPr>
      <t xml:space="preserve">
MINTE31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</si>
  <si>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Doubs</t>
    </r>
    <r>
      <rPr>
        <rFont val="Roboto, sans-serif"/>
      </rPr>
      <t xml:space="preserve">
NEWR49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</si>
  <si>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NYGTE32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</si>
  <si>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hamondre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Stevenson</t>
    </r>
    <r>
      <rPr>
        <rFont val="Roboto, sans-serif"/>
      </rPr>
      <t xml:space="preserve">
NERB29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</si>
  <si>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Ward</t>
    </r>
    <r>
      <rPr>
        <rFont val="Roboto, sans-serif"/>
      </rPr>
      <t xml:space="preserve">
TENQB22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</si>
  <si>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Charbonnet</t>
    </r>
    <r>
      <rPr>
        <rFont val="Roboto, sans-serif"/>
      </rPr>
      <t xml:space="preserve">
SEARB30</t>
    </r>
  </si>
  <si>
    <t>QB29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</si>
  <si>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Mayfield</t>
    </r>
    <r>
      <rPr>
        <rFont val="Roboto, sans-serif"/>
      </rPr>
      <t xml:space="preserve">
TBQB18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</si>
  <si>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Darnold</t>
    </r>
    <r>
      <rPr>
        <rFont val="Roboto, sans-serif"/>
      </rPr>
      <t xml:space="preserve">
SEAQB23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</si>
  <si>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Njoku</t>
    </r>
    <r>
      <rPr>
        <rFont val="Roboto, sans-serif"/>
      </rPr>
      <t xml:space="preserve">
LACTE33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</si>
  <si>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Murray</t>
    </r>
    <r>
      <rPr>
        <rFont val="Roboto, sans-serif"/>
      </rPr>
      <t xml:space="preserve">
MINQB19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</si>
  <si>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Jeudy</t>
    </r>
    <r>
      <rPr>
        <rFont val="Roboto, sans-serif"/>
      </rPr>
      <t xml:space="preserve">
CLEWR74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</si>
  <si>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Goff</t>
    </r>
    <r>
      <rPr>
        <rFont val="Roboto, sans-serif"/>
      </rPr>
      <t xml:space="preserve">
DETQB20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</si>
  <si>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MIAWR75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</si>
  <si>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huba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Hubbard</t>
    </r>
    <r>
      <rPr>
        <rFont val="Roboto, sans-serif"/>
      </rPr>
      <t xml:space="preserve">
CARRB31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</si>
  <si>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tefon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Diggs</t>
    </r>
    <r>
      <rPr>
        <rFont val="Roboto, sans-serif"/>
      </rPr>
      <t xml:space="preserve">
WASWR76</t>
    </r>
  </si>
  <si>
    <t>WR80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</si>
  <si>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Reed</t>
    </r>
    <r>
      <rPr>
        <rFont val="Roboto, sans-serif"/>
      </rPr>
      <t xml:space="preserve">
GBWR48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</si>
  <si>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Jennings</t>
    </r>
    <r>
      <rPr>
        <rFont val="Roboto, sans-serif"/>
      </rPr>
      <t xml:space="preserve">
MINWR77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</si>
  <si>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Shough</t>
    </r>
    <r>
      <rPr>
        <rFont val="Roboto, sans-serif"/>
      </rPr>
      <t xml:space="preserve">
NOQB21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</si>
  <si>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Ayomanor</t>
    </r>
    <r>
      <rPr>
        <rFont val="Roboto, sans-serif"/>
      </rPr>
      <t xml:space="preserve">
TENWR78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</si>
  <si>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Meyers</t>
    </r>
    <r>
      <rPr>
        <rFont val="Roboto, sans-serif"/>
      </rPr>
      <t xml:space="preserve">
JACWR50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</si>
  <si>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Aiyuk</t>
    </r>
    <r>
      <rPr>
        <rFont val="Roboto, sans-serif"/>
      </rPr>
      <t xml:space="preserve">
UNSWR79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</si>
  <si>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Pollard</t>
    </r>
    <r>
      <rPr>
        <rFont val="Roboto, sans-serif"/>
      </rPr>
      <t xml:space="preserve">
TENRB32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</si>
  <si>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donai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NYJWR80</t>
    </r>
  </si>
  <si>
    <t>WR78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</si>
  <si>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Thompson</t>
    </r>
    <r>
      <rPr>
        <rFont val="Roboto, sans-serif"/>
      </rPr>
      <t xml:space="preserve">
LACWR81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</si>
  <si>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Kincaid</t>
    </r>
    <r>
      <rPr>
        <rFont val="Roboto, sans-serif"/>
      </rPr>
      <t xml:space="preserve">
BUFTE12</t>
    </r>
  </si>
  <si>
    <t>WR94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</si>
  <si>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Horton</t>
    </r>
    <r>
      <rPr>
        <rFont val="Roboto, sans-serif"/>
      </rPr>
      <t xml:space="preserve">
SEAWR82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</si>
  <si>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Godwin</t>
    </r>
    <r>
      <rPr>
        <rFont val="Roboto, sans-serif"/>
      </rPr>
      <t xml:space="preserve">
TBWR52</t>
    </r>
  </si>
  <si>
    <t>WR91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</si>
  <si>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Downs</t>
    </r>
    <r>
      <rPr>
        <rFont val="Roboto, sans-serif"/>
      </rPr>
      <t xml:space="preserve">
INDWR53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</si>
  <si>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ontayvion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Wicks</t>
    </r>
    <r>
      <rPr>
        <rFont val="Roboto, sans-serif"/>
      </rPr>
      <t xml:space="preserve">
PHIWR83</t>
    </r>
  </si>
  <si>
    <t>WR106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</si>
  <si>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Darnold</t>
    </r>
    <r>
      <rPr>
        <rFont val="Roboto, sans-serif"/>
      </rPr>
      <t xml:space="preserve">
SEAQB22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</si>
  <si>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Bech</t>
    </r>
    <r>
      <rPr>
        <rFont val="Roboto, sans-serif"/>
      </rPr>
      <t xml:space="preserve">
LVRWR84</t>
    </r>
  </si>
  <si>
    <t>WR93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</si>
  <si>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Ward</t>
    </r>
    <r>
      <rPr>
        <rFont val="Roboto, sans-serif"/>
      </rPr>
      <t xml:space="preserve">
TENQB23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</si>
  <si>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Rodriguez</t>
    </r>
    <r>
      <rPr>
        <rFont val="Roboto, sans-serif"/>
      </rPr>
      <t xml:space="preserve">
JACRB43</t>
    </r>
  </si>
  <si>
    <t>RB70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</si>
  <si>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LARTE34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</si>
  <si>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oody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Marks</t>
    </r>
    <r>
      <rPr>
        <rFont val="Roboto, sans-serif"/>
      </rPr>
      <t xml:space="preserve">
HOURB33</t>
    </r>
  </si>
  <si>
    <t>TE34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</si>
  <si>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yjae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Spears</t>
    </r>
    <r>
      <rPr>
        <rFont val="Roboto, sans-serif"/>
      </rPr>
      <t xml:space="preserve">
TENRB44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</si>
  <si>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uentin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Johnston</t>
    </r>
    <r>
      <rPr>
        <rFont val="Roboto, sans-serif"/>
      </rPr>
      <t xml:space="preserve">
LACWR54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</si>
  <si>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TeSlaa</t>
    </r>
    <r>
      <rPr>
        <rFont val="Roboto, sans-serif"/>
      </rPr>
      <t xml:space="preserve">
DETWR85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</si>
  <si>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CLEWR55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</si>
  <si>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Lance</t>
    </r>
    <r>
      <rPr>
        <rFont val="Roboto, sans-serif"/>
      </rPr>
      <t xml:space="preserve">
NOWR86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</si>
  <si>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ronde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Gadsden II</t>
    </r>
    <r>
      <rPr>
        <rFont val="Roboto, sans-serif"/>
      </rPr>
      <t xml:space="preserve">
LACTE11</t>
    </r>
  </si>
  <si>
    <t>WR117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</si>
  <si>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BUFWR87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</si>
  <si>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Mason</t>
    </r>
    <r>
      <rPr>
        <rFont val="Roboto, sans-serif"/>
      </rPr>
      <t xml:space="preserve">
MINRB34</t>
    </r>
  </si>
  <si>
    <t>WR89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</si>
  <si>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Mims Jr.</t>
    </r>
    <r>
      <rPr>
        <rFont val="Roboto, sans-serif"/>
      </rPr>
      <t xml:space="preserve">
DENWR88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</si>
  <si>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yjae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Spears</t>
    </r>
    <r>
      <rPr>
        <rFont val="Roboto, sans-serif"/>
      </rPr>
      <t xml:space="preserve">
TENRB35</t>
    </r>
  </si>
  <si>
    <t>WR103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</si>
  <si>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van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Engram</t>
    </r>
    <r>
      <rPr>
        <rFont val="Roboto, sans-serif"/>
      </rPr>
      <t xml:space="preserve">
DENTE35</t>
    </r>
  </si>
  <si>
    <t>TE40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</si>
  <si>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Corum</t>
    </r>
    <r>
      <rPr>
        <rFont val="Roboto, sans-serif"/>
      </rPr>
      <t xml:space="preserve">
LARRB36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</si>
  <si>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scar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Delp</t>
    </r>
    <r>
      <rPr>
        <rFont val="Roboto, sans-serif"/>
      </rPr>
      <t xml:space="preserve">
NOTE36</t>
    </r>
  </si>
  <si>
    <t>TE36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</si>
  <si>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eebo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Samuel</t>
    </r>
    <r>
      <rPr>
        <rFont val="Roboto, sans-serif"/>
      </rPr>
      <t xml:space="preserve">
SFWR89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</si>
  <si>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Monangai</t>
    </r>
    <r>
      <rPr>
        <rFont val="Roboto, sans-serif"/>
      </rPr>
      <t xml:space="preserve">
CHIRB37</t>
    </r>
  </si>
  <si>
    <t>WR77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</si>
  <si>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Young</t>
    </r>
    <r>
      <rPr>
        <rFont val="Roboto, sans-serif"/>
      </rPr>
      <t xml:space="preserve">
CARQB24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</si>
  <si>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Croskey-Merritt</t>
    </r>
    <r>
      <rPr>
        <rFont val="Roboto, sans-serif"/>
      </rPr>
      <t xml:space="preserve">
WASRB38</t>
    </r>
  </si>
  <si>
    <t>QB25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</si>
  <si>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Nailor</t>
    </r>
    <r>
      <rPr>
        <rFont val="Roboto, sans-serif"/>
      </rPr>
      <t xml:space="preserve">
LVRWR90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</si>
  <si>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DALTE14</t>
    </r>
  </si>
  <si>
    <t>WR90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</si>
  <si>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Gesicki</t>
    </r>
    <r>
      <rPr>
        <rFont val="Roboto, sans-serif"/>
      </rPr>
      <t xml:space="preserve">
CINTE37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</si>
  <si>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Dobbins</t>
    </r>
    <r>
      <rPr>
        <rFont val="Roboto, sans-serif"/>
      </rPr>
      <t xml:space="preserve">
DENRB39</t>
    </r>
  </si>
  <si>
    <t>TE44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</si>
  <si>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Parkinson</t>
    </r>
    <r>
      <rPr>
        <rFont val="Roboto, sans-serif"/>
      </rPr>
      <t xml:space="preserve">
LARTE38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</si>
  <si>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Gainwell</t>
    </r>
    <r>
      <rPr>
        <rFont val="Roboto, sans-serif"/>
      </rPr>
      <t xml:space="preserve">
TBRB40</t>
    </r>
  </si>
  <si>
    <t>TE38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</si>
  <si>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PITTE39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</si>
  <si>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PHITE13</t>
    </r>
  </si>
  <si>
    <t>TE46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</si>
  <si>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TENRB45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</si>
  <si>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Shaheed</t>
    </r>
    <r>
      <rPr>
        <rFont val="Roboto, sans-serif"/>
      </rPr>
      <t xml:space="preserve">
SEAWR51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</si>
  <si>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ashod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Bateman</t>
    </r>
    <r>
      <rPr>
        <rFont val="Roboto, sans-serif"/>
      </rPr>
      <t xml:space="preserve">
BALWR91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</si>
  <si>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SFWR54</t>
    </r>
  </si>
  <si>
    <t>WR108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</si>
  <si>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Allgeier</t>
    </r>
    <r>
      <rPr>
        <rFont val="Roboto, sans-serif"/>
      </rPr>
      <t xml:space="preserve">
ARIRB46</t>
    </r>
  </si>
  <si>
    <t>WR79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</si>
  <si>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Dowdle</t>
    </r>
    <r>
      <rPr>
        <rFont val="Roboto, sans-serif"/>
      </rPr>
      <t xml:space="preserve">
PITRB41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</si>
  <si>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 Jr.</t>
    </r>
    <r>
      <rPr>
        <rFont val="Roboto, sans-serif"/>
      </rPr>
      <t xml:space="preserve">
ATLRB47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</si>
  <si>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Brooks</t>
    </r>
    <r>
      <rPr>
        <rFont val="Roboto, sans-serif"/>
      </rPr>
      <t xml:space="preserve">
CARRB42</t>
    </r>
  </si>
  <si>
    <t>RB62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</si>
  <si>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MINRB48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</si>
  <si>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Kittle</t>
    </r>
    <r>
      <rPr>
        <rFont val="Roboto, sans-serif"/>
      </rPr>
      <t xml:space="preserve">
SFTE14</t>
    </r>
  </si>
  <si>
    <t>RB57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</si>
  <si>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Stafford</t>
    </r>
    <r>
      <rPr>
        <rFont val="Roboto, sans-serif"/>
      </rPr>
      <t xml:space="preserve">
LARQB25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</si>
  <si>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NYJRB43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</si>
  <si>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Bigsby</t>
    </r>
    <r>
      <rPr>
        <rFont val="Roboto, sans-serif"/>
      </rPr>
      <t xml:space="preserve">
PHIRB49</t>
    </r>
  </si>
  <si>
    <t>RB53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</si>
  <si>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yrone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Tracy Jr.</t>
    </r>
    <r>
      <rPr>
        <rFont val="Roboto, sans-serif"/>
      </rPr>
      <t xml:space="preserve">
NYGRB50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</si>
  <si>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PITWR58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</si>
  <si>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DENRB51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</si>
  <si>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Young</t>
    </r>
    <r>
      <rPr>
        <rFont val="Roboto, sans-serif"/>
      </rPr>
      <t xml:space="preserve">
CARQB24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</si>
  <si>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kyler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BUFWR92</t>
    </r>
  </si>
  <si>
    <t>WR88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</si>
  <si>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Coker</t>
    </r>
    <r>
      <rPr>
        <rFont val="Roboto, sans-serif"/>
      </rPr>
      <t xml:space="preserve">
CARWR59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</si>
  <si>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yreek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UNSWR93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</si>
  <si>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Black</t>
    </r>
    <r>
      <rPr>
        <rFont val="Roboto, sans-serif"/>
      </rPr>
      <t xml:space="preserve">
SFRB52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</si>
  <si>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LACWR60</t>
    </r>
  </si>
  <si>
    <t>RB72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</si>
  <si>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llie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Gordon II</t>
    </r>
    <r>
      <rPr>
        <rFont val="Roboto, sans-serif"/>
      </rPr>
      <t xml:space="preserve">
MIARB53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</si>
  <si>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Likely</t>
    </r>
    <r>
      <rPr>
        <rFont val="Roboto, sans-serif"/>
      </rPr>
      <t xml:space="preserve">
NYGTE15</t>
    </r>
  </si>
  <si>
    <t>RB65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</si>
  <si>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Royals</t>
    </r>
    <r>
      <rPr>
        <rFont val="Roboto, sans-serif"/>
      </rPr>
      <t xml:space="preserve">
KCWR94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</si>
  <si>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TBWR56</t>
    </r>
  </si>
  <si>
    <t>WR114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</si>
  <si>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WASRB54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</si>
  <si>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WASWR57</t>
    </r>
  </si>
  <si>
    <t>RB61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</si>
  <si>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 Jr.</t>
    </r>
    <r>
      <rPr>
        <rFont val="Roboto, sans-serif"/>
      </rPr>
      <t xml:space="preserve">
MIAWR95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</si>
  <si>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Stafford</t>
    </r>
    <r>
      <rPr>
        <rFont val="Roboto, sans-serif"/>
      </rPr>
      <t xml:space="preserve">
LARQB25</t>
    </r>
  </si>
  <si>
    <t>WR92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</si>
  <si>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Flournoy</t>
    </r>
    <r>
      <rPr>
        <rFont val="Roboto, sans-serif"/>
      </rPr>
      <t xml:space="preserve">
DALWR96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</si>
  <si>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Strange</t>
    </r>
    <r>
      <rPr>
        <rFont val="Roboto, sans-serif"/>
      </rPr>
      <t xml:space="preserve">
JACTE16</t>
    </r>
  </si>
  <si>
    <t>WR102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</si>
  <si>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himere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Dike</t>
    </r>
    <r>
      <rPr>
        <rFont val="Roboto, sans-serif"/>
      </rPr>
      <t xml:space="preserve">
TENWR97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</si>
  <si>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Goedert</t>
    </r>
    <r>
      <rPr>
        <rFont val="Roboto, sans-serif"/>
      </rPr>
      <t xml:space="preserve">
PHITE17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</si>
  <si>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</si>
  <si>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Andrews</t>
    </r>
    <r>
      <rPr>
        <rFont val="Roboto, sans-serif"/>
      </rPr>
      <t xml:space="preserve">
BALTE16</t>
    </r>
  </si>
  <si>
    <t>RB54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</si>
  <si>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Pacheco</t>
    </r>
    <r>
      <rPr>
        <rFont val="Roboto, sans-serif"/>
      </rPr>
      <t xml:space="preserve">
DETRB56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</si>
  <si>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uwan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NOTE17</t>
    </r>
  </si>
  <si>
    <t>RB55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</si>
  <si>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Kmet</t>
    </r>
    <r>
      <rPr>
        <rFont val="Roboto, sans-serif"/>
      </rPr>
      <t xml:space="preserve">
CHITE40</t>
    </r>
  </si>
  <si>
    <t>TE43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</si>
  <si>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errance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LARTE18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</si>
  <si>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a'Tavion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CARTE41</t>
    </r>
  </si>
  <si>
    <t>TE41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</si>
  <si>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arquise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PHIWR98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</si>
  <si>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Noel</t>
    </r>
    <r>
      <rPr>
        <rFont val="Roboto, sans-serif"/>
      </rPr>
      <t xml:space="preserve">
HOUWR63</t>
    </r>
  </si>
  <si>
    <t>WR107</t>
  </si>
  <si>
    <t>WR84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</si>
  <si>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MIARB57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</si>
  <si>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BALWR61</t>
    </r>
  </si>
  <si>
    <t>RB68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</si>
  <si>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NYJTE42</t>
    </r>
  </si>
  <si>
    <t>WR85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</si>
  <si>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DENRB44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</si>
  <si>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eaton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LACRB58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</si>
  <si>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TBWR65</t>
    </r>
  </si>
  <si>
    <t>RB60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</si>
  <si>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ARIRB59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</si>
  <si>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Arroyo</t>
    </r>
    <r>
      <rPr>
        <rFont val="Roboto, sans-serif"/>
      </rPr>
      <t xml:space="preserve">
SEATE20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</si>
  <si>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KCRB60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</si>
  <si>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Kelce</t>
    </r>
    <r>
      <rPr>
        <rFont val="Roboto, sans-serif"/>
      </rPr>
      <t xml:space="preserve">
KCTE22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</si>
  <si>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NYGWR99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</si>
  <si>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unter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NETE23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</si>
  <si>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NYJRB61</t>
    </r>
  </si>
  <si>
    <t>RB81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</si>
  <si>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edric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Tillman</t>
    </r>
    <r>
      <rPr>
        <rFont val="Roboto, sans-serif"/>
      </rPr>
      <t xml:space="preserve">
CLEWR100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</si>
  <si>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Pearsall</t>
    </r>
    <r>
      <rPr>
        <rFont val="Roboto, sans-serif"/>
      </rPr>
      <t xml:space="preserve">
SFWR66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</si>
  <si>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Barner</t>
    </r>
    <r>
      <rPr>
        <rFont val="Roboto, sans-serif"/>
      </rPr>
      <t xml:space="preserve">
SEATE24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</si>
  <si>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higoziem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Okonkwo</t>
    </r>
    <r>
      <rPr>
        <rFont val="Roboto, sans-serif"/>
      </rPr>
      <t xml:space="preserve">
WASTE25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</si>
  <si>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MINRB45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</si>
  <si>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yrone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Tracy Jr.</t>
    </r>
    <r>
      <rPr>
        <rFont val="Roboto, sans-serif"/>
      </rPr>
      <t xml:space="preserve">
NYGRB46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</si>
  <si>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unnar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Helm</t>
    </r>
    <r>
      <rPr>
        <rFont val="Roboto, sans-serif"/>
      </rPr>
      <t xml:space="preserve">
TENTE25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</si>
  <si>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JACWR67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</si>
  <si>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roy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Franklin</t>
    </r>
    <r>
      <rPr>
        <rFont val="Roboto, sans-serif"/>
      </rPr>
      <t xml:space="preserve">
DENWR68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</si>
  <si>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INDQB26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</si>
  <si>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Freiermuth</t>
    </r>
    <r>
      <rPr>
        <rFont val="Roboto, sans-serif"/>
      </rPr>
      <t xml:space="preserve">
PITTE27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</si>
  <si>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Boutte</t>
    </r>
    <r>
      <rPr>
        <rFont val="Roboto, sans-serif"/>
      </rPr>
      <t xml:space="preserve">
NEWR69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</si>
  <si>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Schultz</t>
    </r>
    <r>
      <rPr>
        <rFont val="Roboto, sans-serif"/>
      </rPr>
      <t xml:space="preserve">
HOUTE29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</si>
  <si>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achaad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White</t>
    </r>
    <r>
      <rPr>
        <rFont val="Roboto, sans-serif"/>
      </rPr>
      <t xml:space="preserve">
WASRB47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</si>
  <si>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Rodriguez</t>
    </r>
    <r>
      <rPr>
        <rFont val="Roboto, sans-serif"/>
      </rPr>
      <t xml:space="preserve">
JACRB48</t>
    </r>
  </si>
  <si>
    <t>RB63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</si>
  <si>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TENRB49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</si>
  <si>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MIAWR70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</si>
  <si>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Jeudy</t>
    </r>
    <r>
      <rPr>
        <rFont val="Roboto, sans-serif"/>
      </rPr>
      <t xml:space="preserve">
CLEWR71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</si>
  <si>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Ayomanor</t>
    </r>
    <r>
      <rPr>
        <rFont val="Roboto, sans-serif"/>
      </rPr>
      <t xml:space="preserve">
TENWR72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</si>
  <si>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Allgeier</t>
    </r>
    <r>
      <rPr>
        <rFont val="Roboto, sans-serif"/>
      </rPr>
      <t xml:space="preserve">
ARIRB50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</si>
  <si>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Bech</t>
    </r>
    <r>
      <rPr>
        <rFont val="Roboto, sans-serif"/>
      </rPr>
      <t xml:space="preserve">
LVRWR73</t>
    </r>
  </si>
  <si>
    <t>252 -71</t>
  </si>
  <si>
    <r>
      <rPr>
        <rFont val="Poppins, Arial, Helvetica, sans-serif"/>
        <color rgb="FF1155CC"/>
        <u/>
      </rPr>
      <t>Deebo Samuel Sr.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</si>
  <si>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ATLWR72</t>
    </r>
  </si>
  <si>
    <t>155 +27</t>
  </si>
  <si>
    <r>
      <rPr>
        <rFont val="Poppins, Arial, Helvetica, sans-serif"/>
        <color rgb="FF1155CC"/>
        <u/>
      </rPr>
      <t>De'Zhaun Stribling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</si>
  <si>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kyler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BUFWR75</t>
    </r>
  </si>
  <si>
    <t>211 -28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</si>
  <si>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tefon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Diggs</t>
    </r>
    <r>
      <rPr>
        <rFont val="Roboto, sans-serif"/>
      </rPr>
      <t xml:space="preserve">
WASWR76</t>
    </r>
  </si>
  <si>
    <r>
      <rPr>
        <rFont val="Poppins, Arial, Helvetica, sans-serif"/>
        <color rgb="FF1155CC"/>
        <u/>
      </rPr>
      <t>Adonai Mitchell</t>
    </r>
    <r>
      <rPr>
        <rFont val="Poppins, Arial, Helvetica, sans-serif"/>
      </rPr>
      <t>NYJ (13)</t>
    </r>
  </si>
  <si>
    <t>207 -23</t>
  </si>
  <si>
    <r>
      <rPr>
        <rFont val="Poppins, Arial, Helvetica, sans-serif"/>
        <color rgb="FF1155CC"/>
        <u/>
      </rPr>
      <t>Tyreek Hill</t>
    </r>
  </si>
  <si>
    <t>WR83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</si>
  <si>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Otton</t>
    </r>
    <r>
      <rPr>
        <rFont val="Roboto, sans-serif"/>
      </rPr>
      <t xml:space="preserve">
TBTE30</t>
    </r>
  </si>
  <si>
    <t>168 +17</t>
  </si>
  <si>
    <r>
      <rPr>
        <rFont val="Poppins, Arial, Helvetica, sans-serif"/>
        <color rgb="FF1155CC"/>
        <u/>
      </rPr>
      <t>Kaleb Johnson</t>
    </r>
    <r>
      <rPr>
        <rFont val="Poppins, Arial, Helvetica, sans-serif"/>
      </rPr>
      <t>PIT (9)</t>
    </r>
  </si>
  <si>
    <t>RB52</t>
  </si>
  <si>
    <r>
      <rPr>
        <rFont val="Poppins, Arial, Helvetica, sans-serif"/>
        <color rgb="FF1155CC"/>
        <u/>
      </rPr>
      <t>Tank Bigsby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</si>
  <si>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 Jr.</t>
    </r>
    <r>
      <rPr>
        <rFont val="Roboto, sans-serif"/>
      </rPr>
      <t xml:space="preserve">
ATLRB51</t>
    </r>
  </si>
  <si>
    <t>149 +38</t>
  </si>
  <si>
    <r>
      <rPr>
        <rFont val="Poppins, Arial, Helvetica, sans-serif"/>
        <color rgb="FF1155CC"/>
        <u/>
      </rPr>
      <t>Ted Hurst III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</si>
  <si>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LVRWR77</t>
    </r>
  </si>
  <si>
    <t>268 -80</t>
  </si>
  <si>
    <r>
      <rPr>
        <rFont val="Poppins, Arial, Helvetica, sans-serif"/>
        <color rgb="FF1155CC"/>
        <u/>
      </rPr>
      <t>Stefon Diggs</t>
    </r>
    <r>
      <rPr>
        <rFont val="Poppins, Arial, Helvetica, sans-serif"/>
      </rPr>
      <t>WAS (7)</t>
    </r>
  </si>
  <si>
    <t>147 +42</t>
  </si>
  <si>
    <r>
      <rPr>
        <rFont val="Poppins, Arial, Helvetica, sans-serif"/>
        <color rgb="FF1155CC"/>
        <u/>
      </rPr>
      <t>Isiah Pacheco</t>
    </r>
    <r>
      <rPr>
        <rFont val="Poppins, Arial, Helvetica, sans-serif"/>
      </rPr>
      <t>DET (6)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</si>
  <si>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Mayer</t>
    </r>
    <r>
      <rPr>
        <rFont val="Roboto, sans-serif"/>
      </rPr>
      <t xml:space="preserve">
LVRTE30</t>
    </r>
  </si>
  <si>
    <t>138 +52</t>
  </si>
  <si>
    <r>
      <rPr>
        <rFont val="Poppins, Arial, Helvetica, sans-serif"/>
        <color rgb="FF1155CC"/>
        <u/>
      </rPr>
      <t>Jake Tonges</t>
    </r>
    <r>
      <rPr>
        <rFont val="Poppins, Arial, Helvetica, sans-serif"/>
      </rPr>
      <t>SF (8)</t>
    </r>
  </si>
  <si>
    <t>TE31</t>
  </si>
  <si>
    <t>261 -70</t>
  </si>
  <si>
    <r>
      <rPr>
        <rFont val="Poppins, Arial, Helvetica, sans-serif"/>
        <color rgb="FF1155CC"/>
        <u/>
      </rPr>
      <t>Jaylin Noel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</si>
  <si>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eaton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LACRB52</t>
    </r>
  </si>
  <si>
    <r>
      <rPr>
        <rFont val="Poppins, Arial, Helvetica, sans-serif"/>
        <color rgb="FF1155CC"/>
        <u/>
      </rPr>
      <t>Pat Freiermuth</t>
    </r>
    <r>
      <rPr>
        <rFont val="Poppins, Arial, Helvetica, sans-serif"/>
      </rPr>
      <t>PIT (9)</t>
    </r>
  </si>
  <si>
    <t>RB59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</si>
  <si>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LARQB27</t>
    </r>
  </si>
  <si>
    <t>229 -36</t>
  </si>
  <si>
    <r>
      <rPr>
        <rFont val="Poppins, Arial, Helvetica, sans-serif"/>
        <color rgb="FF1155CC"/>
        <u/>
      </rPr>
      <t>Ja'Kobi Lane</t>
    </r>
    <r>
      <rPr>
        <rFont val="Poppins, Arial, Helvetica, sans-serif"/>
      </rPr>
      <t>BAL (13)</t>
    </r>
  </si>
  <si>
    <t>254 -60</t>
  </si>
  <si>
    <r>
      <rPr>
        <rFont val="Poppins, Arial, Helvetica, sans-serif"/>
        <color rgb="FF1155CC"/>
        <u/>
      </rPr>
      <t>Aaron Jones Sr.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</si>
  <si>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LVRRB53</t>
    </r>
  </si>
  <si>
    <t>113 +82</t>
  </si>
  <si>
    <r>
      <rPr>
        <rFont val="Poppins, Arial, Helvetica, sans-serif"/>
        <color rgb="FF1155CC"/>
        <u/>
      </rPr>
      <t>Kimani Vidal</t>
    </r>
    <r>
      <rPr>
        <rFont val="Poppins, Arial, Helvetica, sans-serif"/>
      </rPr>
      <t>LAC (7)</t>
    </r>
  </si>
  <si>
    <t>RB56</t>
  </si>
  <si>
    <t>216 -20</t>
  </si>
  <si>
    <t>RB64</t>
  </si>
  <si>
    <r>
      <rPr>
        <rFont val="Poppins, Arial, Helvetica, sans-serif"/>
        <color rgb="FF1155CC"/>
        <u/>
      </rPr>
      <t>Bryce Young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</si>
  <si>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Blue</t>
    </r>
    <r>
      <rPr>
        <rFont val="Roboto, sans-serif"/>
      </rPr>
      <t xml:space="preserve">
DALRB54</t>
    </r>
  </si>
  <si>
    <t>204 -7</t>
  </si>
  <si>
    <r>
      <rPr>
        <rFont val="Poppins, Arial, Helvetica, sans-serif"/>
        <color rgb="FF1155CC"/>
        <u/>
      </rPr>
      <t>Cade Otton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</si>
  <si>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KCRB55</t>
    </r>
  </si>
  <si>
    <t>232 -34</t>
  </si>
  <si>
    <r>
      <rPr>
        <rFont val="Poppins, Arial, Helvetica, sans-serif"/>
        <color rgb="FF1155CC"/>
        <u/>
      </rPr>
      <t>Tank Dell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</si>
  <si>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CARWR78</t>
    </r>
  </si>
  <si>
    <t>223 -24</t>
  </si>
  <si>
    <r>
      <rPr>
        <rFont val="Poppins, Arial, Helvetica, sans-serif"/>
        <color rgb="FF1155CC"/>
        <u/>
      </rPr>
      <t>Kyle Williams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</si>
  <si>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Jennings</t>
    </r>
    <r>
      <rPr>
        <rFont val="Roboto, sans-serif"/>
      </rPr>
      <t xml:space="preserve">
MINWR79</t>
    </r>
  </si>
  <si>
    <r>
      <rPr>
        <rFont val="Poppins, Arial, Helvetica, sans-serif"/>
        <color rgb="FF1155CC"/>
        <u/>
      </rPr>
      <t>James Conner</t>
    </r>
    <r>
      <rPr>
        <rFont val="Poppins, Arial, Helvetica, sans-serif"/>
      </rPr>
      <t>ARI (14)</t>
    </r>
  </si>
  <si>
    <t>217 -16</t>
  </si>
  <si>
    <r>
      <rPr>
        <rFont val="Poppins, Arial, Helvetica, sans-serif"/>
        <color rgb="FF1155CC"/>
        <u/>
      </rPr>
      <t>Skyler Bell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</si>
  <si>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Hockenson</t>
    </r>
    <r>
      <rPr>
        <rFont val="Roboto, sans-serif"/>
      </rPr>
      <t xml:space="preserve">
MINTE31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</si>
  <si>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ontayvion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Wicks</t>
    </r>
    <r>
      <rPr>
        <rFont val="Roboto, sans-serif"/>
      </rPr>
      <t xml:space="preserve">
PHIWR80</t>
    </r>
  </si>
  <si>
    <r>
      <rPr>
        <rFont val="Poppins, Arial, Helvetica, sans-serif"/>
        <color rgb="FF1155CC"/>
        <u/>
      </rPr>
      <t>Emanuel Wilson</t>
    </r>
    <r>
      <rPr>
        <rFont val="Poppins, Arial, Helvetica, sans-serif"/>
      </rPr>
      <t>SEA (11)</t>
    </r>
  </si>
  <si>
    <t>RB58</t>
  </si>
  <si>
    <t>214 -11</t>
  </si>
  <si>
    <r>
      <rPr>
        <rFont val="Poppins, Arial, Helvetica, sans-serif"/>
        <color rgb="FF1155CC"/>
        <u/>
      </rPr>
      <t>Keaton Mitchell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</si>
  <si>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Njoku</t>
    </r>
    <r>
      <rPr>
        <rFont val="Roboto, sans-serif"/>
      </rPr>
      <t xml:space="preserve">
LACTE33</t>
    </r>
  </si>
  <si>
    <t>148 +56</t>
  </si>
  <si>
    <r>
      <rPr>
        <rFont val="Poppins, Arial, Helvetica, sans-serif"/>
        <color rgb="FF1155CC"/>
        <u/>
      </rPr>
      <t>Brian Robinson Jr.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</si>
  <si>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WASRB56</t>
    </r>
  </si>
  <si>
    <t>154 +51</t>
  </si>
  <si>
    <r>
      <rPr>
        <rFont val="Poppins, Arial, Helvetica, sans-serif"/>
        <color rgb="FF1155CC"/>
        <u/>
      </rPr>
      <t>Keon Coleman</t>
    </r>
    <r>
      <rPr>
        <rFont val="Poppins, Arial, Helvetica, sans-serif"/>
      </rPr>
      <t>BUF (7)</t>
    </r>
  </si>
  <si>
    <t>258 -52</t>
  </si>
  <si>
    <t>RB71</t>
  </si>
  <si>
    <r>
      <rPr>
        <rFont val="Poppins, Arial, Helvetica, sans-serif"/>
        <color rgb="FF1155CC"/>
        <u/>
      </rPr>
      <t>Alvin Kamara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</si>
  <si>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Pacheco</t>
    </r>
    <r>
      <rPr>
        <rFont val="Roboto, sans-serif"/>
      </rPr>
      <t xml:space="preserve">
DETRB57</t>
    </r>
  </si>
  <si>
    <t>139 +68</t>
  </si>
  <si>
    <r>
      <rPr>
        <rFont val="Poppins, Arial, Helvetica, sans-serif"/>
        <color rgb="FF1155CC"/>
        <u/>
      </rPr>
      <t>Elijah Arroyo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</si>
  <si>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Bigsby</t>
    </r>
    <r>
      <rPr>
        <rFont val="Roboto, sans-serif"/>
      </rPr>
      <t xml:space="preserve">
PHIRB58</t>
    </r>
  </si>
  <si>
    <r>
      <rPr>
        <rFont val="Poppins, Arial, Helvetica, sans-serif"/>
        <color rgb="FF1155CC"/>
        <u/>
      </rPr>
      <t>Jalen Nailor</t>
    </r>
    <r>
      <rPr>
        <rFont val="Poppins, Arial, Helvetica, sans-serif"/>
      </rPr>
      <t>LV (13)</t>
    </r>
  </si>
  <si>
    <t>170 +39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</si>
  <si>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NYJRB59</t>
    </r>
  </si>
  <si>
    <r>
      <rPr>
        <rFont val="Poppins, Arial, Helvetica, sans-serif"/>
        <color rgb="FF1155CC"/>
        <u/>
      </rPr>
      <t>Devin Neal</t>
    </r>
    <r>
      <rPr>
        <rFont val="Poppins, Arial, Helvetica, sans-serif"/>
      </rPr>
      <t>NO (8)</t>
    </r>
  </si>
  <si>
    <t>RB82</t>
  </si>
  <si>
    <r>
      <rPr>
        <rFont val="Poppins, Arial, Helvetica, sans-serif"/>
        <color rgb="FF1155CC"/>
        <u/>
      </rPr>
      <t>Chris Rodriguez Jr.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</si>
  <si>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ylan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Sampson</t>
    </r>
    <r>
      <rPr>
        <rFont val="Roboto, sans-serif"/>
      </rPr>
      <t xml:space="preserve">
CLERB60</t>
    </r>
  </si>
  <si>
    <t>134 +77</t>
  </si>
  <si>
    <r>
      <rPr>
        <rFont val="Poppins, Arial, Helvetica, sans-serif"/>
        <color rgb="FF1155CC"/>
        <u/>
      </rPr>
      <t>Mike Washington Jr.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</si>
  <si>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Thompson</t>
    </r>
    <r>
      <rPr>
        <rFont val="Roboto, sans-serif"/>
      </rPr>
      <t xml:space="preserve">
LACWR81</t>
    </r>
  </si>
  <si>
    <t>183 +29</t>
  </si>
  <si>
    <r>
      <rPr>
        <rFont val="Poppins, Arial, Helvetica, sans-serif"/>
        <color rgb="FF1155CC"/>
        <u/>
      </rPr>
      <t>Jalen Milroe</t>
    </r>
    <r>
      <rPr>
        <rFont val="Poppins, Arial, Helvetica, sans-serif"/>
      </rPr>
      <t>SEA (11)</t>
    </r>
  </si>
  <si>
    <t>QB26</t>
  </si>
  <si>
    <r>
      <rPr>
        <rFont val="Poppins, Arial, Helvetica, sans-serif"/>
        <color rgb="FF1155CC"/>
        <u/>
      </rPr>
      <t>Jack Bech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</si>
  <si>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eQuint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JACRB61</t>
    </r>
  </si>
  <si>
    <r>
      <rPr>
        <rFont val="Poppins, Arial, Helvetica, sans-serif"/>
        <color rgb="FF1155CC"/>
        <u/>
      </rPr>
      <t>Brenen Thompson</t>
    </r>
    <r>
      <rPr>
        <rFont val="Poppins, Arial, Helvetica, sans-serif"/>
      </rPr>
      <t>LAC (7)</t>
    </r>
  </si>
  <si>
    <t>RB78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</si>
  <si>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donai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NYJWR80</t>
    </r>
  </si>
  <si>
    <r>
      <rPr>
        <rFont val="Poppins, Arial, Helvetica, sans-serif"/>
        <color rgb="FF1155CC"/>
        <u/>
      </rPr>
      <t>Ollie Gordon II</t>
    </r>
    <r>
      <rPr>
        <rFont val="Poppins, Arial, Helvetica, sans-serif"/>
      </rPr>
      <t>MIA (6)</t>
    </r>
  </si>
  <si>
    <r>
      <rPr>
        <rFont val="Poppins, Arial, Helvetica, sans-serif"/>
        <color rgb="FF1155CC"/>
        <u/>
      </rPr>
      <t>Sean Tucker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</si>
  <si>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Horton</t>
    </r>
    <r>
      <rPr>
        <rFont val="Roboto, sans-serif"/>
      </rPr>
      <t xml:space="preserve">
SEAWR82</t>
    </r>
  </si>
  <si>
    <t>RB66</t>
  </si>
  <si>
    <t>206 +11</t>
  </si>
  <si>
    <r>
      <rPr>
        <rFont val="Poppins, Arial, Helvetica, sans-serif"/>
        <color rgb="FF1155CC"/>
        <u/>
      </rPr>
      <t>Michael Mayer</t>
    </r>
    <r>
      <rPr>
        <rFont val="Poppins, Arial, Helvetica, sans-serif"/>
      </rPr>
      <t>LV (13)</t>
    </r>
  </si>
  <si>
    <t>WR97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</si>
  <si>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Lance</t>
    </r>
    <r>
      <rPr>
        <rFont val="Roboto, sans-serif"/>
      </rPr>
      <t xml:space="preserve">
NOWR84</t>
    </r>
  </si>
  <si>
    <r>
      <rPr>
        <rFont val="Poppins, Arial, Helvetica, sans-serif"/>
        <color rgb="FF1155CC"/>
        <u/>
      </rPr>
      <t>Max Klare</t>
    </r>
    <r>
      <rPr>
        <rFont val="Poppins, Arial, Helvetica, sans-serif"/>
      </rPr>
      <t>LAR (11)</t>
    </r>
  </si>
  <si>
    <t>WR118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</si>
  <si>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llie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Gordon II</t>
    </r>
    <r>
      <rPr>
        <rFont val="Roboto, sans-serif"/>
      </rPr>
      <t xml:space="preserve">
MIARB62</t>
    </r>
  </si>
  <si>
    <r>
      <rPr>
        <rFont val="Poppins, Arial, Helvetica, sans-serif"/>
        <color rgb="FF1155CC"/>
        <u/>
      </rPr>
      <t>Adam Randall</t>
    </r>
    <r>
      <rPr>
        <rFont val="Poppins, Arial, Helvetica, sans-serif"/>
      </rPr>
      <t>BAL (13)</t>
    </r>
  </si>
  <si>
    <t>RB67</t>
  </si>
  <si>
    <r>
      <rPr>
        <rFont val="Poppins, Arial, Helvetica, sans-serif"/>
        <color rgb="FF1155CC"/>
        <u/>
      </rPr>
      <t>Colby Parkinson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</si>
  <si>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BALWR85</t>
    </r>
  </si>
  <si>
    <t>249 -28</t>
  </si>
  <si>
    <r>
      <rPr>
        <rFont val="Poppins, Arial, Helvetica, sans-serif"/>
        <color rgb="FF1155CC"/>
        <u/>
      </rPr>
      <t>Tre Tucker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</si>
  <si>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Aiyuk</t>
    </r>
    <r>
      <rPr>
        <rFont val="Roboto, sans-serif"/>
      </rPr>
      <t xml:space="preserve">
UNSWR86</t>
    </r>
  </si>
  <si>
    <t>205 +17</t>
  </si>
  <si>
    <r>
      <rPr>
        <rFont val="Poppins, Arial, Helvetica, sans-serif"/>
        <color rgb="FF1155CC"/>
        <u/>
      </rPr>
      <t>Malik Washington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</si>
  <si>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ARIRB63</t>
    </r>
  </si>
  <si>
    <t>186 +37</t>
  </si>
  <si>
    <r>
      <rPr>
        <rFont val="Poppins, Arial, Helvetica, sans-serif"/>
        <color rgb="FF1155CC"/>
        <u/>
      </rPr>
      <t>Aaron Rodgers</t>
    </r>
    <r>
      <rPr>
        <rFont val="Poppins, Arial, Helvetica, sans-serif"/>
      </rPr>
      <t>PIT (9)</t>
    </r>
  </si>
  <si>
    <t>QB27</t>
  </si>
  <si>
    <t>238 -14</t>
  </si>
  <si>
    <r>
      <rPr>
        <rFont val="Poppins, Arial, Helvetica, sans-serif"/>
        <color rgb="FF1155CC"/>
        <u/>
      </rPr>
      <t>CJ Daniels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</si>
  <si>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NYGTE33</t>
    </r>
  </si>
  <si>
    <r>
      <rPr>
        <rFont val="Poppins, Arial, Helvetica, sans-serif"/>
        <color rgb="FF1155CC"/>
        <u/>
      </rPr>
      <t>Darnell Mooney</t>
    </r>
    <r>
      <rPr>
        <rFont val="Poppins, Arial, Helvetica, sans-serif"/>
      </rPr>
      <t>NYG (8)</t>
    </r>
  </si>
  <si>
    <t>248 -22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</si>
  <si>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TeSlaa</t>
    </r>
    <r>
      <rPr>
        <rFont val="Roboto, sans-serif"/>
      </rPr>
      <t xml:space="preserve">
DETWR85</t>
    </r>
  </si>
  <si>
    <r>
      <rPr>
        <rFont val="Poppins, Arial, Helvetica, sans-serif"/>
        <color rgb="FF1155CC"/>
        <u/>
      </rPr>
      <t>Tory Horton</t>
    </r>
    <r>
      <rPr>
        <rFont val="Poppins, Arial, Helvetica, sans-serif"/>
      </rPr>
      <t>SEA (11)</t>
    </r>
  </si>
  <si>
    <t>WR96</t>
  </si>
  <si>
    <r>
      <rPr>
        <rFont val="Poppins, Arial, Helvetica, sans-serif"/>
        <color rgb="FF1155CC"/>
        <u/>
      </rPr>
      <t>Michael Trigg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</si>
  <si>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MIARB64</t>
    </r>
  </si>
  <si>
    <r>
      <rPr>
        <rFont val="Poppins, Arial, Helvetica, sans-serif"/>
        <color rgb="FF1155CC"/>
        <u/>
      </rPr>
      <t>Jaydon Blue</t>
    </r>
    <r>
      <rPr>
        <rFont val="Poppins, Arial, Helvetica, sans-serif"/>
      </rPr>
      <t>DAL (14)</t>
    </r>
  </si>
  <si>
    <t>RB69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</si>
  <si>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Randall</t>
    </r>
    <r>
      <rPr>
        <rFont val="Roboto, sans-serif"/>
      </rPr>
      <t xml:space="preserve">
BALRB65</t>
    </r>
  </si>
  <si>
    <t>224 +5</t>
  </si>
  <si>
    <r>
      <rPr>
        <rFont val="Poppins, Arial, Helvetica, sans-serif"/>
        <color rgb="FF1155CC"/>
        <u/>
      </rPr>
      <t>Jaylen Wright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</si>
  <si>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eebo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Samuel</t>
    </r>
    <r>
      <rPr>
        <rFont val="Roboto, sans-serif"/>
      </rPr>
      <t xml:space="preserve">
SFWR88</t>
    </r>
  </si>
  <si>
    <t>236 -6</t>
  </si>
  <si>
    <r>
      <rPr>
        <rFont val="Poppins, Arial, Helvetica, sans-serif"/>
        <color rgb="FF1155CC"/>
        <u/>
      </rPr>
      <t>Ray Davis</t>
    </r>
    <r>
      <rPr>
        <rFont val="Poppins, Arial, Helvetica, sans-serif"/>
      </rPr>
      <t>BUF (7)</t>
    </r>
  </si>
  <si>
    <t>178 +53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</si>
  <si>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Black</t>
    </r>
    <r>
      <rPr>
        <rFont val="Roboto, sans-serif"/>
      </rPr>
      <t xml:space="preserve">
SFRB66</t>
    </r>
  </si>
  <si>
    <r>
      <rPr>
        <rFont val="Poppins, Arial, Helvetica, sans-serif"/>
        <color rgb="FF1155CC"/>
        <u/>
      </rPr>
      <t>Kevin Coleman Jr.</t>
    </r>
    <r>
      <rPr>
        <rFont val="Poppins, Arial, Helvetica, sans-serif"/>
      </rPr>
      <t>MIA (6)</t>
    </r>
  </si>
  <si>
    <r>
      <rPr>
        <rFont val="Poppins, Arial, Helvetica, sans-serif"/>
        <color rgb="FF1155CC"/>
        <u/>
      </rPr>
      <t>Isaiah Bond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</si>
  <si>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MINRB67</t>
    </r>
  </si>
  <si>
    <t>WR98</t>
  </si>
  <si>
    <r>
      <rPr>
        <rFont val="Poppins, Arial, Helvetica, sans-serif"/>
        <color rgb="FF1155CC"/>
        <u/>
      </rPr>
      <t>Kyler Murray</t>
    </r>
    <r>
      <rPr>
        <rFont val="Poppins, Arial, Helvetica, sans-serif"/>
      </rPr>
      <t>MIN (6)</t>
    </r>
  </si>
  <si>
    <t>RB77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</si>
  <si>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Nailor</t>
    </r>
    <r>
      <rPr>
        <rFont val="Roboto, sans-serif"/>
      </rPr>
      <t xml:space="preserve">
LVRWR89</t>
    </r>
  </si>
  <si>
    <t>125 +109</t>
  </si>
  <si>
    <r>
      <rPr>
        <rFont val="Poppins, Arial, Helvetica, sans-serif"/>
        <color rgb="FF1155CC"/>
        <u/>
      </rPr>
      <t>Kaytron Allen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</si>
  <si>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BUFWR87</t>
    </r>
  </si>
  <si>
    <t>196 +39</t>
  </si>
  <si>
    <r>
      <rPr>
        <rFont val="Poppins, Arial, Helvetica, sans-serif"/>
        <color rgb="FF1155CC"/>
        <u/>
      </rPr>
      <t>Tez Johnson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</si>
  <si>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NYGWR91</t>
    </r>
  </si>
  <si>
    <t>WR99</t>
  </si>
  <si>
    <r>
      <rPr>
        <rFont val="Poppins, Arial, Helvetica, sans-serif"/>
        <color rgb="FF1155CC"/>
        <u/>
      </rPr>
      <t>Brashard Smith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</si>
  <si>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Mims Jr.</t>
    </r>
    <r>
      <rPr>
        <rFont val="Roboto, sans-serif"/>
      </rPr>
      <t xml:space="preserve">
DENWR88</t>
    </r>
  </si>
  <si>
    <r>
      <rPr>
        <rFont val="Poppins, Arial, Helvetica, sans-serif"/>
        <color rgb="FF1155CC"/>
        <u/>
      </rPr>
      <t>DJ Giddens</t>
    </r>
    <r>
      <rPr>
        <rFont val="Poppins, Arial, Helvetica, sans-serif"/>
      </rPr>
      <t>IND (13)</t>
    </r>
  </si>
  <si>
    <t>RB73</t>
  </si>
  <si>
    <t>WR104</t>
  </si>
  <si>
    <r>
      <rPr>
        <rFont val="Poppins, Arial, Helvetica, sans-serif"/>
        <color rgb="FF1155CC"/>
        <u/>
      </rPr>
      <t>Evan Engram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</si>
  <si>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SEARB68</t>
    </r>
  </si>
  <si>
    <t>TE39</t>
  </si>
  <si>
    <r>
      <rPr>
        <rFont val="Poppins, Arial, Helvetica, sans-serif"/>
        <color rgb="FF1155CC"/>
        <u/>
      </rPr>
      <t>Cam Ward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</si>
  <si>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James</t>
    </r>
    <r>
      <rPr>
        <rFont val="Roboto, sans-serif"/>
      </rPr>
      <t xml:space="preserve">
SFRB69</t>
    </r>
  </si>
  <si>
    <t>199 +41</t>
  </si>
  <si>
    <r>
      <rPr>
        <rFont val="Poppins, Arial, Helvetica, sans-serif"/>
        <color rgb="FF1155CC"/>
        <u/>
      </rPr>
      <t>Jordan James</t>
    </r>
    <r>
      <rPr>
        <rFont val="Poppins, Arial, Helvetica, sans-serif"/>
      </rPr>
      <t>SF (8)</t>
    </r>
  </si>
  <si>
    <t>RB74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</si>
  <si>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imani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Vidal</t>
    </r>
    <r>
      <rPr>
        <rFont val="Roboto, sans-serif"/>
      </rPr>
      <t xml:space="preserve">
LACRB70</t>
    </r>
  </si>
  <si>
    <t>197 +44</t>
  </si>
  <si>
    <r>
      <rPr>
        <rFont val="Poppins, Arial, Helvetica, sans-serif"/>
        <color rgb="FF1155CC"/>
        <u/>
      </rPr>
      <t>Oscar Delp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</si>
  <si>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Neal</t>
    </r>
    <r>
      <rPr>
        <rFont val="Roboto, sans-serif"/>
      </rPr>
      <t xml:space="preserve">
NORB71</t>
    </r>
  </si>
  <si>
    <t>WR110</t>
  </si>
  <si>
    <r>
      <rPr>
        <rFont val="Poppins, Arial, Helvetica, sans-serif"/>
        <color rgb="FF1155CC"/>
        <u/>
      </rPr>
      <t>J.J. McCarthy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</si>
  <si>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Mooney</t>
    </r>
    <r>
      <rPr>
        <rFont val="Roboto, sans-serif"/>
      </rPr>
      <t xml:space="preserve">
NYGWR101</t>
    </r>
  </si>
  <si>
    <t>QB30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</si>
  <si>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scar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Delp</t>
    </r>
    <r>
      <rPr>
        <rFont val="Roboto, sans-serif"/>
      </rPr>
      <t xml:space="preserve">
NOTE34</t>
    </r>
  </si>
  <si>
    <r>
      <rPr>
        <rFont val="Poppins, Arial, Helvetica, sans-serif"/>
        <color rgb="FF1155CC"/>
        <u/>
      </rPr>
      <t>Kirk Cousins</t>
    </r>
    <r>
      <rPr>
        <rFont val="Poppins, Arial, Helvetica, sans-serif"/>
      </rPr>
      <t>LV (13)</t>
    </r>
  </si>
  <si>
    <t>QB31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</si>
  <si>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Bryant</t>
    </r>
    <r>
      <rPr>
        <rFont val="Roboto, sans-serif"/>
      </rPr>
      <t xml:space="preserve">
DENWR102</t>
    </r>
  </si>
  <si>
    <r>
      <rPr>
        <rFont val="Poppins, Arial, Helvetica, sans-serif"/>
        <color rgb="FF1155CC"/>
        <u/>
      </rPr>
      <t>Devaughn Vele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</si>
  <si>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LARTE35</t>
    </r>
  </si>
  <si>
    <t>WR100</t>
  </si>
  <si>
    <r>
      <rPr>
        <rFont val="Poppins, Arial, Helvetica, sans-serif"/>
        <color rgb="FF1155CC"/>
        <u/>
      </rPr>
      <t>Ja'Tavion Sanders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</si>
  <si>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emario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Douglas</t>
    </r>
    <r>
      <rPr>
        <rFont val="Roboto, sans-serif"/>
      </rPr>
      <t xml:space="preserve">
NEWR103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</si>
  <si>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NYJTE36</t>
    </r>
  </si>
  <si>
    <r>
      <rPr>
        <rFont val="Poppins, Arial, Helvetica, sans-serif"/>
        <color rgb="FF1155CC"/>
        <u/>
      </rPr>
      <t>Najee Harris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</si>
  <si>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MIAWR104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</si>
  <si>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PITRB72</t>
    </r>
  </si>
  <si>
    <t>RB75</t>
  </si>
  <si>
    <r>
      <rPr>
        <rFont val="Poppins, Arial, Helvetica, sans-serif"/>
        <color rgb="FF1155CC"/>
        <u/>
      </rPr>
      <t>Xavier Legette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</si>
  <si>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NEWR105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</si>
  <si>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Darnold</t>
    </r>
    <r>
      <rPr>
        <rFont val="Roboto, sans-serif"/>
      </rPr>
      <t xml:space="preserve">
SEAQB22</t>
    </r>
  </si>
  <si>
    <t>WR101</t>
  </si>
  <si>
    <r>
      <rPr>
        <rFont val="Poppins, Arial, Helvetica, sans-serif"/>
        <color rgb="FF1155CC"/>
        <u/>
      </rPr>
      <t>Will Howard</t>
    </r>
    <r>
      <rPr>
        <rFont val="Poppins, Arial, Helvetica, sans-serif"/>
      </rPr>
      <t>PIT (9)</t>
    </r>
  </si>
  <si>
    <t>QB32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</si>
  <si>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Bond</t>
    </r>
    <r>
      <rPr>
        <rFont val="Roboto, sans-serif"/>
      </rPr>
      <t xml:space="preserve">
CLEWR106</t>
    </r>
  </si>
  <si>
    <r>
      <rPr>
        <rFont val="Poppins, Arial, Helvetica, sans-serif"/>
        <color rgb="FF1155CC"/>
        <u/>
      </rPr>
      <t>Ryan Flournoy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</si>
  <si>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Gainwell</t>
    </r>
    <r>
      <rPr>
        <rFont val="Roboto, sans-serif"/>
      </rPr>
      <t xml:space="preserve">
TBRB39</t>
    </r>
  </si>
  <si>
    <t>240 +10</t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</si>
  <si>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Legette</t>
    </r>
    <r>
      <rPr>
        <rFont val="Roboto, sans-serif"/>
      </rPr>
      <t xml:space="preserve">
CARWR107</t>
    </r>
  </si>
  <si>
    <r>
      <rPr>
        <rFont val="Poppins, Arial, Helvetica, sans-serif"/>
        <color rgb="FF1155CC"/>
        <u/>
      </rPr>
      <t>Marvin Mims Jr.</t>
    </r>
    <r>
      <rPr>
        <rFont val="Poppins, Arial, Helvetica, sans-serif"/>
      </rPr>
      <t>DEN (10)</t>
    </r>
  </si>
  <si>
    <r>
      <rPr>
        <rFont val="Poppins, Arial, Helvetica, sans-serif"/>
        <color rgb="FF1155CC"/>
        <u/>
      </rPr>
      <t>Calvin Ridley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</si>
  <si>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Ward</t>
    </r>
    <r>
      <rPr>
        <rFont val="Roboto, sans-serif"/>
      </rPr>
      <t xml:space="preserve">
TENQB23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</si>
  <si>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achaad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White</t>
    </r>
    <r>
      <rPr>
        <rFont val="Roboto, sans-serif"/>
      </rPr>
      <t xml:space="preserve">
WASRB62</t>
    </r>
  </si>
  <si>
    <t>181 +71</t>
  </si>
  <si>
    <r>
      <rPr>
        <rFont val="Poppins, Arial, Helvetica, sans-serif"/>
        <color rgb="FF1155CC"/>
        <u/>
      </rPr>
      <t>Tyler Shough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</si>
  <si>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athaniel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Dell</t>
    </r>
    <r>
      <rPr>
        <rFont val="Roboto, sans-serif"/>
      </rPr>
      <t xml:space="preserve">
HOUWR108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</si>
  <si>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WASWR61</t>
    </r>
  </si>
  <si>
    <t>150 +103</t>
  </si>
  <si>
    <r>
      <rPr>
        <rFont val="Poppins, Arial, Helvetica, sans-serif"/>
        <color rgb="FF1155CC"/>
        <u/>
      </rPr>
      <t>Ben Sinnott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</si>
  <si>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Endries</t>
    </r>
    <r>
      <rPr>
        <rFont val="Roboto, sans-serif"/>
      </rPr>
      <t xml:space="preserve">
CINTE43</t>
    </r>
  </si>
  <si>
    <t>TE42</t>
  </si>
  <si>
    <r>
      <rPr>
        <rFont val="Poppins, Arial, Helvetica, sans-serif"/>
        <color rgb="FF1155CC"/>
        <u/>
      </rPr>
      <t>Jam Miller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</si>
  <si>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Dowdle</t>
    </r>
    <r>
      <rPr>
        <rFont val="Roboto, sans-serif"/>
      </rPr>
      <t xml:space="preserve">
PITRB40</t>
    </r>
  </si>
  <si>
    <t>RB76</t>
  </si>
  <si>
    <r>
      <rPr>
        <rFont val="Poppins, Arial, Helvetica, sans-serif"/>
        <color rgb="FF1155CC"/>
        <u/>
      </rPr>
      <t>Christian Kirk</t>
    </r>
    <r>
      <rPr>
        <rFont val="Poppins, Arial, Helvetica, sans-serif"/>
      </rPr>
      <t>SF (8)</t>
    </r>
  </si>
  <si>
    <t>TE47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</si>
  <si>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SEARB63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</si>
  <si>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Andrews</t>
    </r>
    <r>
      <rPr>
        <rFont val="Roboto, sans-serif"/>
      </rPr>
      <t xml:space="preserve">
BALTE16</t>
    </r>
  </si>
  <si>
    <t>WR105</t>
  </si>
  <si>
    <r>
      <rPr>
        <rFont val="Poppins, Arial, Helvetica, sans-serif"/>
        <color rgb="FF1155CC"/>
        <u/>
      </rPr>
      <t>Demond Claiborne</t>
    </r>
    <r>
      <rPr>
        <rFont val="Poppins, Arial, Helvetica, sans-serif"/>
      </rPr>
      <t>MIN (6)</t>
    </r>
  </si>
  <si>
    <t>226 +31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</si>
  <si>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INDQB26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</si>
  <si>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LACWR62</t>
    </r>
  </si>
  <si>
    <r>
      <rPr>
        <rFont val="Poppins, Arial, Helvetica, sans-serif"/>
        <color rgb="FF1155CC"/>
        <u/>
      </rPr>
      <t>LeQuint Allen Jr.</t>
    </r>
    <r>
      <rPr>
        <rFont val="Poppins, Arial, Helvetica, sans-serif"/>
      </rPr>
      <t>JAC (7)</t>
    </r>
  </si>
  <si>
    <r>
      <rPr>
        <rFont val="Poppins, Arial, Helvetica, sans-serif"/>
        <color rgb="FF1155CC"/>
        <u/>
      </rPr>
      <t>Dontayvion Wicks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</si>
  <si>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eenan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UNSWR109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</si>
  <si>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Strange</t>
    </r>
    <r>
      <rPr>
        <rFont val="Roboto, sans-serif"/>
      </rPr>
      <t xml:space="preserve">
JACTE17</t>
    </r>
  </si>
  <si>
    <t>265 -6</t>
  </si>
  <si>
    <r>
      <rPr>
        <rFont val="Poppins, Arial, Helvetica, sans-serif"/>
        <color rgb="FF1155CC"/>
        <u/>
      </rPr>
      <t>Hollywood Brown</t>
    </r>
    <r>
      <rPr>
        <rFont val="Poppins, Arial, Helvetica, sans-serif"/>
      </rPr>
      <t>PHI (10)</t>
    </r>
  </si>
  <si>
    <t>WR116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</si>
  <si>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ont'e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Thornton Jr.</t>
    </r>
    <r>
      <rPr>
        <rFont val="Roboto, sans-serif"/>
      </rPr>
      <t xml:space="preserve">
LVRWR110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</si>
  <si>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uwan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NOTE18</t>
    </r>
  </si>
  <si>
    <r>
      <rPr>
        <rFont val="Poppins, Arial, Helvetica, sans-serif"/>
        <color rgb="FF1155CC"/>
        <u/>
      </rPr>
      <t>Rashod Bateman</t>
    </r>
    <r>
      <rPr>
        <rFont val="Poppins, Arial, Helvetica, sans-serif"/>
      </rPr>
      <t>BAL (13)</t>
    </r>
  </si>
  <si>
    <t>WR109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</si>
  <si>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LARWR111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</si>
  <si>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Brooks</t>
    </r>
    <r>
      <rPr>
        <rFont val="Roboto, sans-serif"/>
      </rPr>
      <t xml:space="preserve">
CARRB41</t>
    </r>
  </si>
  <si>
    <t>239 +22</t>
  </si>
  <si>
    <r>
      <rPr>
        <rFont val="Poppins, Arial, Helvetica, sans-serif"/>
        <color rgb="FF1155CC"/>
        <u/>
      </rPr>
      <t>J'Mari Taylor</t>
    </r>
    <r>
      <rPr>
        <rFont val="Poppins, Arial, Helvetica, sans-serif"/>
      </rPr>
      <t>JAC (7)</t>
    </r>
  </si>
  <si>
    <t>WR119</t>
  </si>
  <si>
    <t>RB79</t>
  </si>
  <si>
    <r>
      <rPr>
        <rFont val="Poppins, Arial, Helvetica, sans-serif"/>
        <color rgb="FF1155CC"/>
        <u/>
      </rPr>
      <t>Dont'e Thornton Jr.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</si>
  <si>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TBWR112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</si>
  <si>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errance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LARTE19</t>
    </r>
  </si>
  <si>
    <r>
      <rPr>
        <rFont val="Poppins, Arial, Helvetica, sans-serif"/>
        <color rgb="FF1155CC"/>
        <u/>
      </rPr>
      <t>Deion Burks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</si>
  <si>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PITRB64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</si>
  <si>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Noel</t>
    </r>
    <r>
      <rPr>
        <rFont val="Roboto, sans-serif"/>
      </rPr>
      <t xml:space="preserve">
HOUWR63</t>
    </r>
  </si>
  <si>
    <r>
      <rPr>
        <rFont val="Poppins, Arial, Helvetica, sans-serif"/>
        <color rgb="FF1155CC"/>
        <u/>
      </rPr>
      <t>Joe Mixon</t>
    </r>
  </si>
  <si>
    <t>RB80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</si>
  <si>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Randall</t>
    </r>
    <r>
      <rPr>
        <rFont val="Roboto, sans-serif"/>
      </rPr>
      <t xml:space="preserve">
BALRB65</t>
    </r>
  </si>
  <si>
    <r>
      <rPr>
        <rFont val="Poppins, Arial, Helvetica, sans-serif"/>
        <color rgb="FF1155CC"/>
        <u/>
      </rPr>
      <t>Cole Kmet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</si>
  <si>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NYJRB42</t>
    </r>
  </si>
  <si>
    <t>RB85</t>
  </si>
  <si>
    <r>
      <rPr>
        <rFont val="Poppins, Arial, Helvetica, sans-serif"/>
        <color rgb="FF1155CC"/>
        <u/>
      </rPr>
      <t>Carson Beck</t>
    </r>
    <r>
      <rPr>
        <rFont val="Poppins, Arial, Helvetica, sans-serif"/>
      </rPr>
      <t>ARI (14)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</si>
  <si>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Neal</t>
    </r>
    <r>
      <rPr>
        <rFont val="Roboto, sans-serif"/>
      </rPr>
      <t xml:space="preserve">
NORB66</t>
    </r>
  </si>
  <si>
    <t>QB34</t>
  </si>
  <si>
    <r>
      <rPr>
        <rFont val="Poppins, Arial, Helvetica, sans-serif"/>
        <color rgb="FF1155CC"/>
        <u/>
      </rPr>
      <t>Kaelon Black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</si>
  <si>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Goedert</t>
    </r>
    <r>
      <rPr>
        <rFont val="Roboto, sans-serif"/>
      </rPr>
      <t xml:space="preserve">
PHITE20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</si>
  <si>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Sinnott</t>
    </r>
    <r>
      <rPr>
        <rFont val="Roboto, sans-serif"/>
      </rPr>
      <t xml:space="preserve">
WASTE44</t>
    </r>
  </si>
  <si>
    <t>225 +43</t>
  </si>
  <si>
    <r>
      <rPr>
        <rFont val="Poppins, Arial, Helvetica, sans-serif"/>
        <color rgb="FF1155CC"/>
        <u/>
      </rPr>
      <t>Quinn Ewers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</si>
  <si>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yjae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Spears</t>
    </r>
    <r>
      <rPr>
        <rFont val="Roboto, sans-serif"/>
      </rPr>
      <t xml:space="preserve">
TENRB43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</si>
  <si>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Blue</t>
    </r>
    <r>
      <rPr>
        <rFont val="Roboto, sans-serif"/>
      </rPr>
      <t xml:space="preserve">
DALRB67</t>
    </r>
  </si>
  <si>
    <t>QB35</t>
  </si>
  <si>
    <r>
      <rPr>
        <rFont val="Poppins, Arial, Helvetica, sans-serif"/>
        <color rgb="FF1155CC"/>
        <u/>
      </rPr>
      <t>Isaiah Davis</t>
    </r>
    <r>
      <rPr>
        <rFont val="Poppins, Arial, Helvetica, sans-serif"/>
      </rPr>
      <t>NYJ (13)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</si>
  <si>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BALWR64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</si>
  <si>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Burks</t>
    </r>
    <r>
      <rPr>
        <rFont val="Roboto, sans-serif"/>
      </rPr>
      <t xml:space="preserve">
INDWR113</t>
    </r>
  </si>
  <si>
    <r>
      <rPr>
        <rFont val="Poppins, Arial, Helvetica, sans-serif"/>
        <color rgb="FF1155CC"/>
        <u/>
      </rPr>
      <t>Mike Gesicki</t>
    </r>
    <r>
      <rPr>
        <rFont val="Poppins, Arial, Helvetica, sans-serif"/>
      </rPr>
      <t>CIN (6)</t>
    </r>
  </si>
  <si>
    <t>WR111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</si>
  <si>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Ridley</t>
    </r>
    <r>
      <rPr>
        <rFont val="Roboto, sans-serif"/>
      </rPr>
      <t xml:space="preserve">
TENWR114</t>
    </r>
  </si>
  <si>
    <r>
      <rPr>
        <rFont val="Poppins, Arial, Helvetica, sans-serif"/>
        <color rgb="FF1155CC"/>
        <u/>
      </rPr>
      <t>Noah Gray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</si>
  <si>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Pearsall</t>
    </r>
    <r>
      <rPr>
        <rFont val="Roboto, sans-serif"/>
      </rPr>
      <t xml:space="preserve">
SFWR65</t>
    </r>
  </si>
  <si>
    <t>TE45</t>
  </si>
  <si>
    <r>
      <rPr>
        <rFont val="Poppins, Arial, Helvetica, sans-serif"/>
        <color rgb="FF1155CC"/>
        <u/>
      </rPr>
      <t>Deshaun Watson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</si>
  <si>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TBRB68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</si>
  <si>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Arroyo</t>
    </r>
    <r>
      <rPr>
        <rFont val="Roboto, sans-serif"/>
      </rPr>
      <t xml:space="preserve">
SEATE21</t>
    </r>
  </si>
  <si>
    <t>QB36</t>
  </si>
  <si>
    <r>
      <rPr>
        <rFont val="Poppins, Arial, Helvetica, sans-serif"/>
        <color rgb="FF1155CC"/>
        <u/>
      </rPr>
      <t>Cedric Tillman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</si>
  <si>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LARQB27</t>
    </r>
  </si>
  <si>
    <r>
      <rPr>
        <rFont val="Poppins, Arial, Helvetica, sans-serif"/>
        <color rgb="FF1155CC"/>
        <u/>
      </rPr>
      <t>Tyquan Thornton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</si>
  <si>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JACWR66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</si>
  <si>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imani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Vidal</t>
    </r>
    <r>
      <rPr>
        <rFont val="Roboto, sans-serif"/>
      </rPr>
      <t xml:space="preserve">
LACRB69</t>
    </r>
  </si>
  <si>
    <t>WR112</t>
  </si>
  <si>
    <r>
      <rPr>
        <rFont val="Poppins, Arial, Helvetica, sans-serif"/>
        <color rgb="FF1155CC"/>
        <u/>
      </rPr>
      <t>Kendre Miller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</si>
  <si>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Kelce</t>
    </r>
    <r>
      <rPr>
        <rFont val="Roboto, sans-serif"/>
      </rPr>
      <t xml:space="preserve">
KCTE22</t>
    </r>
  </si>
  <si>
    <t>RB83</t>
  </si>
  <si>
    <r>
      <rPr>
        <rFont val="Poppins, Arial, Helvetica, sans-serif"/>
        <color rgb="FF1155CC"/>
        <u/>
      </rPr>
      <t>Shedeur Sanders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</si>
  <si>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James</t>
    </r>
    <r>
      <rPr>
        <rFont val="Roboto, sans-serif"/>
      </rPr>
      <t xml:space="preserve">
SFRB70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</si>
  <si>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unter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NETE23</t>
    </r>
  </si>
  <si>
    <t>QB37</t>
  </si>
  <si>
    <t>255 +22</t>
  </si>
  <si>
    <r>
      <rPr>
        <rFont val="Poppins, Arial, Helvetica, sans-serif"/>
        <color rgb="FF1155CC"/>
        <u/>
      </rPr>
      <t>Jahan Dotson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</si>
  <si>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ylan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Sampson</t>
    </r>
    <r>
      <rPr>
        <rFont val="Roboto, sans-serif"/>
      </rPr>
      <t xml:space="preserve">
CLERB71</t>
    </r>
  </si>
  <si>
    <t>WR113</t>
  </si>
  <si>
    <r>
      <rPr>
        <rFont val="Poppins, Arial, Helvetica, sans-serif"/>
        <color rgb="FF1155CC"/>
        <u/>
      </rPr>
      <t>Jalen Royals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</si>
  <si>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Barner</t>
    </r>
    <r>
      <rPr>
        <rFont val="Roboto, sans-serif"/>
      </rPr>
      <t xml:space="preserve">
SEATE24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</si>
  <si>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Tonges</t>
    </r>
    <r>
      <rPr>
        <rFont val="Roboto, sans-serif"/>
      </rPr>
      <t xml:space="preserve">
SFTE45</t>
    </r>
  </si>
  <si>
    <r>
      <rPr>
        <rFont val="Poppins, Arial, Helvetica, sans-serif"/>
        <color rgb="FF1155CC"/>
        <u/>
      </rPr>
      <t>Eli Heidenreich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</si>
  <si>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unnar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Helm</t>
    </r>
    <r>
      <rPr>
        <rFont val="Roboto, sans-serif"/>
      </rPr>
      <t xml:space="preserve">
TENTE25</t>
    </r>
  </si>
  <si>
    <t>RB84</t>
  </si>
  <si>
    <r>
      <rPr>
        <rFont val="Poppins, Arial, Helvetica, sans-serif"/>
        <color rgb="FF1155CC"/>
        <u/>
      </rPr>
      <t>Darnell Washington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</si>
  <si>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yquan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Thornton</t>
    </r>
    <r>
      <rPr>
        <rFont val="Roboto, sans-serif"/>
      </rPr>
      <t xml:space="preserve">
KCWR115</t>
    </r>
  </si>
  <si>
    <r>
      <rPr>
        <rFont val="Poppins, Arial, Helvetica, sans-serif"/>
        <color rgb="FF1155CC"/>
        <u/>
      </rPr>
      <t>Cooper Kupp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</si>
  <si>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TBWR67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</si>
  <si>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MINRB72</t>
    </r>
  </si>
  <si>
    <t>WR115</t>
  </si>
  <si>
    <t>270 +12</t>
  </si>
  <si>
    <r>
      <rPr>
        <rFont val="Poppins, Arial, Helvetica, sans-serif"/>
        <color rgb="FF1155CC"/>
        <u/>
      </rPr>
      <t>Jack Endries</t>
    </r>
    <r>
      <rPr>
        <rFont val="Poppins, Arial, Helvetica, sans-serif"/>
      </rPr>
      <t>CIN (6)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</si>
  <si>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higoziem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Okonkwo</t>
    </r>
    <r>
      <rPr>
        <rFont val="Roboto, sans-serif"/>
      </rPr>
      <t xml:space="preserve">
WASTE26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</si>
  <si>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evaughn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Vele</t>
    </r>
    <r>
      <rPr>
        <rFont val="Roboto, sans-serif"/>
      </rPr>
      <t xml:space="preserve">
NOWR116</t>
    </r>
  </si>
  <si>
    <r>
      <rPr>
        <rFont val="Poppins, Arial, Helvetica, sans-serif"/>
        <color rgb="FF1155CC"/>
        <u/>
      </rPr>
      <t>Roman Hemby</t>
    </r>
    <r>
      <rPr>
        <rFont val="Poppins, Arial, Helvetica, sans-serif"/>
      </rPr>
      <t>LV (13)</t>
    </r>
  </si>
  <si>
    <r>
      <rPr>
        <rFont val="Poppins, Arial, Helvetica, sans-serif"/>
        <color rgb="FF1155CC"/>
        <u/>
      </rPr>
      <t>Keenan Allen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</si>
  <si>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Young</t>
    </r>
    <r>
      <rPr>
        <rFont val="Roboto, sans-serif"/>
      </rPr>
      <t xml:space="preserve">
CARQB24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</si>
  <si>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ooper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Kupp</t>
    </r>
    <r>
      <rPr>
        <rFont val="Roboto, sans-serif"/>
      </rPr>
      <t xml:space="preserve">
SEAWR117</t>
    </r>
  </si>
  <si>
    <r>
      <rPr>
        <rFont val="Poppins, Arial, Helvetica, sans-serif"/>
        <color rgb="FF1155CC"/>
        <u/>
      </rPr>
      <t>Bryce Lance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</si>
  <si>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Kamara</t>
    </r>
    <r>
      <rPr>
        <rFont val="Roboto, sans-serif"/>
      </rPr>
      <t xml:space="preserve">
NORB73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</si>
  <si>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Freiermuth</t>
    </r>
    <r>
      <rPr>
        <rFont val="Roboto, sans-serif"/>
      </rPr>
      <t xml:space="preserve">
PITTE27</t>
    </r>
  </si>
  <si>
    <r>
      <rPr>
        <rFont val="Poppins, Arial, Helvetica, sans-serif"/>
        <color rgb="FF1155CC"/>
        <u/>
      </rPr>
      <t>DeMario Douglas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</si>
  <si>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eQuint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JACRB74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</si>
  <si>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roy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Franklin</t>
    </r>
    <r>
      <rPr>
        <rFont val="Roboto, sans-serif"/>
      </rPr>
      <t xml:space="preserve">
DENWR68</t>
    </r>
  </si>
  <si>
    <r>
      <rPr>
        <rFont val="Poppins, Arial, Helvetica, sans-serif"/>
        <color rgb="FF1155CC"/>
        <u/>
      </rPr>
      <t>Noah Thomas</t>
    </r>
    <r>
      <rPr>
        <rFont val="Poppins, Arial, Helvetica, sans-serif"/>
      </rPr>
      <t>CIN (6)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</si>
  <si>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Dotson</t>
    </r>
    <r>
      <rPr>
        <rFont val="Roboto, sans-serif"/>
      </rPr>
      <t xml:space="preserve">
ATLWR118</t>
    </r>
  </si>
  <si>
    <r>
      <rPr>
        <rFont val="Poppins, Arial, Helvetica, sans-serif"/>
        <color rgb="FF1155CC"/>
        <u/>
      </rPr>
      <t>Trevor Etienne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</si>
  <si>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Schultz</t>
    </r>
    <r>
      <rPr>
        <rFont val="Roboto, sans-serif"/>
      </rPr>
      <t xml:space="preserve">
HOUTE28</t>
    </r>
  </si>
  <si>
    <t>RB86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</si>
  <si>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Kirk</t>
    </r>
    <r>
      <rPr>
        <rFont val="Roboto, sans-serif"/>
      </rPr>
      <t xml:space="preserve">
SFWR119</t>
    </r>
  </si>
  <si>
    <r>
      <rPr>
        <rFont val="Poppins, Arial, Helvetica, sans-serif"/>
        <color rgb="FF1155CC"/>
        <u/>
      </rPr>
      <t>Dane Key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</si>
  <si>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Boutte</t>
    </r>
    <r>
      <rPr>
        <rFont val="Roboto, sans-serif"/>
      </rPr>
      <t xml:space="preserve">
NEWR69</t>
    </r>
  </si>
  <si>
    <t>WR120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</si>
  <si>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NORB75</t>
    </r>
  </si>
  <si>
    <r>
      <rPr>
        <rFont val="Poppins, Arial, Helvetica, sans-serif"/>
        <color rgb="FF1155CC"/>
        <u/>
      </rPr>
      <t>Marcus Mariota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</si>
  <si>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Mayer</t>
    </r>
    <r>
      <rPr>
        <rFont val="Roboto, sans-serif"/>
      </rPr>
      <t xml:space="preserve">
LVRTE29</t>
    </r>
  </si>
  <si>
    <t>QB38</t>
  </si>
  <si>
    <r>
      <rPr>
        <rFont val="Poppins, Arial, Helvetica, sans-serif"/>
        <color rgb="FF1155CC"/>
        <u/>
      </rPr>
      <t>Riley Leonard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</si>
  <si>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Giddens</t>
    </r>
    <r>
      <rPr>
        <rFont val="Roboto, sans-serif"/>
      </rPr>
      <t xml:space="preserve">
INDRB76</t>
    </r>
  </si>
  <si>
    <t>QB39</t>
  </si>
  <si>
    <r>
      <rPr>
        <rFont val="Poppins, Arial, Helvetica, sans-serif"/>
        <color rgb="FF1155CC"/>
        <u/>
      </rPr>
      <t>Trebor Pena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</si>
  <si>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ATLWR70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</si>
  <si>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Conner</t>
    </r>
    <r>
      <rPr>
        <rFont val="Roboto, sans-serif"/>
      </rPr>
      <t xml:space="preserve">
ARIRB77</t>
    </r>
  </si>
  <si>
    <t>WR121</t>
  </si>
  <si>
    <r>
      <rPr>
        <rFont val="Poppins, Arial, Helvetica, sans-serif"/>
        <color rgb="FF1155CC"/>
        <u/>
      </rPr>
      <t>Aaron Anderson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</si>
  <si>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CARWR71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</si>
  <si>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ajee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UNSRB78</t>
    </r>
  </si>
  <si>
    <t>WR122</t>
  </si>
  <si>
    <r>
      <rPr>
        <rFont val="Poppins, Arial, Helvetica, sans-serif"/>
        <color rgb="FF1155CC"/>
        <u/>
      </rPr>
      <t>Eric McAlister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</si>
  <si>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BUFRB79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</si>
  <si>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Stafford</t>
    </r>
    <r>
      <rPr>
        <rFont val="Roboto, sans-serif"/>
      </rPr>
      <t xml:space="preserve">
LARQB25</t>
    </r>
  </si>
  <si>
    <t>WR123</t>
  </si>
  <si>
    <r>
      <rPr>
        <rFont val="Poppins, Arial, Helvetica, sans-serif"/>
        <color rgb="FF1155CC"/>
        <u/>
      </rPr>
      <t>Garrett Nussmeier</t>
    </r>
    <r>
      <rPr>
        <rFont val="Poppins, Arial, Helvetica, sans-serif"/>
      </rPr>
      <t>KC (5)</t>
    </r>
  </si>
  <si>
    <t>QB40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</si>
  <si>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CARRB80</t>
    </r>
  </si>
  <si>
    <r>
      <rPr>
        <rFont val="Poppins, Arial, Helvetica, sans-serif"/>
        <color rgb="FF1155CC"/>
        <u/>
      </rPr>
      <t>Anthony Richardson Sr.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</si>
  <si>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LVRWR72</t>
    </r>
  </si>
  <si>
    <t>QB41</t>
  </si>
  <si>
    <r>
      <rPr>
        <rFont val="Poppins, Arial, Helvetica, sans-serif"/>
        <color rgb="FF1155CC"/>
        <u/>
      </rPr>
      <t>Justin Joly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</si>
  <si>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rashard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KCRB81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</si>
  <si>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MIAWR73</t>
    </r>
  </si>
  <si>
    <t>TE48</t>
  </si>
  <si>
    <r>
      <rPr>
        <rFont val="Poppins, Arial, Helvetica, sans-serif"/>
        <color rgb="FF1155CC"/>
        <u/>
      </rPr>
      <t>Drew Allar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</si>
  <si>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DALTE46</t>
    </r>
  </si>
  <si>
    <t>QB42</t>
  </si>
  <si>
    <r>
      <rPr>
        <rFont val="Poppins, Arial, Helvetica, sans-serif"/>
        <color rgb="FF1155CC"/>
        <u/>
      </rPr>
      <t>Josh Cameron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</si>
  <si>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Jeudy</t>
    </r>
    <r>
      <rPr>
        <rFont val="Roboto, sans-serif"/>
      </rPr>
      <t xml:space="preserve">
CLEWR74</t>
    </r>
  </si>
  <si>
    <t>WR124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</si>
  <si>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NERB82</t>
    </r>
  </si>
  <si>
    <r>
      <rPr>
        <rFont val="Poppins, Arial, Helvetica, sans-serif"/>
        <color rgb="FF1155CC"/>
        <u/>
      </rPr>
      <t>Eric Rivers Jr.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</si>
  <si>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Ayomanor</t>
    </r>
    <r>
      <rPr>
        <rFont val="Roboto, sans-serif"/>
      </rPr>
      <t xml:space="preserve">
TENWR75</t>
    </r>
  </si>
  <si>
    <t>WR125</t>
  </si>
  <si>
    <r>
      <rPr>
        <rFont val="Poppins, Arial, Helvetica, sans-serif"/>
        <color rgb="FF1155CC"/>
        <u/>
      </rPr>
      <t>Lake McRee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</si>
  <si>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Tagovailoa</t>
    </r>
    <r>
      <rPr>
        <rFont val="Roboto, sans-serif"/>
      </rPr>
      <t xml:space="preserve">
ATLQB28</t>
    </r>
  </si>
  <si>
    <t>TE49</t>
  </si>
  <si>
    <r>
      <rPr>
        <rFont val="Poppins, Arial, Helvetica, sans-serif"/>
        <color rgb="FF1155CC"/>
        <u/>
      </rPr>
      <t>Bauer Sharp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</si>
  <si>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BALWR76</t>
    </r>
  </si>
  <si>
    <t>QB47</t>
  </si>
  <si>
    <t>TE50</t>
  </si>
  <si>
    <r>
      <rPr>
        <rFont val="Poppins, Arial, Helvetica, sans-serif"/>
        <color rgb="FF1155CC"/>
        <u/>
      </rPr>
      <t>Davon Booth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</si>
  <si>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Heidenreich</t>
    </r>
    <r>
      <rPr>
        <rFont val="Roboto, sans-serif"/>
      </rPr>
      <t xml:space="preserve">
PITWR83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</si>
  <si>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Otton</t>
    </r>
    <r>
      <rPr>
        <rFont val="Roboto, sans-serif"/>
      </rPr>
      <t xml:space="preserve">
TBTE30</t>
    </r>
  </si>
  <si>
    <t>RB87</t>
  </si>
  <si>
    <r>
      <rPr>
        <rFont val="Poppins, Arial, Helvetica, sans-serif"/>
        <color rgb="FF1155CC"/>
        <u/>
      </rPr>
      <t>Cade Klubnik</t>
    </r>
    <r>
      <rPr>
        <rFont val="Poppins, Arial, Helvetica, sans-serif"/>
      </rPr>
      <t>NYJ (13)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</si>
  <si>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hedeur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CLEQB29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</si>
  <si>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tefon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Diggs</t>
    </r>
    <r>
      <rPr>
        <rFont val="Roboto, sans-serif"/>
      </rPr>
      <t xml:space="preserve">
WASWR77</t>
    </r>
  </si>
  <si>
    <t>QB43</t>
  </si>
  <si>
    <r>
      <rPr>
        <rFont val="Poppins, Arial, Helvetica, sans-serif"/>
        <color rgb="FF1155CC"/>
        <u/>
      </rPr>
      <t>Nate Boerkircher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</si>
  <si>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oah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Gray</t>
    </r>
    <r>
      <rPr>
        <rFont val="Roboto, sans-serif"/>
      </rPr>
      <t xml:space="preserve">
KCTE47</t>
    </r>
  </si>
  <si>
    <t>TE51</t>
  </si>
  <si>
    <r>
      <rPr>
        <rFont val="Poppins, Arial, Helvetica, sans-serif"/>
        <color rgb="FF1155CC"/>
        <u/>
      </rPr>
      <t>Sam Roush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</si>
  <si>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Jennings</t>
    </r>
    <r>
      <rPr>
        <rFont val="Roboto, sans-serif"/>
      </rPr>
      <t xml:space="preserve">
MINWR78</t>
    </r>
  </si>
  <si>
    <t>TE52</t>
  </si>
  <si>
    <r>
      <rPr>
        <rFont val="Poppins, Arial, Helvetica, sans-serif"/>
        <color rgb="FF1155CC"/>
        <u/>
      </rPr>
      <t>Lance Mason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</si>
  <si>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Mixon</t>
    </r>
    <r>
      <rPr>
        <rFont val="Roboto, sans-serif"/>
      </rPr>
      <t xml:space="preserve">
UNSRB84</t>
    </r>
  </si>
  <si>
    <t>TE53</t>
  </si>
  <si>
    <r>
      <rPr>
        <rFont val="Poppins, Arial, Helvetica, sans-serif"/>
        <color rgb="FF1155CC"/>
        <u/>
      </rPr>
      <t>Jameis Winston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</si>
  <si>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Bech</t>
    </r>
    <r>
      <rPr>
        <rFont val="Roboto, sans-serif"/>
      </rPr>
      <t xml:space="preserve">
LVRWR79</t>
    </r>
  </si>
  <si>
    <t>QB44</t>
  </si>
  <si>
    <r>
      <rPr>
        <rFont val="Poppins, Arial, Helvetica, sans-serif"/>
        <color rgb="FF1155CC"/>
        <u/>
      </rPr>
      <t>Joe Milton III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</si>
  <si>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Penix Jr.</t>
    </r>
    <r>
      <rPr>
        <rFont val="Roboto, sans-serif"/>
      </rPr>
      <t xml:space="preserve">
ATLQB30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</si>
  <si>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DENRB44</t>
    </r>
  </si>
  <si>
    <t>QB45</t>
  </si>
  <si>
    <r>
      <rPr>
        <rFont val="Poppins, Arial, Helvetica, sans-serif"/>
        <color rgb="FF1155CC"/>
        <u/>
      </rPr>
      <t>Marlin Klein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</si>
  <si>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'Mari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JACRB85</t>
    </r>
  </si>
  <si>
    <t>TE54</t>
  </si>
  <si>
    <r>
      <rPr>
        <rFont val="Poppins, Arial, Helvetica, sans-serif"/>
        <color rgb="FF1155CC"/>
        <u/>
      </rPr>
      <t>Emmanuel Henderson Jr.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</si>
  <si>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Hockenson</t>
    </r>
    <r>
      <rPr>
        <rFont val="Roboto, sans-serif"/>
      </rPr>
      <t xml:space="preserve">
MINTE31</t>
    </r>
  </si>
  <si>
    <t>WR126</t>
  </si>
  <si>
    <r>
      <rPr>
        <rFont val="Poppins, Arial, Helvetica, sans-serif"/>
        <color rgb="FF1155CC"/>
        <u/>
      </rPr>
      <t>Tyson Bagent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</si>
  <si>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Hemby</t>
    </r>
    <r>
      <rPr>
        <rFont val="Roboto, sans-serif"/>
      </rPr>
      <t xml:space="preserve">
LVRRB86</t>
    </r>
  </si>
  <si>
    <t>QB46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</si>
  <si>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Rodriguez</t>
    </r>
    <r>
      <rPr>
        <rFont val="Roboto, sans-serif"/>
      </rPr>
      <t xml:space="preserve">
JACRB45</t>
    </r>
  </si>
  <si>
    <r>
      <rPr>
        <rFont val="Poppins, Arial, Helvetica, sans-serif"/>
        <color rgb="FF1155CC"/>
        <u/>
      </rPr>
      <t>DT Sheffield</t>
    </r>
    <r>
      <rPr>
        <rFont val="Poppins, Arial, Helvetica, sans-serif"/>
      </rPr>
      <t>NYJ (13)</t>
    </r>
  </si>
  <si>
    <t>WR127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</si>
  <si>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McCarthy</t>
    </r>
    <r>
      <rPr>
        <rFont val="Roboto, sans-serif"/>
      </rPr>
      <t xml:space="preserve">
MINQB31</t>
    </r>
  </si>
  <si>
    <r>
      <rPr>
        <rFont val="Poppins, Arial, Helvetica, sans-serif"/>
        <color rgb="FF1155CC"/>
        <u/>
      </rPr>
      <t>DJ Rogers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</si>
  <si>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Njoku</t>
    </r>
    <r>
      <rPr>
        <rFont val="Roboto, sans-serif"/>
      </rPr>
      <t xml:space="preserve">
LACTE32</t>
    </r>
  </si>
  <si>
    <t>TE55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</si>
  <si>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eshaun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CLEQB32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</si>
  <si>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ontayvion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Wicks</t>
    </r>
    <r>
      <rPr>
        <rFont val="Roboto, sans-serif"/>
      </rPr>
      <t xml:space="preserve">
PHIWR80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</si>
  <si>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Allar</t>
    </r>
    <r>
      <rPr>
        <rFont val="Roboto, sans-serif"/>
      </rPr>
      <t xml:space="preserve">
PITQB33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</si>
  <si>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MINRB46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</si>
  <si>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</t>
    </r>
    <r>
      <rPr>
        <rFont val="Roboto, sans-serif"/>
      </rPr>
      <t xml:space="preserve">
ARIQB34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</si>
  <si>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Thompson</t>
    </r>
    <r>
      <rPr>
        <rFont val="Roboto, sans-serif"/>
      </rPr>
      <t xml:space="preserve">
LACWR81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</si>
  <si>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nthony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Richardson</t>
    </r>
    <r>
      <rPr>
        <rFont val="Roboto, sans-serif"/>
      </rPr>
      <t xml:space="preserve">
INDQB35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</si>
  <si>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yrone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Tracy Jr.</t>
    </r>
    <r>
      <rPr>
        <rFont val="Roboto, sans-serif"/>
      </rPr>
      <t xml:space="preserve">
NYGRB47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</si>
  <si>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Klubnik</t>
    </r>
    <r>
      <rPr>
        <rFont val="Roboto, sans-serif"/>
      </rPr>
      <t xml:space="preserve">
NYJQB36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</si>
  <si>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NYGTE33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</si>
  <si>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Milroe</t>
    </r>
    <r>
      <rPr>
        <rFont val="Roboto, sans-serif"/>
      </rPr>
      <t xml:space="preserve">
SEAQB37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</si>
  <si>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Horton</t>
    </r>
    <r>
      <rPr>
        <rFont val="Roboto, sans-serif"/>
      </rPr>
      <t xml:space="preserve">
SEAWR82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</si>
  <si>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Cousins</t>
    </r>
    <r>
      <rPr>
        <rFont val="Roboto, sans-serif"/>
      </rPr>
      <t xml:space="preserve">
LVRQB38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</si>
  <si>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BUFQB1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</si>
  <si>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donai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NYJWR83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</si>
  <si>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Rodgers</t>
    </r>
    <r>
      <rPr>
        <rFont val="Roboto, sans-serif"/>
      </rPr>
      <t xml:space="preserve">
PITQB39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</si>
  <si>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</t>
    </r>
    <r>
      <rPr>
        <rFont val="Roboto, sans-serif"/>
      </rPr>
      <t xml:space="preserve">
NEQB2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</si>
  <si>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Aiyuk</t>
    </r>
    <r>
      <rPr>
        <rFont val="Roboto, sans-serif"/>
      </rPr>
      <t xml:space="preserve">
UNSWR84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</si>
  <si>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Nussmeier</t>
    </r>
    <r>
      <rPr>
        <rFont val="Roboto, sans-serif"/>
      </rPr>
      <t xml:space="preserve">
KCQB40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</si>
  <si>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arcus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Mariota</t>
    </r>
    <r>
      <rPr>
        <rFont val="Roboto, sans-serif"/>
      </rPr>
      <t xml:space="preserve">
WASQB41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</si>
  <si>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WASQB3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</si>
  <si>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Allgeier</t>
    </r>
    <r>
      <rPr>
        <rFont val="Roboto, sans-serif"/>
      </rPr>
      <t xml:space="preserve">
ARIRB48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</si>
  <si>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iley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Leonard</t>
    </r>
    <r>
      <rPr>
        <rFont val="Roboto, sans-serif"/>
      </rPr>
      <t xml:space="preserve">
INDQB42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</si>
  <si>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TENRB49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</si>
  <si>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Jackson</t>
    </r>
    <r>
      <rPr>
        <rFont val="Roboto, sans-serif"/>
      </rPr>
      <t xml:space="preserve">
BALQB4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</si>
  <si>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Winston</t>
    </r>
    <r>
      <rPr>
        <rFont val="Roboto, sans-serif"/>
      </rPr>
      <t xml:space="preserve">
NYGQB43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</si>
  <si>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Lance</t>
    </r>
    <r>
      <rPr>
        <rFont val="Roboto, sans-serif"/>
      </rPr>
      <t xml:space="preserve">
NOWR85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</si>
  <si>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a'Marr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Chase</t>
    </r>
    <r>
      <rPr>
        <rFont val="Roboto, sans-serif"/>
      </rPr>
      <t xml:space="preserve">
CINWR1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</si>
  <si>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Bagent</t>
    </r>
    <r>
      <rPr>
        <rFont val="Roboto, sans-serif"/>
      </rPr>
      <t xml:space="preserve">
CHIQB44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</si>
  <si>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ijan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ATLRB1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</si>
  <si>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TeSlaa</t>
    </r>
    <r>
      <rPr>
        <rFont val="Roboto, sans-serif"/>
      </rPr>
      <t xml:space="preserve">
DETWR86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</si>
  <si>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Milton III</t>
    </r>
    <r>
      <rPr>
        <rFont val="Roboto, sans-serif"/>
      </rPr>
      <t xml:space="preserve">
DALQB45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</si>
  <si>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Smith-Njigba</t>
    </r>
    <r>
      <rPr>
        <rFont val="Roboto, sans-serif"/>
      </rPr>
      <t xml:space="preserve">
SEAWR2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</si>
  <si>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Ewers</t>
    </r>
    <r>
      <rPr>
        <rFont val="Roboto, sans-serif"/>
      </rPr>
      <t xml:space="preserve">
MIAQB46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</si>
  <si>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 Jr.</t>
    </r>
    <r>
      <rPr>
        <rFont val="Roboto, sans-serif"/>
      </rPr>
      <t xml:space="preserve">
ATLRB50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</si>
  <si>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ahmyr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Gibbs</t>
    </r>
    <r>
      <rPr>
        <rFont val="Roboto, sans-serif"/>
      </rPr>
      <t xml:space="preserve">
DETRB2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</si>
  <si>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Howard</t>
    </r>
    <r>
      <rPr>
        <rFont val="Roboto, sans-serif"/>
      </rPr>
      <t xml:space="preserve">
PITQB47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</si>
  <si>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kyler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BUFWR87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</si>
  <si>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uka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Nacua</t>
    </r>
    <r>
      <rPr>
        <rFont val="Roboto, sans-serif"/>
      </rPr>
      <t xml:space="preserve">
LARWR3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</si>
  <si>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Burrow</t>
    </r>
    <r>
      <rPr>
        <rFont val="Roboto, sans-serif"/>
      </rPr>
      <t xml:space="preserve">
CINQB5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</si>
  <si>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Bigsby</t>
    </r>
    <r>
      <rPr>
        <rFont val="Roboto, sans-serif"/>
      </rPr>
      <t xml:space="preserve">
PHIRB51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</si>
  <si>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CHIQB6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</si>
  <si>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achaad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White</t>
    </r>
    <r>
      <rPr>
        <rFont val="Roboto, sans-serif"/>
      </rPr>
      <t xml:space="preserve">
WASRB52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</si>
  <si>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Mahomes</t>
    </r>
    <r>
      <rPr>
        <rFont val="Roboto, sans-serif"/>
      </rPr>
      <t xml:space="preserve">
KCQB7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</si>
  <si>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</si>
  <si>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ARIRB3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</si>
  <si>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BUFWR88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</si>
  <si>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mon-Ra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St. Brown</t>
    </r>
    <r>
      <rPr>
        <rFont val="Roboto, sans-serif"/>
      </rPr>
      <t xml:space="preserve">
DETWR4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</si>
  <si>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WASRB54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</si>
  <si>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eeDee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Lamb</t>
    </r>
    <r>
      <rPr>
        <rFont val="Roboto, sans-serif"/>
      </rPr>
      <t xml:space="preserve">
DALWR5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</si>
  <si>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INDQB26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</si>
  <si>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Jefferson</t>
    </r>
    <r>
      <rPr>
        <rFont val="Roboto, sans-serif"/>
      </rPr>
      <t xml:space="preserve">
MINWR6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</si>
  <si>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eaton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LACRB55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</si>
  <si>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Nabers</t>
    </r>
    <r>
      <rPr>
        <rFont val="Roboto, sans-serif"/>
      </rPr>
      <t xml:space="preserve">
NYGWR7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</si>
  <si>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KCRB56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</si>
  <si>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shton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Jeanty</t>
    </r>
    <r>
      <rPr>
        <rFont val="Roboto, sans-serif"/>
      </rPr>
      <t xml:space="preserve">
LVRRB4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</si>
  <si>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eebo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Samuel</t>
    </r>
    <r>
      <rPr>
        <rFont val="Roboto, sans-serif"/>
      </rPr>
      <t xml:space="preserve">
SFWR89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</si>
  <si>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Hurts</t>
    </r>
    <r>
      <rPr>
        <rFont val="Roboto, sans-serif"/>
      </rPr>
      <t xml:space="preserve">
PHIQB8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</si>
  <si>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Mims Jr.</t>
    </r>
    <r>
      <rPr>
        <rFont val="Roboto, sans-serif"/>
      </rPr>
      <t xml:space="preserve">
DENWR90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</si>
  <si>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LARTE34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</si>
  <si>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Herbert</t>
    </r>
    <r>
      <rPr>
        <rFont val="Roboto, sans-serif"/>
      </rPr>
      <t xml:space="preserve">
LACQB9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</si>
  <si>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Pacheco</t>
    </r>
    <r>
      <rPr>
        <rFont val="Roboto, sans-serif"/>
      </rPr>
      <t xml:space="preserve">
DETRB57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</si>
  <si>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INDRB5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</si>
  <si>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Nailor</t>
    </r>
    <r>
      <rPr>
        <rFont val="Roboto, sans-serif"/>
      </rPr>
      <t xml:space="preserve">
LVRWR91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</si>
  <si>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e'Von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Achane</t>
    </r>
    <r>
      <rPr>
        <rFont val="Roboto, sans-serif"/>
      </rPr>
      <t xml:space="preserve">
MIARB6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</si>
  <si>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llie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Gordon II</t>
    </r>
    <r>
      <rPr>
        <rFont val="Roboto, sans-serif"/>
      </rPr>
      <t xml:space="preserve">
MIARB58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</si>
  <si>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London</t>
    </r>
    <r>
      <rPr>
        <rFont val="Roboto, sans-serif"/>
      </rPr>
      <t xml:space="preserve">
ATLWR8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</si>
  <si>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scar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Delp</t>
    </r>
    <r>
      <rPr>
        <rFont val="Roboto, sans-serif"/>
      </rPr>
      <t xml:space="preserve">
NOTE35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</si>
  <si>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Hampton</t>
    </r>
    <r>
      <rPr>
        <rFont val="Roboto, sans-serif"/>
      </rPr>
      <t xml:space="preserve">
LACRB7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</si>
  <si>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NYJRB59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</si>
  <si>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Lawrence</t>
    </r>
    <r>
      <rPr>
        <rFont val="Roboto, sans-serif"/>
      </rPr>
      <t xml:space="preserve">
JACQB10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</si>
  <si>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van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Engram</t>
    </r>
    <r>
      <rPr>
        <rFont val="Roboto, sans-serif"/>
      </rPr>
      <t xml:space="preserve">
DENTE36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</si>
  <si>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Collins</t>
    </r>
    <r>
      <rPr>
        <rFont val="Roboto, sans-serif"/>
      </rPr>
      <t xml:space="preserve">
HOUWR9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</si>
  <si>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Black</t>
    </r>
    <r>
      <rPr>
        <rFont val="Roboto, sans-serif"/>
      </rPr>
      <t xml:space="preserve">
SFRB60</t>
    </r>
  </si>
  <si>
    <t>T. Lawrence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</si>
  <si>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Bowers</t>
    </r>
    <r>
      <rPr>
        <rFont val="Roboto, sans-serif"/>
      </rPr>
      <t xml:space="preserve">
LVRTE1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</si>
  <si>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ARIRB61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</si>
  <si>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Purdy</t>
    </r>
    <r>
      <rPr>
        <rFont val="Roboto, sans-serif"/>
      </rPr>
      <t xml:space="preserve">
SFQB11</t>
    </r>
  </si>
  <si>
    <t>J. Herbert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</si>
  <si>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MIARB62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</si>
  <si>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McBride</t>
    </r>
    <r>
      <rPr>
        <rFont val="Roboto, sans-serif"/>
      </rPr>
      <t xml:space="preserve">
ARITE2</t>
    </r>
  </si>
  <si>
    <t>B. Purdy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</si>
  <si>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Parkinson</t>
    </r>
    <r>
      <rPr>
        <rFont val="Roboto, sans-serif"/>
      </rPr>
      <t xml:space="preserve">
LARTE37</t>
    </r>
  </si>
  <si>
    <t>QB-10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</si>
  <si>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Nix</t>
    </r>
    <r>
      <rPr>
        <rFont val="Roboto, sans-serif"/>
      </rPr>
      <t xml:space="preserve">
DENQB12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</si>
  <si>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Blue</t>
    </r>
    <r>
      <rPr>
        <rFont val="Roboto, sans-serif"/>
      </rPr>
      <t xml:space="preserve">
DALRB63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</si>
  <si>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Dart</t>
    </r>
    <r>
      <rPr>
        <rFont val="Roboto, sans-serif"/>
      </rPr>
      <t xml:space="preserve">
NYGQB13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</si>
  <si>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LARQB27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</si>
  <si>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etairoa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CARWR10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</si>
  <si>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Cook</t>
    </r>
    <r>
      <rPr>
        <rFont val="Roboto, sans-serif"/>
      </rPr>
      <t xml:space="preserve">
BUFRB8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</si>
  <si>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NYGWR92</t>
    </r>
  </si>
  <si>
    <t>P. Mahomes</t>
  </si>
  <si>
    <t>QB-11</t>
  </si>
  <si>
    <t>B. Nix</t>
  </si>
  <si>
    <t>QB-12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</si>
  <si>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Pickens</t>
    </r>
    <r>
      <rPr>
        <rFont val="Roboto, sans-serif"/>
      </rPr>
      <t xml:space="preserve">
DALWR11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</si>
  <si>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Gesicki</t>
    </r>
    <r>
      <rPr>
        <rFont val="Roboto, sans-serif"/>
      </rPr>
      <t xml:space="preserve">
CINTE38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</si>
  <si>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meka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Egbuka</t>
    </r>
    <r>
      <rPr>
        <rFont val="Roboto, sans-serif"/>
      </rPr>
      <t xml:space="preserve">
TBWR12</t>
    </r>
  </si>
  <si>
    <t>J. Dart</t>
  </si>
  <si>
    <t>QB-13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</si>
  <si>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ashod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Bateman</t>
    </r>
    <r>
      <rPr>
        <rFont val="Roboto, sans-serif"/>
      </rPr>
      <t xml:space="preserve">
BALWR93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</si>
  <si>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yreek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UNSWR94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</si>
  <si>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Randall</t>
    </r>
    <r>
      <rPr>
        <rFont val="Roboto, sans-serif"/>
      </rPr>
      <t xml:space="preserve">
BALRB64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</si>
  <si>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SEARB65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</si>
  <si>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NYJTE39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</si>
  <si>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ylan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Sampson</t>
    </r>
    <r>
      <rPr>
        <rFont val="Roboto, sans-serif"/>
      </rPr>
      <t xml:space="preserve">
CLERB66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</si>
  <si>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Royals</t>
    </r>
    <r>
      <rPr>
        <rFont val="Roboto, sans-serif"/>
      </rPr>
      <t xml:space="preserve">
KCWR95</t>
    </r>
  </si>
  <si>
    <t>D. Prescott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</si>
  <si>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PITTE40</t>
    </r>
  </si>
  <si>
    <t>QB-14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</si>
  <si>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MIAWR96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</si>
  <si>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emario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Douglas</t>
    </r>
    <r>
      <rPr>
        <rFont val="Roboto, sans-serif"/>
      </rPr>
      <t xml:space="preserve">
NEWR97</t>
    </r>
  </si>
  <si>
    <t>QB-15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</si>
  <si>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Flournoy</t>
    </r>
    <r>
      <rPr>
        <rFont val="Roboto, sans-serif"/>
      </rPr>
      <t xml:space="preserve">
DALWR98</t>
    </r>
  </si>
  <si>
    <t>B. Mayfield</t>
  </si>
  <si>
    <t>QB-16</t>
  </si>
  <si>
    <t>K. Murray</t>
  </si>
  <si>
    <t>QB-17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</si>
  <si>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eQuint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JACRB67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</si>
  <si>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James</t>
    </r>
    <r>
      <rPr>
        <rFont val="Roboto, sans-serif"/>
      </rPr>
      <t xml:space="preserve">
SFRB68</t>
    </r>
  </si>
  <si>
    <t>QB-18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</si>
  <si>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Neal</t>
    </r>
    <r>
      <rPr>
        <rFont val="Roboto, sans-serif"/>
      </rPr>
      <t xml:space="preserve">
NORB69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</si>
  <si>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NEWR99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</si>
  <si>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 Jr.</t>
    </r>
    <r>
      <rPr>
        <rFont val="Roboto, sans-serif"/>
      </rPr>
      <t xml:space="preserve">
MIAWR100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</si>
  <si>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PITRB70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</si>
  <si>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MINRB71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</si>
  <si>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imani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Vidal</t>
    </r>
    <r>
      <rPr>
        <rFont val="Roboto, sans-serif"/>
      </rPr>
      <t xml:space="preserve">
LACRB72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</si>
  <si>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himere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Dike</t>
    </r>
    <r>
      <rPr>
        <rFont val="Roboto, sans-serif"/>
      </rPr>
      <t xml:space="preserve">
TENWR101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</si>
  <si>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Bond</t>
    </r>
    <r>
      <rPr>
        <rFont val="Roboto, sans-serif"/>
      </rPr>
      <t xml:space="preserve">
CLEWR102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</si>
  <si>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athaniel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Dell</t>
    </r>
    <r>
      <rPr>
        <rFont val="Roboto, sans-serif"/>
      </rPr>
      <t xml:space="preserve">
HOUWR103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</si>
  <si>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edric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Tillman</t>
    </r>
    <r>
      <rPr>
        <rFont val="Roboto, sans-serif"/>
      </rPr>
      <t xml:space="preserve">
CLEWR104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</si>
  <si>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Bryant</t>
    </r>
    <r>
      <rPr>
        <rFont val="Roboto, sans-serif"/>
      </rPr>
      <t xml:space="preserve">
DENWR105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</si>
  <si>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Mooney</t>
    </r>
    <r>
      <rPr>
        <rFont val="Roboto, sans-serif"/>
      </rPr>
      <t xml:space="preserve">
NYGWR106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</si>
  <si>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TBRB73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</si>
  <si>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a'Tavion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CARTE41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</si>
  <si>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arquise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PHIWR107</t>
    </r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</si>
  <si>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Legette</t>
    </r>
    <r>
      <rPr>
        <rFont val="Roboto, sans-serif"/>
      </rPr>
      <t xml:space="preserve">
CARWR108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</si>
  <si>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Kmet</t>
    </r>
    <r>
      <rPr>
        <rFont val="Roboto, sans-serif"/>
      </rPr>
      <t xml:space="preserve">
CHITE42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</si>
  <si>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eenan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UNSWR109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</si>
  <si>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Kamara</t>
    </r>
    <r>
      <rPr>
        <rFont val="Roboto, sans-serif"/>
      </rPr>
      <t xml:space="preserve">
NORB74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</si>
  <si>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Endries</t>
    </r>
    <r>
      <rPr>
        <rFont val="Roboto, sans-serif"/>
      </rPr>
      <t xml:space="preserve">
CINTE43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</si>
  <si>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NORB75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</si>
  <si>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CARRB76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</si>
  <si>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ont'e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Thornton Jr.</t>
    </r>
    <r>
      <rPr>
        <rFont val="Roboto, sans-serif"/>
      </rPr>
      <t xml:space="preserve">
LVRWR110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</si>
  <si>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Conner</t>
    </r>
    <r>
      <rPr>
        <rFont val="Roboto, sans-serif"/>
      </rPr>
      <t xml:space="preserve">
ARIRB77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</si>
  <si>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rashard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KCRB78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</si>
  <si>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Tagovailoa</t>
    </r>
    <r>
      <rPr>
        <rFont val="Roboto, sans-serif"/>
      </rPr>
      <t xml:space="preserve">
ATLQB28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</si>
  <si>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Giddens</t>
    </r>
    <r>
      <rPr>
        <rFont val="Roboto, sans-serif"/>
      </rPr>
      <t xml:space="preserve">
INDRB79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</si>
  <si>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LARWR111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</si>
  <si>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TBWR112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</si>
  <si>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Burks</t>
    </r>
    <r>
      <rPr>
        <rFont val="Roboto, sans-serif"/>
      </rPr>
      <t xml:space="preserve">
INDWR113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</si>
  <si>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hedeur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CLEQB29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</si>
  <si>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ajee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UNSRB80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</si>
  <si>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BUFRB81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</si>
  <si>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Ridley</t>
    </r>
    <r>
      <rPr>
        <rFont val="Roboto, sans-serif"/>
      </rPr>
      <t xml:space="preserve">
TENWR114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</si>
  <si>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yquan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Thornton</t>
    </r>
    <r>
      <rPr>
        <rFont val="Roboto, sans-serif"/>
      </rPr>
      <t xml:space="preserve">
KCWR115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</si>
  <si>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evaughn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Vele</t>
    </r>
    <r>
      <rPr>
        <rFont val="Roboto, sans-serif"/>
      </rPr>
      <t xml:space="preserve">
NOWR116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</si>
  <si>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NERB82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</si>
  <si>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Heidenreich</t>
    </r>
    <r>
      <rPr>
        <rFont val="Roboto, sans-serif"/>
      </rPr>
      <t xml:space="preserve">
PITWR83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</si>
  <si>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Tonges</t>
    </r>
    <r>
      <rPr>
        <rFont val="Roboto, sans-serif"/>
      </rPr>
      <t xml:space="preserve">
SFTE44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</si>
  <si>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Sinnott</t>
    </r>
    <r>
      <rPr>
        <rFont val="Roboto, sans-serif"/>
      </rPr>
      <t xml:space="preserve">
WASTE45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</si>
  <si>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ooper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Kupp</t>
    </r>
    <r>
      <rPr>
        <rFont val="Roboto, sans-serif"/>
      </rPr>
      <t xml:space="preserve">
SEAWR117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</si>
  <si>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Kirk</t>
    </r>
    <r>
      <rPr>
        <rFont val="Roboto, sans-serif"/>
      </rPr>
      <t xml:space="preserve">
SFWR118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</si>
  <si>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Penix Jr.</t>
    </r>
    <r>
      <rPr>
        <rFont val="Roboto, sans-serif"/>
      </rPr>
      <t xml:space="preserve">
ATLQB30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</si>
  <si>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Prescott</t>
    </r>
    <r>
      <rPr>
        <rFont val="Roboto, sans-serif"/>
      </rPr>
      <t xml:space="preserve">
DALQB14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</si>
  <si>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Dotson</t>
    </r>
    <r>
      <rPr>
        <rFont val="Roboto, sans-serif"/>
      </rPr>
      <t xml:space="preserve">
ATLWR119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</si>
  <si>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Mixon</t>
    </r>
    <r>
      <rPr>
        <rFont val="Roboto, sans-serif"/>
      </rPr>
      <t xml:space="preserve">
UNSRB84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</si>
  <si>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DALTE46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</si>
  <si>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reVeyon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</t>
    </r>
    <r>
      <rPr>
        <rFont val="Roboto, sans-serif"/>
      </rPr>
      <t xml:space="preserve">
NERB9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</si>
  <si>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McCarthy</t>
    </r>
    <r>
      <rPr>
        <rFont val="Roboto, sans-serif"/>
      </rPr>
      <t xml:space="preserve">
MINQB31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</si>
  <si>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 III</t>
    </r>
    <r>
      <rPr>
        <rFont val="Roboto, sans-serif"/>
      </rPr>
      <t xml:space="preserve">
KCRB10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</si>
  <si>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'Mari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JACRB85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</si>
  <si>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oah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Gray</t>
    </r>
    <r>
      <rPr>
        <rFont val="Roboto, sans-serif"/>
      </rPr>
      <t xml:space="preserve">
KCTE47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</si>
  <si>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reece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Hall</t>
    </r>
    <r>
      <rPr>
        <rFont val="Roboto, sans-serif"/>
      </rPr>
      <t xml:space="preserve">
NYJRB11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</si>
  <si>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SFRB12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</si>
  <si>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Hemby</t>
    </r>
    <r>
      <rPr>
        <rFont val="Roboto, sans-serif"/>
      </rPr>
      <t xml:space="preserve">
LVRRB86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</si>
  <si>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eshaun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CLEQB32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</si>
  <si>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Olave</t>
    </r>
    <r>
      <rPr>
        <rFont val="Roboto, sans-serif"/>
      </rPr>
      <t xml:space="preserve">
NOWR13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</si>
  <si>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Allar</t>
    </r>
    <r>
      <rPr>
        <rFont val="Roboto, sans-serif"/>
      </rPr>
      <t xml:space="preserve">
PITQB33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</si>
  <si>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Loveland</t>
    </r>
    <r>
      <rPr>
        <rFont val="Roboto, sans-serif"/>
      </rPr>
      <t xml:space="preserve">
CHITE3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</si>
  <si>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</t>
    </r>
    <r>
      <rPr>
        <rFont val="Roboto, sans-serif"/>
      </rPr>
      <t xml:space="preserve">
ARIQB34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</si>
  <si>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GBQB15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</si>
  <si>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van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Engram</t>
    </r>
    <r>
      <rPr>
        <rFont val="Roboto, sans-serif"/>
      </rPr>
      <t xml:space="preserve">
DENTE35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</si>
  <si>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nthony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Richardson</t>
    </r>
    <r>
      <rPr>
        <rFont val="Roboto, sans-serif"/>
      </rPr>
      <t xml:space="preserve">
INDQB35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</si>
  <si>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Stroud</t>
    </r>
    <r>
      <rPr>
        <rFont val="Roboto, sans-serif"/>
      </rPr>
      <t xml:space="preserve">
HOUQB16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</si>
  <si>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Parkinson</t>
    </r>
    <r>
      <rPr>
        <rFont val="Roboto, sans-serif"/>
      </rPr>
      <t xml:space="preserve">
LARTE38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</si>
  <si>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Klubnik</t>
    </r>
    <r>
      <rPr>
        <rFont val="Roboto, sans-serif"/>
      </rPr>
      <t xml:space="preserve">
NYJQB36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</si>
  <si>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Flowers</t>
    </r>
    <r>
      <rPr>
        <rFont val="Roboto, sans-serif"/>
      </rPr>
      <t xml:space="preserve">
BALWR14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</si>
  <si>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Joly</t>
    </r>
    <r>
      <rPr>
        <rFont val="Roboto, sans-serif"/>
      </rPr>
      <t xml:space="preserve">
DENTE39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</si>
  <si>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Milroe</t>
    </r>
    <r>
      <rPr>
        <rFont val="Roboto, sans-serif"/>
      </rPr>
      <t xml:space="preserve">
SEAQB37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</si>
  <si>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MIAWR93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</si>
  <si>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Cousins</t>
    </r>
    <r>
      <rPr>
        <rFont val="Roboto, sans-serif"/>
      </rPr>
      <t xml:space="preserve">
LVRQB38</t>
    </r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</si>
  <si>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LVRQB17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</si>
  <si>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Rodgers</t>
    </r>
    <r>
      <rPr>
        <rFont val="Roboto, sans-serif"/>
      </rPr>
      <t xml:space="preserve">
PITQB39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</si>
  <si>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Kamara</t>
    </r>
    <r>
      <rPr>
        <rFont val="Roboto, sans-serif"/>
      </rPr>
      <t xml:space="preserve">
NORB73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</si>
  <si>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aquon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Barkley</t>
    </r>
    <r>
      <rPr>
        <rFont val="Roboto, sans-serif"/>
      </rPr>
      <t xml:space="preserve">
PHIRB13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</si>
  <si>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Nussmeier</t>
    </r>
    <r>
      <rPr>
        <rFont val="Roboto, sans-serif"/>
      </rPr>
      <t xml:space="preserve">
KCQB40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</si>
  <si>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hedeur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CLEQB28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</si>
  <si>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NYJWR15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</si>
  <si>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arcus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Mariota</t>
    </r>
    <r>
      <rPr>
        <rFont val="Roboto, sans-serif"/>
      </rPr>
      <t xml:space="preserve">
WASQB41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</si>
  <si>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yreek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UNSWR94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</si>
  <si>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Mayfield</t>
    </r>
    <r>
      <rPr>
        <rFont val="Roboto, sans-serif"/>
      </rPr>
      <t xml:space="preserve">
TBQB18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</si>
  <si>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iley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Leonard</t>
    </r>
    <r>
      <rPr>
        <rFont val="Roboto, sans-serif"/>
      </rPr>
      <t xml:space="preserve">
INDQB42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</si>
  <si>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ashod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Bateman</t>
    </r>
    <r>
      <rPr>
        <rFont val="Roboto, sans-serif"/>
      </rPr>
      <t xml:space="preserve">
BALWR91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</si>
  <si>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Murray</t>
    </r>
    <r>
      <rPr>
        <rFont val="Roboto, sans-serif"/>
      </rPr>
      <t xml:space="preserve">
MINQB19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</si>
  <si>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Winston</t>
    </r>
    <r>
      <rPr>
        <rFont val="Roboto, sans-serif"/>
      </rPr>
      <t xml:space="preserve">
NYGQB43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</si>
  <si>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Royals</t>
    </r>
    <r>
      <rPr>
        <rFont val="Roboto, sans-serif"/>
      </rPr>
      <t xml:space="preserve">
KCWR94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</si>
  <si>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add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McConkey</t>
    </r>
    <r>
      <rPr>
        <rFont val="Roboto, sans-serif"/>
      </rPr>
      <t xml:space="preserve">
LACWR16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</si>
  <si>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Bagent</t>
    </r>
    <r>
      <rPr>
        <rFont val="Roboto, sans-serif"/>
      </rPr>
      <t xml:space="preserve">
CHIQB44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</si>
  <si>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TBRB74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</si>
  <si>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Rice</t>
    </r>
    <r>
      <rPr>
        <rFont val="Roboto, sans-serif"/>
      </rPr>
      <t xml:space="preserve">
KCWR17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</si>
  <si>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Milton III</t>
    </r>
    <r>
      <rPr>
        <rFont val="Roboto, sans-serif"/>
      </rPr>
      <t xml:space="preserve">
DALQB45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</si>
  <si>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emario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Douglas</t>
    </r>
    <r>
      <rPr>
        <rFont val="Roboto, sans-serif"/>
      </rPr>
      <t xml:space="preserve">
NEWR97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</si>
  <si>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Judkins</t>
    </r>
    <r>
      <rPr>
        <rFont val="Roboto, sans-serif"/>
      </rPr>
      <t xml:space="preserve">
CLERB14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</si>
  <si>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Ewers</t>
    </r>
    <r>
      <rPr>
        <rFont val="Roboto, sans-serif"/>
      </rPr>
      <t xml:space="preserve">
MIAQB46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</si>
  <si>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CARRB75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</si>
  <si>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CINWR18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</si>
  <si>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Howard</t>
    </r>
    <r>
      <rPr>
        <rFont val="Roboto, sans-serif"/>
      </rPr>
      <t xml:space="preserve">
PITQB47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</si>
  <si>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Flournoy</t>
    </r>
    <r>
      <rPr>
        <rFont val="Roboto, sans-serif"/>
      </rPr>
      <t xml:space="preserve">
DALWR98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</si>
  <si>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Goff</t>
    </r>
    <r>
      <rPr>
        <rFont val="Roboto, sans-serif"/>
      </rPr>
      <t xml:space="preserve">
DETQB20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</si>
  <si>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Gesicki</t>
    </r>
    <r>
      <rPr>
        <rFont val="Roboto, sans-serif"/>
      </rPr>
      <t xml:space="preserve">
CINTE40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</si>
  <si>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TENWR19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</si>
  <si>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NORB76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</si>
  <si>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NOWR20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</si>
  <si>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NEWR99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</si>
  <si>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CINRB15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</si>
  <si>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athaniel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Dell</t>
    </r>
    <r>
      <rPr>
        <rFont val="Roboto, sans-serif"/>
      </rPr>
      <t xml:space="preserve">
HOUWR100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</si>
  <si>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Shough</t>
    </r>
    <r>
      <rPr>
        <rFont val="Roboto, sans-serif"/>
      </rPr>
      <t xml:space="preserve">
NOQB21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</si>
  <si>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PITTE41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</si>
  <si>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PHIWR21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</si>
  <si>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rashard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KCRB77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</si>
  <si>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Bryant</t>
    </r>
    <r>
      <rPr>
        <rFont val="Roboto, sans-serif"/>
      </rPr>
      <t xml:space="preserve">
DENWR101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</si>
  <si>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Jacobs</t>
    </r>
    <r>
      <rPr>
        <rFont val="Roboto, sans-serif"/>
      </rPr>
      <t xml:space="preserve">
GBRB16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</si>
  <si>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Conner</t>
    </r>
    <r>
      <rPr>
        <rFont val="Roboto, sans-serif"/>
      </rPr>
      <t xml:space="preserve">
ARIRB78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</si>
  <si>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NEWR22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</si>
  <si>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 Jr.</t>
    </r>
    <r>
      <rPr>
        <rFont val="Roboto, sans-serif"/>
      </rPr>
      <t xml:space="preserve">
MIAWR95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</si>
  <si>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PHIWR23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</si>
  <si>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Bond</t>
    </r>
    <r>
      <rPr>
        <rFont val="Roboto, sans-serif"/>
      </rPr>
      <t xml:space="preserve">
CLEWR103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</si>
  <si>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edric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Tillman</t>
    </r>
    <r>
      <rPr>
        <rFont val="Roboto, sans-serif"/>
      </rPr>
      <t xml:space="preserve">
CLEWR100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</si>
  <si>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Ward</t>
    </r>
    <r>
      <rPr>
        <rFont val="Roboto, sans-serif"/>
      </rPr>
      <t xml:space="preserve">
TENQB22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</si>
  <si>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Mooney</t>
    </r>
    <r>
      <rPr>
        <rFont val="Roboto, sans-serif"/>
      </rPr>
      <t xml:space="preserve">
NYGWR101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</si>
  <si>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uther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Burden III</t>
    </r>
    <r>
      <rPr>
        <rFont val="Roboto, sans-serif"/>
      </rPr>
      <t xml:space="preserve">
CHIWR24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</si>
  <si>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himere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Dike</t>
    </r>
    <r>
      <rPr>
        <rFont val="Roboto, sans-serif"/>
      </rPr>
      <t xml:space="preserve">
TENWR106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</si>
  <si>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eenan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UNSWR107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</si>
  <si>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Darnold</t>
    </r>
    <r>
      <rPr>
        <rFont val="Roboto, sans-serif"/>
      </rPr>
      <t xml:space="preserve">
SEAQB23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</si>
  <si>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Giddens</t>
    </r>
    <r>
      <rPr>
        <rFont val="Roboto, sans-serif"/>
      </rPr>
      <t xml:space="preserve">
INDRB79</t>
    </r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</si>
  <si>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Legette</t>
    </r>
    <r>
      <rPr>
        <rFont val="Roboto, sans-serif"/>
      </rPr>
      <t xml:space="preserve">
CARWR107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</si>
  <si>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Waddle</t>
    </r>
    <r>
      <rPr>
        <rFont val="Roboto, sans-serif"/>
      </rPr>
      <t xml:space="preserve">
DENWR25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</si>
  <si>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Heidenreich</t>
    </r>
    <r>
      <rPr>
        <rFont val="Roboto, sans-serif"/>
      </rPr>
      <t xml:space="preserve">
PITWR80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</si>
  <si>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Irving</t>
    </r>
    <r>
      <rPr>
        <rFont val="Roboto, sans-serif"/>
      </rPr>
      <t xml:space="preserve">
TBRB17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</si>
  <si>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Endries</t>
    </r>
    <r>
      <rPr>
        <rFont val="Roboto, sans-serif"/>
      </rPr>
      <t xml:space="preserve">
CINTE43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</si>
  <si>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DETWR26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</si>
  <si>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ajee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UNSRB81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</si>
  <si>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LARRB18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</si>
  <si>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Penix Jr.</t>
    </r>
    <r>
      <rPr>
        <rFont val="Roboto, sans-serif"/>
      </rPr>
      <t xml:space="preserve">
ATLQB29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</si>
  <si>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INDTE4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</si>
  <si>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BUFRB82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</si>
  <si>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arold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Fannin Jr.</t>
    </r>
    <r>
      <rPr>
        <rFont val="Roboto, sans-serif"/>
      </rPr>
      <t xml:space="preserve">
CLETE5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</si>
  <si>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NERB83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</si>
  <si>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a'Tavion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CARTE43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</si>
  <si>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Willis</t>
    </r>
    <r>
      <rPr>
        <rFont val="Roboto, sans-serif"/>
      </rPr>
      <t xml:space="preserve">
MIAQB24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</si>
  <si>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arquise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PHIWR109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</si>
  <si>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Young</t>
    </r>
    <r>
      <rPr>
        <rFont val="Roboto, sans-serif"/>
      </rPr>
      <t xml:space="preserve">
CARQB25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</si>
  <si>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Kmet</t>
    </r>
    <r>
      <rPr>
        <rFont val="Roboto, sans-serif"/>
      </rPr>
      <t xml:space="preserve">
CHITE44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</si>
  <si>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Odunze</t>
    </r>
    <r>
      <rPr>
        <rFont val="Roboto, sans-serif"/>
      </rPr>
      <t xml:space="preserve">
CHIWR27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</si>
  <si>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Burks</t>
    </r>
    <r>
      <rPr>
        <rFont val="Roboto, sans-serif"/>
      </rPr>
      <t xml:space="preserve">
INDWR110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</si>
  <si>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Stafford</t>
    </r>
    <r>
      <rPr>
        <rFont val="Roboto, sans-serif"/>
      </rPr>
      <t xml:space="preserve">
LARQB26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</si>
  <si>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ont'e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Thornton Jr.</t>
    </r>
    <r>
      <rPr>
        <rFont val="Roboto, sans-serif"/>
      </rPr>
      <t xml:space="preserve">
LVRWR110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</si>
  <si>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SEARB19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</si>
  <si>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LARWR111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</si>
  <si>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ucker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Kraft</t>
    </r>
    <r>
      <rPr>
        <rFont val="Roboto, sans-serif"/>
      </rPr>
      <t xml:space="preserve">
GBTE6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</si>
  <si>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TBWR112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</si>
  <si>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INDQB27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</si>
  <si>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evaughn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Vele</t>
    </r>
    <r>
      <rPr>
        <rFont val="Roboto, sans-serif"/>
      </rPr>
      <t xml:space="preserve">
NOWR114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</si>
  <si>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Skattebo</t>
    </r>
    <r>
      <rPr>
        <rFont val="Roboto, sans-serif"/>
      </rPr>
      <t xml:space="preserve">
NYGRB20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</si>
  <si>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Ridley</t>
    </r>
    <r>
      <rPr>
        <rFont val="Roboto, sans-serif"/>
      </rPr>
      <t xml:space="preserve">
TENWR114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</si>
  <si>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GBWR28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</si>
  <si>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yquan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Thornton</t>
    </r>
    <r>
      <rPr>
        <rFont val="Roboto, sans-serif"/>
      </rPr>
      <t xml:space="preserve">
KCWR116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</si>
  <si>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LARQB28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</si>
  <si>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Mixon</t>
    </r>
    <r>
      <rPr>
        <rFont val="Roboto, sans-serif"/>
      </rPr>
      <t xml:space="preserve">
UNSRB84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</si>
  <si>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CLEWR29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</si>
  <si>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Tonges</t>
    </r>
    <r>
      <rPr>
        <rFont val="Roboto, sans-serif"/>
      </rPr>
      <t xml:space="preserve">
SFTE45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</si>
  <si>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errick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BALRB21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</si>
  <si>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ooper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Kupp</t>
    </r>
    <r>
      <rPr>
        <rFont val="Roboto, sans-serif"/>
      </rPr>
      <t xml:space="preserve">
SEAWR117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</si>
  <si>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McLaurin</t>
    </r>
    <r>
      <rPr>
        <rFont val="Roboto, sans-serif"/>
      </rPr>
      <t xml:space="preserve">
WASWR30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</si>
  <si>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Kirk</t>
    </r>
    <r>
      <rPr>
        <rFont val="Roboto, sans-serif"/>
      </rPr>
      <t xml:space="preserve">
SFWR118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</si>
  <si>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Sinnott</t>
    </r>
    <r>
      <rPr>
        <rFont val="Roboto, sans-serif"/>
      </rPr>
      <t xml:space="preserve">
WASTE46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</si>
  <si>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 Jr.</t>
    </r>
    <r>
      <rPr>
        <rFont val="Roboto, sans-serif"/>
      </rPr>
      <t xml:space="preserve">
JACWR31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</si>
  <si>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McCarthy</t>
    </r>
    <r>
      <rPr>
        <rFont val="Roboto, sans-serif"/>
      </rPr>
      <t xml:space="preserve">
MINQB30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</si>
  <si>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avonte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DALRB22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</si>
  <si>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Dotson</t>
    </r>
    <r>
      <rPr>
        <rFont val="Roboto, sans-serif"/>
      </rPr>
      <t xml:space="preserve">
ATLWR118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</si>
  <si>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Addison</t>
    </r>
    <r>
      <rPr>
        <rFont val="Roboto, sans-serif"/>
      </rPr>
      <t xml:space="preserve">
MINWR32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</si>
  <si>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Pitts</t>
    </r>
    <r>
      <rPr>
        <rFont val="Roboto, sans-serif"/>
      </rPr>
      <t xml:space="preserve">
ATLTE7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</si>
  <si>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'Mari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JACRB85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</si>
  <si>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DALTE46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</si>
  <si>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Tagovailoa</t>
    </r>
    <r>
      <rPr>
        <rFont val="Roboto, sans-serif"/>
      </rPr>
      <t xml:space="preserve">
ATLQB29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</si>
  <si>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Hemby</t>
    </r>
    <r>
      <rPr>
        <rFont val="Roboto, sans-serif"/>
      </rPr>
      <t xml:space="preserve">
LVRRB86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</si>
  <si>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Harrison Jr.</t>
    </r>
    <r>
      <rPr>
        <rFont val="Roboto, sans-serif"/>
      </rPr>
      <t xml:space="preserve">
ARIWR33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</si>
  <si>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eshaun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CLEQB32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</si>
  <si>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NORB23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</si>
  <si>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oah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Gray</t>
    </r>
    <r>
      <rPr>
        <rFont val="Roboto, sans-serif"/>
      </rPr>
      <t xml:space="preserve">
KCTE48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</si>
  <si>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hedeur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CLEQB30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</si>
  <si>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</t>
    </r>
    <r>
      <rPr>
        <rFont val="Roboto, sans-serif"/>
      </rPr>
      <t xml:space="preserve">
ARIQB34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</si>
  <si>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arker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JACWR34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</si>
  <si>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nthony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Richardson</t>
    </r>
    <r>
      <rPr>
        <rFont val="Roboto, sans-serif"/>
      </rPr>
      <t xml:space="preserve">
INDQB35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</si>
  <si>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BUFWR35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</si>
  <si>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McAlister</t>
    </r>
    <r>
      <rPr>
        <rFont val="Roboto, sans-serif"/>
      </rPr>
      <t xml:space="preserve">
RKWR120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</si>
  <si>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Metcalf</t>
    </r>
    <r>
      <rPr>
        <rFont val="Roboto, sans-serif"/>
      </rPr>
      <t xml:space="preserve">
PITWR36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</si>
  <si>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Milroe</t>
    </r>
    <r>
      <rPr>
        <rFont val="Roboto, sans-serif"/>
      </rPr>
      <t xml:space="preserve">
SEAQB37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</si>
  <si>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ARIWR37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</si>
  <si>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Anderson</t>
    </r>
    <r>
      <rPr>
        <rFont val="Roboto, sans-serif"/>
      </rPr>
      <t xml:space="preserve">
CLEWR121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</si>
  <si>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avante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Adams</t>
    </r>
    <r>
      <rPr>
        <rFont val="Roboto, sans-serif"/>
      </rPr>
      <t xml:space="preserve">
LARWR38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</si>
  <si>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Cousins</t>
    </r>
    <r>
      <rPr>
        <rFont val="Roboto, sans-serif"/>
      </rPr>
      <t xml:space="preserve">
LVRQB38</t>
    </r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</si>
  <si>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Worthy</t>
    </r>
    <r>
      <rPr>
        <rFont val="Roboto, sans-serif"/>
      </rPr>
      <t xml:space="preserve">
KCWR39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</si>
  <si>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oah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</t>
    </r>
    <r>
      <rPr>
        <rFont val="Roboto, sans-serif"/>
      </rPr>
      <t xml:space="preserve">
CINWR122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</si>
  <si>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Rodgers</t>
    </r>
    <r>
      <rPr>
        <rFont val="Roboto, sans-serif"/>
      </rPr>
      <t xml:space="preserve">
PITQB39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</si>
  <si>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Evans</t>
    </r>
    <r>
      <rPr>
        <rFont val="Roboto, sans-serif"/>
      </rPr>
      <t xml:space="preserve">
SFWR40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</si>
  <si>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Key</t>
    </r>
    <r>
      <rPr>
        <rFont val="Roboto, sans-serif"/>
      </rPr>
      <t xml:space="preserve">
DENWR123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</si>
  <si>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lec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Pierce</t>
    </r>
    <r>
      <rPr>
        <rFont val="Roboto, sans-serif"/>
      </rPr>
      <t xml:space="preserve">
INDWR41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</si>
  <si>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Pittman Jr.</t>
    </r>
    <r>
      <rPr>
        <rFont val="Roboto, sans-serif"/>
      </rPr>
      <t xml:space="preserve">
PITWR42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</si>
  <si>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Nussmeier</t>
    </r>
    <r>
      <rPr>
        <rFont val="Roboto, sans-serif"/>
      </rPr>
      <t xml:space="preserve">
KCQB40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</si>
  <si>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arcus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Mariota</t>
    </r>
    <r>
      <rPr>
        <rFont val="Roboto, sans-serif"/>
      </rPr>
      <t xml:space="preserve">
WASQB41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</si>
  <si>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HOUWR43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</si>
  <si>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iley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Leonard</t>
    </r>
    <r>
      <rPr>
        <rFont val="Roboto, sans-serif"/>
      </rPr>
      <t xml:space="preserve">
INDQB42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</si>
  <si>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NYJTE8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</si>
  <si>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Ewers</t>
    </r>
    <r>
      <rPr>
        <rFont val="Roboto, sans-serif"/>
      </rPr>
      <t xml:space="preserve">
MIAQB46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</si>
  <si>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ourtland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Sutton</t>
    </r>
    <r>
      <rPr>
        <rFont val="Roboto, sans-serif"/>
      </rPr>
      <t xml:space="preserve">
DENWR44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</si>
  <si>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Howard</t>
    </r>
    <r>
      <rPr>
        <rFont val="Roboto, sans-serif"/>
      </rPr>
      <t xml:space="preserve">
PITQB47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</si>
  <si>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LaPorta</t>
    </r>
    <r>
      <rPr>
        <rFont val="Roboto, sans-serif"/>
      </rPr>
      <t xml:space="preserve">
DETTE9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</si>
  <si>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Penix Jr.</t>
    </r>
    <r>
      <rPr>
        <rFont val="Roboto, sans-serif"/>
      </rPr>
      <t xml:space="preserve">
ATLQB31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</si>
  <si>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halil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Shakir</t>
    </r>
    <r>
      <rPr>
        <rFont val="Roboto, sans-serif"/>
      </rPr>
      <t xml:space="preserve">
BUFWR45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</si>
  <si>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an'Dale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TENWR46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</si>
  <si>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hayshul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Tuten</t>
    </r>
    <r>
      <rPr>
        <rFont val="Roboto, sans-serif"/>
      </rPr>
      <t xml:space="preserve">
JACRB24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</si>
  <si>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Harvey</t>
    </r>
    <r>
      <rPr>
        <rFont val="Roboto, sans-serif"/>
      </rPr>
      <t xml:space="preserve">
DENRB25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</si>
  <si>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'Andre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Swift</t>
    </r>
    <r>
      <rPr>
        <rFont val="Roboto, sans-serif"/>
      </rPr>
      <t xml:space="preserve">
CHIRB26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</si>
  <si>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Golden</t>
    </r>
    <r>
      <rPr>
        <rFont val="Roboto, sans-serif"/>
      </rPr>
      <t xml:space="preserve">
GBWR47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</si>
  <si>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PITRB27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</si>
  <si>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NYJWR48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</si>
  <si>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hamondre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Stevenson</t>
    </r>
    <r>
      <rPr>
        <rFont val="Roboto, sans-serif"/>
      </rPr>
      <t xml:space="preserve">
NERB28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</si>
  <si>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Montgomery</t>
    </r>
    <r>
      <rPr>
        <rFont val="Roboto, sans-serif"/>
      </rPr>
      <t xml:space="preserve">
HOURB29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</si>
  <si>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Doubs</t>
    </r>
    <r>
      <rPr>
        <rFont val="Roboto, sans-serif"/>
      </rPr>
      <t xml:space="preserve">
NEWR49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</si>
  <si>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huba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Hubbard</t>
    </r>
    <r>
      <rPr>
        <rFont val="Roboto, sans-serif"/>
      </rPr>
      <t xml:space="preserve">
CARRB30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</si>
  <si>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Reed</t>
    </r>
    <r>
      <rPr>
        <rFont val="Roboto, sans-serif"/>
      </rPr>
      <t xml:space="preserve">
GBWR50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</si>
  <si>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Meyers</t>
    </r>
    <r>
      <rPr>
        <rFont val="Roboto, sans-serif"/>
      </rPr>
      <t xml:space="preserve">
JACWR51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</si>
  <si>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Charbonnet</t>
    </r>
    <r>
      <rPr>
        <rFont val="Roboto, sans-serif"/>
      </rPr>
      <t xml:space="preserve">
SEARB31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</si>
  <si>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Pollard</t>
    </r>
    <r>
      <rPr>
        <rFont val="Roboto, sans-serif"/>
      </rPr>
      <t xml:space="preserve">
TENRB32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</si>
  <si>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Downs</t>
    </r>
    <r>
      <rPr>
        <rFont val="Roboto, sans-serif"/>
      </rPr>
      <t xml:space="preserve">
INDWR52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</si>
  <si>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Kincaid</t>
    </r>
    <r>
      <rPr>
        <rFont val="Roboto, sans-serif"/>
      </rPr>
      <t xml:space="preserve">
BUFTE10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</si>
  <si>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Godwin</t>
    </r>
    <r>
      <rPr>
        <rFont val="Roboto, sans-serif"/>
      </rPr>
      <t xml:space="preserve">
TBWR53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</si>
  <si>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McCarthy</t>
    </r>
    <r>
      <rPr>
        <rFont val="Roboto, sans-serif"/>
      </rPr>
      <t xml:space="preserve">
MINQB32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</si>
  <si>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oody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Marks</t>
    </r>
    <r>
      <rPr>
        <rFont val="Roboto, sans-serif"/>
      </rPr>
      <t xml:space="preserve">
HOURB33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</si>
  <si>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ronde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Gadsden II</t>
    </r>
    <r>
      <rPr>
        <rFont val="Roboto, sans-serif"/>
      </rPr>
      <t xml:space="preserve">
LACTE11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</si>
  <si>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uentin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Johnston</t>
    </r>
    <r>
      <rPr>
        <rFont val="Roboto, sans-serif"/>
      </rPr>
      <t xml:space="preserve">
LACWR54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</si>
  <si>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Croskey-Merritt</t>
    </r>
    <r>
      <rPr>
        <rFont val="Roboto, sans-serif"/>
      </rPr>
      <t xml:space="preserve">
WASRB34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</si>
  <si>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CLEWR55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</si>
  <si>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DALTE12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</si>
  <si>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Corum</t>
    </r>
    <r>
      <rPr>
        <rFont val="Roboto, sans-serif"/>
      </rPr>
      <t xml:space="preserve">
LARRB35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</si>
  <si>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Dobbins</t>
    </r>
    <r>
      <rPr>
        <rFont val="Roboto, sans-serif"/>
      </rPr>
      <t xml:space="preserve">
DENRB36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</si>
  <si>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Mason</t>
    </r>
    <r>
      <rPr>
        <rFont val="Roboto, sans-serif"/>
      </rPr>
      <t xml:space="preserve">
MINRB37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</si>
  <si>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Monangai</t>
    </r>
    <r>
      <rPr>
        <rFont val="Roboto, sans-serif"/>
      </rPr>
      <t xml:space="preserve">
CHIRB38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</si>
  <si>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yjae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Spears</t>
    </r>
    <r>
      <rPr>
        <rFont val="Roboto, sans-serif"/>
      </rPr>
      <t xml:space="preserve">
TENRB39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</si>
  <si>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PHITE13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</si>
  <si>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Gainwell</t>
    </r>
    <r>
      <rPr>
        <rFont val="Roboto, sans-serif"/>
      </rPr>
      <t xml:space="preserve">
TBRB40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</si>
  <si>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Shaheed</t>
    </r>
    <r>
      <rPr>
        <rFont val="Roboto, sans-serif"/>
      </rPr>
      <t xml:space="preserve">
SEAWR56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</si>
  <si>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SFWR57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</si>
  <si>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Dowdle</t>
    </r>
    <r>
      <rPr>
        <rFont val="Roboto, sans-serif"/>
      </rPr>
      <t xml:space="preserve">
PITRB41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</si>
  <si>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Kittle</t>
    </r>
    <r>
      <rPr>
        <rFont val="Roboto, sans-serif"/>
      </rPr>
      <t xml:space="preserve">
SFTE14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</si>
  <si>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Brooks</t>
    </r>
    <r>
      <rPr>
        <rFont val="Roboto, sans-serif"/>
      </rPr>
      <t xml:space="preserve">
CARRB42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</si>
  <si>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PITWR58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</si>
  <si>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Coker</t>
    </r>
    <r>
      <rPr>
        <rFont val="Roboto, sans-serif"/>
      </rPr>
      <t xml:space="preserve">
CARWR59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</si>
  <si>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NYJRB43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</si>
  <si>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LACWR60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</si>
  <si>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Likely</t>
    </r>
    <r>
      <rPr>
        <rFont val="Roboto, sans-serif"/>
      </rPr>
      <t xml:space="preserve">
NYGTE15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</si>
  <si>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TBWR61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</si>
  <si>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WASWR62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</si>
  <si>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Strange</t>
    </r>
    <r>
      <rPr>
        <rFont val="Roboto, sans-serif"/>
      </rPr>
      <t xml:space="preserve">
JACTE16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</si>
  <si>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Brissett</t>
    </r>
    <r>
      <rPr>
        <rFont val="Roboto, sans-serif"/>
      </rPr>
      <t xml:space="preserve">
ARIQB33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</si>
  <si>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Andrews</t>
    </r>
    <r>
      <rPr>
        <rFont val="Roboto, sans-serif"/>
      </rPr>
      <t xml:space="preserve">
BALTE17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</si>
  <si>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Goedert</t>
    </r>
    <r>
      <rPr>
        <rFont val="Roboto, sans-serif"/>
      </rPr>
      <t xml:space="preserve">
PHITE18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</si>
  <si>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uwan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NOTE19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</si>
  <si>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errance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LARTE20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</si>
  <si>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Noel</t>
    </r>
    <r>
      <rPr>
        <rFont val="Roboto, sans-serif"/>
      </rPr>
      <t xml:space="preserve">
HOUWR63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</si>
  <si>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BALWR64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</si>
  <si>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Arroyo</t>
    </r>
    <r>
      <rPr>
        <rFont val="Roboto, sans-serif"/>
      </rPr>
      <t xml:space="preserve">
SEATE21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</si>
  <si>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DENRB44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</si>
  <si>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TBWR65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</si>
  <si>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Kelce</t>
    </r>
    <r>
      <rPr>
        <rFont val="Roboto, sans-serif"/>
      </rPr>
      <t xml:space="preserve">
KCTE22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</si>
  <si>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Barner</t>
    </r>
    <r>
      <rPr>
        <rFont val="Roboto, sans-serif"/>
      </rPr>
      <t xml:space="preserve">
SEATE23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</si>
  <si>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unter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NETE24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</si>
  <si>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higoziem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Okonkwo</t>
    </r>
    <r>
      <rPr>
        <rFont val="Roboto, sans-serif"/>
      </rPr>
      <t xml:space="preserve">
WASTE25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</si>
  <si>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Pearsall</t>
    </r>
    <r>
      <rPr>
        <rFont val="Roboto, sans-serif"/>
      </rPr>
      <t xml:space="preserve">
SFWR66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</si>
  <si>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MINRB45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</si>
  <si>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yrone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Tracy Jr.</t>
    </r>
    <r>
      <rPr>
        <rFont val="Roboto, sans-serif"/>
      </rPr>
      <t xml:space="preserve">
NYGRB46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</si>
  <si>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unnar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Helm</t>
    </r>
    <r>
      <rPr>
        <rFont val="Roboto, sans-serif"/>
      </rPr>
      <t xml:space="preserve">
TENTE26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</si>
  <si>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JACWR67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</si>
  <si>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Boutte</t>
    </r>
    <r>
      <rPr>
        <rFont val="Roboto, sans-serif"/>
      </rPr>
      <t xml:space="preserve">
NEWR68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</si>
  <si>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roy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Franklin</t>
    </r>
    <r>
      <rPr>
        <rFont val="Roboto, sans-serif"/>
      </rPr>
      <t xml:space="preserve">
DENWR69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</si>
  <si>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eshaun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CLEQB34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</si>
  <si>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Freiermuth</t>
    </r>
    <r>
      <rPr>
        <rFont val="Roboto, sans-serif"/>
      </rPr>
      <t xml:space="preserve">
PITTE27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</si>
  <si>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Schultz</t>
    </r>
    <r>
      <rPr>
        <rFont val="Roboto, sans-serif"/>
      </rPr>
      <t xml:space="preserve">
HOUTE28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</si>
  <si>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Rodriguez</t>
    </r>
    <r>
      <rPr>
        <rFont val="Roboto, sans-serif"/>
      </rPr>
      <t xml:space="preserve">
JACRB47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</si>
  <si>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Jeudy</t>
    </r>
    <r>
      <rPr>
        <rFont val="Roboto, sans-serif"/>
      </rPr>
      <t xml:space="preserve">
CLEWR70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</si>
  <si>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achaad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White</t>
    </r>
    <r>
      <rPr>
        <rFont val="Roboto, sans-serif"/>
      </rPr>
      <t xml:space="preserve">
WASRB48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</si>
  <si>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Ayomanor</t>
    </r>
    <r>
      <rPr>
        <rFont val="Roboto, sans-serif"/>
      </rPr>
      <t xml:space="preserve">
TENWR71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</si>
  <si>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MIAWR72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</si>
  <si>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Allgeier</t>
    </r>
    <r>
      <rPr>
        <rFont val="Roboto, sans-serif"/>
      </rPr>
      <t xml:space="preserve">
ARIRB49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</si>
  <si>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Bech</t>
    </r>
    <r>
      <rPr>
        <rFont val="Roboto, sans-serif"/>
      </rPr>
      <t xml:space="preserve">
LVRWR73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</si>
  <si>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TENRB50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</si>
  <si>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ATLWR74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</si>
  <si>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tefon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Diggs</t>
    </r>
    <r>
      <rPr>
        <rFont val="Roboto, sans-serif"/>
      </rPr>
      <t xml:space="preserve">
WASWR75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</si>
  <si>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Otton</t>
    </r>
    <r>
      <rPr>
        <rFont val="Roboto, sans-serif"/>
      </rPr>
      <t xml:space="preserve">
TBTE29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</si>
  <si>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kyler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BUFWR76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</si>
  <si>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LVRWR77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</si>
  <si>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 Jr.</t>
    </r>
    <r>
      <rPr>
        <rFont val="Roboto, sans-serif"/>
      </rPr>
      <t xml:space="preserve">
ATLRB51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</si>
  <si>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Mayer</t>
    </r>
    <r>
      <rPr>
        <rFont val="Roboto, sans-serif"/>
      </rPr>
      <t xml:space="preserve">
LVRTE30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</si>
  <si>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</si>
  <si>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Blue</t>
    </r>
    <r>
      <rPr>
        <rFont val="Roboto, sans-serif"/>
      </rPr>
      <t xml:space="preserve">
DALRB53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</si>
  <si>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CARWR78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</si>
  <si>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Hockenson</t>
    </r>
    <r>
      <rPr>
        <rFont val="Roboto, sans-serif"/>
      </rPr>
      <t xml:space="preserve">
MINTE31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</si>
  <si>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Jennings</t>
    </r>
    <r>
      <rPr>
        <rFont val="Roboto, sans-serif"/>
      </rPr>
      <t xml:space="preserve">
MINWR79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</si>
  <si>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ontayvion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Wicks</t>
    </r>
    <r>
      <rPr>
        <rFont val="Roboto, sans-serif"/>
      </rPr>
      <t xml:space="preserve">
PHIWR80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</si>
  <si>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eaton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LACRB54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</si>
  <si>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KCRB55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</si>
  <si>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Njoku</t>
    </r>
    <r>
      <rPr>
        <rFont val="Roboto, sans-serif"/>
      </rPr>
      <t xml:space="preserve">
LACTE32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</si>
  <si>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Allar</t>
    </r>
    <r>
      <rPr>
        <rFont val="Roboto, sans-serif"/>
      </rPr>
      <t xml:space="preserve">
PITQB35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</si>
  <si>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eno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NYJQB36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</si>
  <si>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nthony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Richardson</t>
    </r>
    <r>
      <rPr>
        <rFont val="Roboto, sans-serif"/>
      </rPr>
      <t xml:space="preserve">
INDQB37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</si>
  <si>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WASRB56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</si>
  <si>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</t>
    </r>
    <r>
      <rPr>
        <rFont val="Roboto, sans-serif"/>
      </rPr>
      <t xml:space="preserve">
ARIQB38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</si>
  <si>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Pacheco</t>
    </r>
    <r>
      <rPr>
        <rFont val="Roboto, sans-serif"/>
      </rPr>
      <t xml:space="preserve">
DETRB57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</si>
  <si>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ylan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Sampson</t>
    </r>
    <r>
      <rPr>
        <rFont val="Roboto, sans-serif"/>
      </rPr>
      <t xml:space="preserve">
CLERB58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</si>
  <si>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Thompson</t>
    </r>
    <r>
      <rPr>
        <rFont val="Roboto, sans-serif"/>
      </rPr>
      <t xml:space="preserve">
LACWR81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</si>
  <si>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Bigsby</t>
    </r>
    <r>
      <rPr>
        <rFont val="Roboto, sans-serif"/>
      </rPr>
      <t xml:space="preserve">
PHIRB59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</si>
  <si>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NYJRB60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</si>
  <si>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donai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NYJWR82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</si>
  <si>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Horton</t>
    </r>
    <r>
      <rPr>
        <rFont val="Roboto, sans-serif"/>
      </rPr>
      <t xml:space="preserve">
SEAWR83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</si>
  <si>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llie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Gordon II</t>
    </r>
    <r>
      <rPr>
        <rFont val="Roboto, sans-serif"/>
      </rPr>
      <t xml:space="preserve">
MIARB61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</si>
  <si>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eQuint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JACRB62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</si>
  <si>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BALWR84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</si>
  <si>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Aiyuk</t>
    </r>
    <r>
      <rPr>
        <rFont val="Roboto, sans-serif"/>
      </rPr>
      <t xml:space="preserve">
UNSWR85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</si>
  <si>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NYGTE33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</si>
  <si>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TeSlaa</t>
    </r>
    <r>
      <rPr>
        <rFont val="Roboto, sans-serif"/>
      </rPr>
      <t xml:space="preserve">
DETWR86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</si>
  <si>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ARIRB63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</si>
  <si>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Klubnik</t>
    </r>
    <r>
      <rPr>
        <rFont val="Roboto, sans-serif"/>
      </rPr>
      <t xml:space="preserve">
NYJQB39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</si>
  <si>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MIARB64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</si>
  <si>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Randall</t>
    </r>
    <r>
      <rPr>
        <rFont val="Roboto, sans-serif"/>
      </rPr>
      <t xml:space="preserve">
BALRB65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</si>
  <si>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eebo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Samuel</t>
    </r>
    <r>
      <rPr>
        <rFont val="Roboto, sans-serif"/>
      </rPr>
      <t xml:space="preserve">
SFWR87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</si>
  <si>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Milroe</t>
    </r>
    <r>
      <rPr>
        <rFont val="Roboto, sans-serif"/>
      </rPr>
      <t xml:space="preserve">
SEAQB40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</si>
  <si>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Nailor</t>
    </r>
    <r>
      <rPr>
        <rFont val="Roboto, sans-serif"/>
      </rPr>
      <t xml:space="preserve">
LVRWR88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</si>
  <si>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Black</t>
    </r>
    <r>
      <rPr>
        <rFont val="Roboto, sans-serif"/>
      </rPr>
      <t xml:space="preserve">
SFRB66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</si>
  <si>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Mims Jr.</t>
    </r>
    <r>
      <rPr>
        <rFont val="Roboto, sans-serif"/>
      </rPr>
      <t xml:space="preserve">
DENWR89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</si>
  <si>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BUFWR90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</si>
  <si>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NYGWR91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</si>
  <si>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James</t>
    </r>
    <r>
      <rPr>
        <rFont val="Roboto, sans-serif"/>
      </rPr>
      <t xml:space="preserve">
SFRB67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</si>
  <si>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MINRB68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</si>
  <si>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SEARB69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</si>
  <si>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Neal</t>
    </r>
    <r>
      <rPr>
        <rFont val="Roboto, sans-serif"/>
      </rPr>
      <t xml:space="preserve">
NORB70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</si>
  <si>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scar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Delp</t>
    </r>
    <r>
      <rPr>
        <rFont val="Roboto, sans-serif"/>
      </rPr>
      <t xml:space="preserve">
NOTE34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</si>
  <si>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imani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Vidal</t>
    </r>
    <r>
      <rPr>
        <rFont val="Roboto, sans-serif"/>
      </rPr>
      <t xml:space="preserve">
LACRB71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</si>
  <si>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LARTE35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</si>
  <si>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PITRB72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</si>
  <si>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NYJTE36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</si>
  <si>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van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Engram</t>
    </r>
    <r>
      <rPr>
        <rFont val="Roboto, sans-serif"/>
      </rPr>
      <t xml:space="preserve">
DENTE37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</si>
  <si>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Parkinson</t>
    </r>
    <r>
      <rPr>
        <rFont val="Roboto, sans-serif"/>
      </rPr>
      <t xml:space="preserve">
LARTE38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</si>
  <si>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Kamara</t>
    </r>
    <r>
      <rPr>
        <rFont val="Roboto, sans-serif"/>
      </rPr>
      <t xml:space="preserve">
NORB73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</si>
  <si>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MIAWR92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</si>
  <si>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yreek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UNSWR93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</si>
  <si>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ashod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Bateman</t>
    </r>
    <r>
      <rPr>
        <rFont val="Roboto, sans-serif"/>
      </rPr>
      <t xml:space="preserve">
BALWR94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</si>
  <si>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emario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Douglas</t>
    </r>
    <r>
      <rPr>
        <rFont val="Roboto, sans-serif"/>
      </rPr>
      <t xml:space="preserve">
NEWR95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</si>
  <si>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Royals</t>
    </r>
    <r>
      <rPr>
        <rFont val="Roboto, sans-serif"/>
      </rPr>
      <t xml:space="preserve">
KCWR96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</si>
  <si>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NORB74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</si>
  <si>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CARRB75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</si>
  <si>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Gesicki</t>
    </r>
    <r>
      <rPr>
        <rFont val="Roboto, sans-serif"/>
      </rPr>
      <t xml:space="preserve">
CINTE39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</si>
  <si>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TBRB76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</si>
  <si>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Flournoy</t>
    </r>
    <r>
      <rPr>
        <rFont val="Roboto, sans-serif"/>
      </rPr>
      <t xml:space="preserve">
DALWR97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</si>
  <si>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NEWR98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</si>
  <si>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athaniel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Dell</t>
    </r>
    <r>
      <rPr>
        <rFont val="Roboto, sans-serif"/>
      </rPr>
      <t xml:space="preserve">
HOUWR99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</si>
  <si>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PITTE40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</si>
  <si>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rashard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KCRB77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</si>
  <si>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Bond</t>
    </r>
    <r>
      <rPr>
        <rFont val="Roboto, sans-serif"/>
      </rPr>
      <t xml:space="preserve">
CLEWR100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</si>
  <si>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Bryant</t>
    </r>
    <r>
      <rPr>
        <rFont val="Roboto, sans-serif"/>
      </rPr>
      <t xml:space="preserve">
DENWR101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</si>
  <si>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 Jr.</t>
    </r>
    <r>
      <rPr>
        <rFont val="Roboto, sans-serif"/>
      </rPr>
      <t xml:space="preserve">
MIAWR102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</si>
  <si>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Conner</t>
    </r>
    <r>
      <rPr>
        <rFont val="Roboto, sans-serif"/>
      </rPr>
      <t xml:space="preserve">
ARIRB78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</si>
  <si>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edric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Tillman</t>
    </r>
    <r>
      <rPr>
        <rFont val="Roboto, sans-serif"/>
      </rPr>
      <t xml:space="preserve">
CLEWR103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</si>
  <si>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Mooney</t>
    </r>
    <r>
      <rPr>
        <rFont val="Roboto, sans-serif"/>
      </rPr>
      <t xml:space="preserve">
NYGWR104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</si>
  <si>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himere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Dike</t>
    </r>
    <r>
      <rPr>
        <rFont val="Roboto, sans-serif"/>
      </rPr>
      <t xml:space="preserve">
TENWR105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</si>
  <si>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eenan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UNSWR106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</si>
  <si>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Cousins</t>
    </r>
    <r>
      <rPr>
        <rFont val="Roboto, sans-serif"/>
      </rPr>
      <t xml:space="preserve">
LVRQB41</t>
    </r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</si>
  <si>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Legette</t>
    </r>
    <r>
      <rPr>
        <rFont val="Roboto, sans-serif"/>
      </rPr>
      <t xml:space="preserve">
CARWR107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</si>
  <si>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ajee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UNSRB79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</si>
  <si>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Giddens</t>
    </r>
    <r>
      <rPr>
        <rFont val="Roboto, sans-serif"/>
      </rPr>
      <t xml:space="preserve">
INDRB80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</si>
  <si>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a'Tavion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CARTE41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</si>
  <si>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BUFRB81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</si>
  <si>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NERB82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</si>
  <si>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arquise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PHIWR108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</si>
  <si>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Kmet</t>
    </r>
    <r>
      <rPr>
        <rFont val="Roboto, sans-serif"/>
      </rPr>
      <t xml:space="preserve">
CHITE42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</si>
  <si>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Rodgers</t>
    </r>
    <r>
      <rPr>
        <rFont val="Roboto, sans-serif"/>
      </rPr>
      <t xml:space="preserve">
PITQB42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</si>
  <si>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Burks</t>
    </r>
    <r>
      <rPr>
        <rFont val="Roboto, sans-serif"/>
      </rPr>
      <t xml:space="preserve">
INDWR109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</si>
  <si>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ont'e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Thornton Jr.</t>
    </r>
    <r>
      <rPr>
        <rFont val="Roboto, sans-serif"/>
      </rPr>
      <t xml:space="preserve">
LVRWR110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</si>
  <si>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TBWR111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</si>
  <si>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evaughn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Vele</t>
    </r>
    <r>
      <rPr>
        <rFont val="Roboto, sans-serif"/>
      </rPr>
      <t xml:space="preserve">
NOWR112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</si>
  <si>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Ridley</t>
    </r>
    <r>
      <rPr>
        <rFont val="Roboto, sans-serif"/>
      </rPr>
      <t xml:space="preserve">
TENWR113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</si>
  <si>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Nussmeier</t>
    </r>
    <r>
      <rPr>
        <rFont val="Roboto, sans-serif"/>
      </rPr>
      <t xml:space="preserve">
KCQB43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</si>
  <si>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Mixon</t>
    </r>
    <r>
      <rPr>
        <rFont val="Roboto, sans-serif"/>
      </rPr>
      <t xml:space="preserve">
UNSRB83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</si>
  <si>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yquan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Thornton</t>
    </r>
    <r>
      <rPr>
        <rFont val="Roboto, sans-serif"/>
      </rPr>
      <t xml:space="preserve">
KCWR114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</si>
  <si>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arcus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Mariota</t>
    </r>
    <r>
      <rPr>
        <rFont val="Roboto, sans-serif"/>
      </rPr>
      <t xml:space="preserve">
WASQB44</t>
    </r>
  </si>
  <si>
    <t>QB48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</si>
  <si>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Tonges</t>
    </r>
    <r>
      <rPr>
        <rFont val="Roboto, sans-serif"/>
      </rPr>
      <t xml:space="preserve">
SFTE43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</si>
  <si>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ooper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Kupp</t>
    </r>
    <r>
      <rPr>
        <rFont val="Roboto, sans-serif"/>
      </rPr>
      <t xml:space="preserve">
SEAWR115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</si>
  <si>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Kirk</t>
    </r>
    <r>
      <rPr>
        <rFont val="Roboto, sans-serif"/>
      </rPr>
      <t xml:space="preserve">
SFWR116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</si>
  <si>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Sinnott</t>
    </r>
    <r>
      <rPr>
        <rFont val="Roboto, sans-serif"/>
      </rPr>
      <t xml:space="preserve">
WASTE44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</si>
  <si>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Dotson</t>
    </r>
    <r>
      <rPr>
        <rFont val="Roboto, sans-serif"/>
      </rPr>
      <t xml:space="preserve">
ATLWR117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</si>
  <si>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iley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Leonard</t>
    </r>
    <r>
      <rPr>
        <rFont val="Roboto, sans-serif"/>
      </rPr>
      <t xml:space="preserve">
INDQB45</t>
    </r>
  </si>
  <si>
    <t>QB49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</si>
  <si>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'Mari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JACRB84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</si>
  <si>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DALTE45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</si>
  <si>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Winston</t>
    </r>
    <r>
      <rPr>
        <rFont val="Roboto, sans-serif"/>
      </rPr>
      <t xml:space="preserve">
NYGQB46</t>
    </r>
  </si>
  <si>
    <t>QB50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</si>
  <si>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KCQB47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</si>
  <si>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SFQB48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</si>
  <si>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Bagent</t>
    </r>
    <r>
      <rPr>
        <rFont val="Roboto, sans-serif"/>
      </rPr>
      <t xml:space="preserve">
CHIQB49</t>
    </r>
  </si>
  <si>
    <t>QB52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</si>
  <si>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Milton III</t>
    </r>
    <r>
      <rPr>
        <rFont val="Roboto, sans-serif"/>
      </rPr>
      <t xml:space="preserve">
DALQB50</t>
    </r>
  </si>
  <si>
    <t>QB51</t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</si>
  <si>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Ewers</t>
    </r>
    <r>
      <rPr>
        <rFont val="Roboto, sans-serif"/>
      </rPr>
      <t xml:space="preserve">
MIAQB51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</si>
  <si>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Howard</t>
    </r>
    <r>
      <rPr>
        <rFont val="Roboto, sans-serif"/>
      </rPr>
      <t xml:space="preserve">
PITQB52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</si>
  <si>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oah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Gray</t>
    </r>
    <r>
      <rPr>
        <rFont val="Roboto, sans-serif"/>
      </rPr>
      <t xml:space="preserve">
KCTE46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</si>
</sst>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7">
    <font>
      <sz val="10.0"/>
      <color rgb="FF000000"/>
      <name val="Arial"/>
      <scheme val="minor"/>
    </font>
    <font>
      <color rgb="FF16191D"/>
      <name val="Poppins"/>
    </font>
    <font>
      <sz val="8.0"/>
      <color rgb="FF16191D"/>
      <name val="Poppins"/>
    </font>
    <font>
      <sz val="9.0"/>
      <color rgb="FF16191D"/>
      <name val="Poppins"/>
    </font>
    <font>
      <u/>
      <color rgb="FF0000FF"/>
      <name val="Poppins"/>
    </font>
    <font>
      <color theme="1"/>
      <name val="Arial"/>
      <scheme val="minor"/>
    </font>
    <font>
      <color rgb="FF000000"/>
      <name val="Roboto"/>
    </font>
    <font>
      <u/>
      <color rgb="FF0000FF"/>
      <name val="Roboto"/>
    </font>
    <font>
      <sz val="12.0"/>
      <color rgb="FF171924"/>
      <name val="Sans-serif"/>
    </font>
    <font>
      <sz val="12.0"/>
      <color rgb="FF606374"/>
      <name val="Sans-serif"/>
    </font>
    <font>
      <sz val="12.0"/>
      <color rgb="FF0A0E1B"/>
      <name val="Sans-serif"/>
    </font>
    <font>
      <b/>
      <color rgb="FF000000"/>
      <name val="Roboto"/>
    </font>
    <font>
      <sz val="12.0"/>
      <color rgb="FF484A59"/>
      <name val="Sans-serif"/>
    </font>
    <font>
      <sz val="12.0"/>
      <color rgb="FF2F313F"/>
      <name val="Sans-serif"/>
    </font>
    <font>
      <sz val="12.0"/>
      <color rgb="FF787C8C"/>
      <name val="Sans-serif"/>
    </font>
    <font>
      <color rgb="FF00101B"/>
      <name val="Roboto"/>
    </font>
    <font>
      <sz val="12.0"/>
      <color rgb="FF006AFF"/>
      <name val="Sans-seri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FAF4"/>
        <bgColor rgb="FFEFFAF4"/>
      </patternFill>
    </fill>
    <fill>
      <patternFill patternType="solid">
        <fgColor rgb="FFD4D4D4"/>
        <bgColor rgb="FFD4D4D4"/>
      </patternFill>
    </fill>
    <fill>
      <patternFill patternType="solid">
        <fgColor rgb="FFDFB5B7"/>
        <bgColor rgb="FFDFB5B7"/>
      </patternFill>
    </fill>
    <fill>
      <patternFill patternType="solid">
        <fgColor rgb="FFA7C8BD"/>
        <bgColor rgb="FFA7C8BD"/>
      </patternFill>
    </fill>
  </fills>
  <borders count="6">
    <border/>
    <border>
      <bottom style="thin">
        <color rgb="FFE2E7EE"/>
      </bottom>
    </border>
    <border>
      <bottom style="medium">
        <color rgb="FFE4E4E4"/>
      </bottom>
    </border>
    <border>
      <left style="thin">
        <color rgb="FFE4E4E4"/>
      </left>
      <bottom style="medium">
        <color rgb="FFE4E4E4"/>
      </bottom>
    </border>
    <border>
      <bottom style="thin">
        <color rgb="FFE4E4E4"/>
      </bottom>
    </border>
    <border>
      <left style="thin">
        <color rgb="FFE4E4E4"/>
      </left>
      <bottom style="thin">
        <color rgb="FFE4E4E4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2" fontId="2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readingOrder="0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5" fillId="2" fontId="6" numFmtId="0" xfId="0" applyAlignment="1" applyBorder="1" applyFont="1">
      <alignment horizontal="center" readingOrder="0"/>
    </xf>
    <xf borderId="4" fillId="4" fontId="6" numFmtId="0" xfId="0" applyAlignment="1" applyBorder="1" applyFill="1" applyFont="1">
      <alignment horizontal="center"/>
    </xf>
    <xf borderId="4" fillId="2" fontId="6" numFmtId="0" xfId="0" applyAlignment="1" applyBorder="1" applyFont="1">
      <alignment horizontal="center"/>
    </xf>
    <xf borderId="4" fillId="5" fontId="6" numFmtId="0" xfId="0" applyAlignment="1" applyBorder="1" applyFill="1" applyFont="1">
      <alignment horizontal="center" readingOrder="0"/>
    </xf>
    <xf borderId="4" fillId="6" fontId="6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4" fillId="4" fontId="6" numFmtId="0" xfId="0" applyAlignment="1" applyBorder="1" applyFont="1">
      <alignment horizontal="center"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readingOrder="0" shrinkToFit="0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horizontal="center" readingOrder="0" shrinkToFit="0" wrapText="0"/>
    </xf>
    <xf borderId="0" fillId="0" fontId="16" numFmtId="0" xfId="0" applyAlignment="1" applyFont="1">
      <alignment horizontal="center" readingOrder="0" shrinkToFit="0" wrapText="1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ntasypros.com/nfl/players/chris-brazzell-ii.php" TargetMode="External"/><Relationship Id="rId42" Type="http://schemas.openxmlformats.org/officeDocument/2006/relationships/hyperlink" Target="https://www.fantasypros.com/nfl/players/justin-joly.php" TargetMode="External"/><Relationship Id="rId41" Type="http://schemas.openxmlformats.org/officeDocument/2006/relationships/hyperlink" Target="https://www.fantasypros.com/nfl/players/kevin-coleman-jr.php" TargetMode="External"/><Relationship Id="rId44" Type="http://schemas.openxmlformats.org/officeDocument/2006/relationships/hyperlink" Target="https://www.fantasypros.com/nfl/players/seth-mcgowan.php" TargetMode="External"/><Relationship Id="rId43" Type="http://schemas.openxmlformats.org/officeDocument/2006/relationships/hyperlink" Target="https://www.fantasypros.com/nfl/players/eli-heidenreich.php" TargetMode="External"/><Relationship Id="rId46" Type="http://schemas.openxmlformats.org/officeDocument/2006/relationships/hyperlink" Target="https://www.fantasypros.com/nfl/players/cj-daniels.php" TargetMode="External"/><Relationship Id="rId45" Type="http://schemas.openxmlformats.org/officeDocument/2006/relationships/hyperlink" Target="https://www.fantasypros.com/nfl/players/cade-klubnik.php" TargetMode="External"/><Relationship Id="rId107" Type="http://schemas.openxmlformats.org/officeDocument/2006/relationships/hyperlink" Target="https://www.fantasypros.com/nfl/players/noah-thomas.php" TargetMode="External"/><Relationship Id="rId106" Type="http://schemas.openxmlformats.org/officeDocument/2006/relationships/hyperlink" Target="https://www.fantasypros.com/nfl/players/jaren-kanak.php" TargetMode="External"/><Relationship Id="rId105" Type="http://schemas.openxmlformats.org/officeDocument/2006/relationships/hyperlink" Target="https://www.fantasypros.com/nfl/players/kentrel-bullock.php" TargetMode="External"/><Relationship Id="rId104" Type="http://schemas.openxmlformats.org/officeDocument/2006/relationships/hyperlink" Target="https://www.fantasypros.com/nfl/players/dominic-richardson.php" TargetMode="External"/><Relationship Id="rId109" Type="http://schemas.openxmlformats.org/officeDocument/2006/relationships/hyperlink" Target="https://www.fantasypros.com/nfl/players/behren-morton.php" TargetMode="External"/><Relationship Id="rId108" Type="http://schemas.openxmlformats.org/officeDocument/2006/relationships/hyperlink" Target="https://www.fantasypros.com/nfl/players/joe-fagnano.php" TargetMode="External"/><Relationship Id="rId48" Type="http://schemas.openxmlformats.org/officeDocument/2006/relationships/hyperlink" Target="https://www.fantasypros.com/nfl/players/jmari-taylor.php" TargetMode="External"/><Relationship Id="rId47" Type="http://schemas.openxmlformats.org/officeDocument/2006/relationships/hyperlink" Target="https://www.fantasypros.com/nfl/players/malik-benson.php" TargetMode="External"/><Relationship Id="rId49" Type="http://schemas.openxmlformats.org/officeDocument/2006/relationships/hyperlink" Target="https://www.fantasypros.com/nfl/players/jam-miller.php" TargetMode="External"/><Relationship Id="rId103" Type="http://schemas.openxmlformats.org/officeDocument/2006/relationships/hyperlink" Target="https://www.fantasypros.com/nfl/players/jalon-daniels.php" TargetMode="External"/><Relationship Id="rId102" Type="http://schemas.openxmlformats.org/officeDocument/2006/relationships/hyperlink" Target="https://www.fantasypros.com/nfl/players/luke-altmyer.php" TargetMode="External"/><Relationship Id="rId101" Type="http://schemas.openxmlformats.org/officeDocument/2006/relationships/hyperlink" Target="https://www.fantasypros.com/nfl/players/hank-beatty.php" TargetMode="External"/><Relationship Id="rId100" Type="http://schemas.openxmlformats.org/officeDocument/2006/relationships/hyperlink" Target="https://www.fantasypros.com/nfl/players/cortez-braham-jr.php" TargetMode="External"/><Relationship Id="rId31" Type="http://schemas.openxmlformats.org/officeDocument/2006/relationships/hyperlink" Target="https://www.fantasypros.com/nfl/players/carson-beck.php" TargetMode="External"/><Relationship Id="rId30" Type="http://schemas.openxmlformats.org/officeDocument/2006/relationships/hyperlink" Target="https://www.fantasypros.com/nfl/players/adam-randall.php" TargetMode="External"/><Relationship Id="rId33" Type="http://schemas.openxmlformats.org/officeDocument/2006/relationships/hyperlink" Target="https://www.fantasypros.com/nfl/players/cyrus-allen.php" TargetMode="External"/><Relationship Id="rId32" Type="http://schemas.openxmlformats.org/officeDocument/2006/relationships/hyperlink" Target="https://www.fantasypros.com/nfl/players/bryce-lance.php" TargetMode="External"/><Relationship Id="rId35" Type="http://schemas.openxmlformats.org/officeDocument/2006/relationships/hyperlink" Target="https://www.fantasypros.com/nfl/players/eli-raridon.php" TargetMode="External"/><Relationship Id="rId34" Type="http://schemas.openxmlformats.org/officeDocument/2006/relationships/hyperlink" Target="https://www.fantasypros.com/nfl/players/brenen-thompson.php" TargetMode="External"/><Relationship Id="rId37" Type="http://schemas.openxmlformats.org/officeDocument/2006/relationships/hyperlink" Target="https://www.fantasypros.com/nfl/players/caleb-douglas.php" TargetMode="External"/><Relationship Id="rId36" Type="http://schemas.openxmlformats.org/officeDocument/2006/relationships/hyperlink" Target="https://www.fantasypros.com/nfl/players/max-klare.php" TargetMode="External"/><Relationship Id="rId39" Type="http://schemas.openxmlformats.org/officeDocument/2006/relationships/hyperlink" Target="https://www.fantasypros.com/nfl/players/zavion-thomas.php" TargetMode="External"/><Relationship Id="rId38" Type="http://schemas.openxmlformats.org/officeDocument/2006/relationships/hyperlink" Target="https://www.fantasypros.com/nfl/players/oscar-delp.php" TargetMode="External"/><Relationship Id="rId20" Type="http://schemas.openxmlformats.org/officeDocument/2006/relationships/hyperlink" Target="https://www.fantasypros.com/nfl/players/eli-stowers.php" TargetMode="External"/><Relationship Id="rId22" Type="http://schemas.openxmlformats.org/officeDocument/2006/relationships/hyperlink" Target="https://www.fantasypros.com/nfl/players/chris-bell.php" TargetMode="External"/><Relationship Id="rId21" Type="http://schemas.openxmlformats.org/officeDocument/2006/relationships/hyperlink" Target="https://www.fantasypros.com/nfl/players/ted-hurst.php" TargetMode="External"/><Relationship Id="rId24" Type="http://schemas.openxmlformats.org/officeDocument/2006/relationships/hyperlink" Target="https://www.fantasypros.com/nfl/players/kaelon-black.php" TargetMode="External"/><Relationship Id="rId23" Type="http://schemas.openxmlformats.org/officeDocument/2006/relationships/hyperlink" Target="https://www.fantasypros.com/nfl/players/malachi-fields.php" TargetMode="External"/><Relationship Id="rId129" Type="http://schemas.openxmlformats.org/officeDocument/2006/relationships/hyperlink" Target="https://www.fantasypros.com/nfl/players/riley-nowakowski.php" TargetMode="External"/><Relationship Id="rId128" Type="http://schemas.openxmlformats.org/officeDocument/2006/relationships/hyperlink" Target="https://www.fantasypros.com/nfl/players/miller-moss.php" TargetMode="External"/><Relationship Id="rId127" Type="http://schemas.openxmlformats.org/officeDocument/2006/relationships/hyperlink" Target="https://www.fantasypros.com/nfl/players/athan-kaliakmanis.php" TargetMode="External"/><Relationship Id="rId126" Type="http://schemas.openxmlformats.org/officeDocument/2006/relationships/hyperlink" Target="https://www.fantasypros.com/nfl/players/joey-aguilar.php" TargetMode="External"/><Relationship Id="rId26" Type="http://schemas.openxmlformats.org/officeDocument/2006/relationships/hyperlink" Target="https://www.fantasypros.com/nfl/players/elijah-sarratt.php" TargetMode="External"/><Relationship Id="rId121" Type="http://schemas.openxmlformats.org/officeDocument/2006/relationships/hyperlink" Target="https://www.fantasypros.com/nfl/players/emmanuel-henderson.php" TargetMode="External"/><Relationship Id="rId25" Type="http://schemas.openxmlformats.org/officeDocument/2006/relationships/hyperlink" Target="https://www.fantasypros.com/nfl/players/demond-claiborne.php" TargetMode="External"/><Relationship Id="rId120" Type="http://schemas.openxmlformats.org/officeDocument/2006/relationships/hyperlink" Target="https://www.fantasypros.com/nfl/players/jordan-hudson.php" TargetMode="External"/><Relationship Id="rId28" Type="http://schemas.openxmlformats.org/officeDocument/2006/relationships/hyperlink" Target="https://www.fantasypros.com/nfl/players/skyler-bell.php" TargetMode="External"/><Relationship Id="rId27" Type="http://schemas.openxmlformats.org/officeDocument/2006/relationships/hyperlink" Target="https://www.fantasypros.com/nfl/players/jakobi-lane.php" TargetMode="External"/><Relationship Id="rId125" Type="http://schemas.openxmlformats.org/officeDocument/2006/relationships/hyperlink" Target="https://www.fantasypros.com/nfl/players/jalil-farooq.php" TargetMode="External"/><Relationship Id="rId29" Type="http://schemas.openxmlformats.org/officeDocument/2006/relationships/hyperlink" Target="https://www.fantasypros.com/nfl/players/ty-simpson.php" TargetMode="External"/><Relationship Id="rId124" Type="http://schemas.openxmlformats.org/officeDocument/2006/relationships/hyperlink" Target="https://www.fantasypros.com/nfl/players/dillon-bell.php" TargetMode="External"/><Relationship Id="rId123" Type="http://schemas.openxmlformats.org/officeDocument/2006/relationships/hyperlink" Target="https://www.fantasypros.com/nfl/players/trebor-pena.php" TargetMode="External"/><Relationship Id="rId122" Type="http://schemas.openxmlformats.org/officeDocument/2006/relationships/hyperlink" Target="https://www.fantasypros.com/nfl/players/caullin-lacy.php" TargetMode="External"/><Relationship Id="rId95" Type="http://schemas.openxmlformats.org/officeDocument/2006/relationships/hyperlink" Target="https://www.fantasypros.com/nfl/players/chip-trayanum.php" TargetMode="External"/><Relationship Id="rId94" Type="http://schemas.openxmlformats.org/officeDocument/2006/relationships/hyperlink" Target="https://www.fantasypros.com/nfl/players/sawyer-robertson.php" TargetMode="External"/><Relationship Id="rId97" Type="http://schemas.openxmlformats.org/officeDocument/2006/relationships/hyperlink" Target="https://www.fantasypros.com/nfl/players/cj-donaldson.php" TargetMode="External"/><Relationship Id="rId96" Type="http://schemas.openxmlformats.org/officeDocument/2006/relationships/hyperlink" Target="https://www.fantasypros.com/nfl/players/dean-connors.php" TargetMode="External"/><Relationship Id="rId11" Type="http://schemas.openxmlformats.org/officeDocument/2006/relationships/hyperlink" Target="https://www.fantasypros.com/nfl/players/jonah-coleman.php" TargetMode="External"/><Relationship Id="rId99" Type="http://schemas.openxmlformats.org/officeDocument/2006/relationships/hyperlink" Target="https://www.fantasypros.com/nfl/players/eric-rivers.php" TargetMode="External"/><Relationship Id="rId10" Type="http://schemas.openxmlformats.org/officeDocument/2006/relationships/hyperlink" Target="https://www.fantasypros.com/nfl/players/fernando-mendoza.php" TargetMode="External"/><Relationship Id="rId98" Type="http://schemas.openxmlformats.org/officeDocument/2006/relationships/hyperlink" Target="https://www.fantasypros.com/nfl/players/rahsul-faison.php" TargetMode="External"/><Relationship Id="rId13" Type="http://schemas.openxmlformats.org/officeDocument/2006/relationships/hyperlink" Target="https://www.fantasypros.com/nfl/players/antonio-williams-wr.php" TargetMode="External"/><Relationship Id="rId12" Type="http://schemas.openxmlformats.org/officeDocument/2006/relationships/hyperlink" Target="https://www.fantasypros.com/nfl/players/dezhaun-stribling.php" TargetMode="External"/><Relationship Id="rId91" Type="http://schemas.openxmlformats.org/officeDocument/2006/relationships/hyperlink" Target="https://www.fantasypros.com/nfl/players/kendrick-law.php" TargetMode="External"/><Relationship Id="rId90" Type="http://schemas.openxmlformats.org/officeDocument/2006/relationships/hyperlink" Target="https://www.fantasypros.com/nfl/players/barika-kpeenu.php" TargetMode="External"/><Relationship Id="rId93" Type="http://schemas.openxmlformats.org/officeDocument/2006/relationships/hyperlink" Target="https://www.fantasypros.com/nfl/players/daequan-wright.php" TargetMode="External"/><Relationship Id="rId92" Type="http://schemas.openxmlformats.org/officeDocument/2006/relationships/hyperlink" Target="https://www.fantasypros.com/nfl/players/dallen-bentley.php" TargetMode="External"/><Relationship Id="rId118" Type="http://schemas.openxmlformats.org/officeDocument/2006/relationships/hyperlink" Target="https://www.fantasypros.com/nfl/players/chris-hilton.php" TargetMode="External"/><Relationship Id="rId117" Type="http://schemas.openxmlformats.org/officeDocument/2006/relationships/hyperlink" Target="https://www.fantasypros.com/nfl/players/vinny-anthony-ii.php" TargetMode="External"/><Relationship Id="rId116" Type="http://schemas.openxmlformats.org/officeDocument/2006/relationships/hyperlink" Target="https://www.fantasypros.com/nfl/players/romello-brinson.php" TargetMode="External"/><Relationship Id="rId115" Type="http://schemas.openxmlformats.org/officeDocument/2006/relationships/hyperlink" Target="https://www.fantasypros.com/nfl/players/jmichael-sturdivant.php" TargetMode="External"/><Relationship Id="rId119" Type="http://schemas.openxmlformats.org/officeDocument/2006/relationships/hyperlink" Target="https://www.fantasypros.com/nfl/players/donaven-mcculley.php" TargetMode="External"/><Relationship Id="rId15" Type="http://schemas.openxmlformats.org/officeDocument/2006/relationships/hyperlink" Target="https://www.fantasypros.com/nfl/players/emmett-johnson.php" TargetMode="External"/><Relationship Id="rId110" Type="http://schemas.openxmlformats.org/officeDocument/2006/relationships/hyperlink" Target="https://www.fantasypros.com/nfl/players/dane-key.php" TargetMode="External"/><Relationship Id="rId14" Type="http://schemas.openxmlformats.org/officeDocument/2006/relationships/hyperlink" Target="https://www.fantasypros.com/nfl/players/mike-washington-jr.php" TargetMode="External"/><Relationship Id="rId17" Type="http://schemas.openxmlformats.org/officeDocument/2006/relationships/hyperlink" Target="https://www.fantasypros.com/nfl/players/zachariah-branch.php" TargetMode="External"/><Relationship Id="rId16" Type="http://schemas.openxmlformats.org/officeDocument/2006/relationships/hyperlink" Target="https://www.fantasypros.com/nfl/players/germie-bernard.php" TargetMode="External"/><Relationship Id="rId19" Type="http://schemas.openxmlformats.org/officeDocument/2006/relationships/hyperlink" Target="https://www.fantasypros.com/nfl/players/kaytron-allen.php" TargetMode="External"/><Relationship Id="rId114" Type="http://schemas.openxmlformats.org/officeDocument/2006/relationships/hyperlink" Target="https://www.fantasypros.com/nfl/players/harrison-wallace-iii.php" TargetMode="External"/><Relationship Id="rId18" Type="http://schemas.openxmlformats.org/officeDocument/2006/relationships/hyperlink" Target="https://www.fantasypros.com/nfl/players/nick-singleton.php" TargetMode="External"/><Relationship Id="rId113" Type="http://schemas.openxmlformats.org/officeDocument/2006/relationships/hyperlink" Target="https://www.fantasypros.com/nfl/players/jamal-haynes.php" TargetMode="External"/><Relationship Id="rId112" Type="http://schemas.openxmlformats.org/officeDocument/2006/relationships/hyperlink" Target="https://www.fantasypros.com/nfl/players/byron-cardwell.php" TargetMode="External"/><Relationship Id="rId111" Type="http://schemas.openxmlformats.org/officeDocument/2006/relationships/hyperlink" Target="https://www.fantasypros.com/nfl/players/max-bredeson.php" TargetMode="External"/><Relationship Id="rId84" Type="http://schemas.openxmlformats.org/officeDocument/2006/relationships/hyperlink" Target="https://www.fantasypros.com/nfl/players/terion-stewart.php" TargetMode="External"/><Relationship Id="rId83" Type="http://schemas.openxmlformats.org/officeDocument/2006/relationships/hyperlink" Target="https://www.fantasypros.com/nfl/players/kejon-owens.php" TargetMode="External"/><Relationship Id="rId86" Type="http://schemas.openxmlformats.org/officeDocument/2006/relationships/hyperlink" Target="https://www.fantasypros.com/nfl/players/chase-roberts.php" TargetMode="External"/><Relationship Id="rId85" Type="http://schemas.openxmlformats.org/officeDocument/2006/relationships/hyperlink" Target="https://www.fantasypros.com/nfl/players/reggie-virgil.php" TargetMode="External"/><Relationship Id="rId88" Type="http://schemas.openxmlformats.org/officeDocument/2006/relationships/hyperlink" Target="https://www.fantasypros.com/nfl/players/noah-whittington.php" TargetMode="External"/><Relationship Id="rId87" Type="http://schemas.openxmlformats.org/officeDocument/2006/relationships/hyperlink" Target="https://www.fantasypros.com/nfl/players/desmond-reid.php" TargetMode="External"/><Relationship Id="rId89" Type="http://schemas.openxmlformats.org/officeDocument/2006/relationships/hyperlink" Target="https://www.fantasypros.com/nfl/players/aaron-anderson.php" TargetMode="External"/><Relationship Id="rId80" Type="http://schemas.openxmlformats.org/officeDocument/2006/relationships/hyperlink" Target="https://www.fantasypros.com/nfl/players/haynes-king.php" TargetMode="External"/><Relationship Id="rId82" Type="http://schemas.openxmlformats.org/officeDocument/2006/relationships/hyperlink" Target="https://www.fantasypros.com/nfl/players/jack-strand.php" TargetMode="External"/><Relationship Id="rId81" Type="http://schemas.openxmlformats.org/officeDocument/2006/relationships/hyperlink" Target="https://www.fantasypros.com/nfl/players/diego-pavia.php" TargetMode="External"/><Relationship Id="rId1" Type="http://schemas.openxmlformats.org/officeDocument/2006/relationships/hyperlink" Target="https://www.fantasypros.com/nfl/players/jeremiyah-love.php" TargetMode="External"/><Relationship Id="rId2" Type="http://schemas.openxmlformats.org/officeDocument/2006/relationships/hyperlink" Target="https://www.fantasypros.com/nfl/players/carnell-tate.php" TargetMode="External"/><Relationship Id="rId3" Type="http://schemas.openxmlformats.org/officeDocument/2006/relationships/hyperlink" Target="https://www.fantasypros.com/nfl/players/jordyn-tyson.php" TargetMode="External"/><Relationship Id="rId4" Type="http://schemas.openxmlformats.org/officeDocument/2006/relationships/hyperlink" Target="https://www.fantasypros.com/nfl/players/jadarian-price.php" TargetMode="External"/><Relationship Id="rId9" Type="http://schemas.openxmlformats.org/officeDocument/2006/relationships/hyperlink" Target="https://www.fantasypros.com/nfl/players/kenyon-sadiq.php" TargetMode="External"/><Relationship Id="rId5" Type="http://schemas.openxmlformats.org/officeDocument/2006/relationships/hyperlink" Target="https://www.fantasypros.com/nfl/players/makai-lemon.php" TargetMode="External"/><Relationship Id="rId6" Type="http://schemas.openxmlformats.org/officeDocument/2006/relationships/hyperlink" Target="https://www.fantasypros.com/nfl/players/kevin-concepcion.php" TargetMode="External"/><Relationship Id="rId7" Type="http://schemas.openxmlformats.org/officeDocument/2006/relationships/hyperlink" Target="https://www.fantasypros.com/nfl/players/omar-cooper-jr.php" TargetMode="External"/><Relationship Id="rId8" Type="http://schemas.openxmlformats.org/officeDocument/2006/relationships/hyperlink" Target="https://www.fantasypros.com/nfl/players/denzel-boston.php" TargetMode="External"/><Relationship Id="rId73" Type="http://schemas.openxmlformats.org/officeDocument/2006/relationships/hyperlink" Target="https://www.fantasypros.com/nfl/players/seydou-traore.php" TargetMode="External"/><Relationship Id="rId72" Type="http://schemas.openxmlformats.org/officeDocument/2006/relationships/hyperlink" Target="https://www.fantasypros.com/nfl/players/josh-cameron.php" TargetMode="External"/><Relationship Id="rId75" Type="http://schemas.openxmlformats.org/officeDocument/2006/relationships/hyperlink" Target="https://www.fantasypros.com/nfl/players/lewis-bond.php" TargetMode="External"/><Relationship Id="rId74" Type="http://schemas.openxmlformats.org/officeDocument/2006/relationships/hyperlink" Target="https://www.fantasypros.com/nfl/players/anthony-smith.php" TargetMode="External"/><Relationship Id="rId77" Type="http://schemas.openxmlformats.org/officeDocument/2006/relationships/hyperlink" Target="https://www.fantasypros.com/nfl/players/john-michael-gyllenborg.php" TargetMode="External"/><Relationship Id="rId76" Type="http://schemas.openxmlformats.org/officeDocument/2006/relationships/hyperlink" Target="https://www.fantasypros.com/nfl/players/joe-royer.php" TargetMode="External"/><Relationship Id="rId79" Type="http://schemas.openxmlformats.org/officeDocument/2006/relationships/hyperlink" Target="https://www.fantasypros.com/nfl/players/tyren-montgomery.php" TargetMode="External"/><Relationship Id="rId78" Type="http://schemas.openxmlformats.org/officeDocument/2006/relationships/hyperlink" Target="https://www.fantasypros.com/nfl/players/kaden-wetjen.php" TargetMode="External"/><Relationship Id="rId71" Type="http://schemas.openxmlformats.org/officeDocument/2006/relationships/hyperlink" Target="https://www.fantasypros.com/nfl/players/eric-mcalister.php" TargetMode="External"/><Relationship Id="rId70" Type="http://schemas.openxmlformats.org/officeDocument/2006/relationships/hyperlink" Target="https://www.fantasypros.com/nfl/players/matthew-hibner.php" TargetMode="External"/><Relationship Id="rId138" Type="http://schemas.openxmlformats.org/officeDocument/2006/relationships/drawing" Target="../drawings/drawing1.xml"/><Relationship Id="rId137" Type="http://schemas.openxmlformats.org/officeDocument/2006/relationships/hyperlink" Target="https://www.fantasypros.com/nfl/players/rohan-jones.php" TargetMode="External"/><Relationship Id="rId132" Type="http://schemas.openxmlformats.org/officeDocument/2006/relationships/hyperlink" Target="https://www.fantasypros.com/nfl/players/dan-villari.php" TargetMode="External"/><Relationship Id="rId131" Type="http://schemas.openxmlformats.org/officeDocument/2006/relationships/hyperlink" Target="https://www.fantasypros.com/nfl/players/dj-rogers.php" TargetMode="External"/><Relationship Id="rId130" Type="http://schemas.openxmlformats.org/officeDocument/2006/relationships/hyperlink" Target="https://www.fantasypros.com/nfl/players/lake-mcree.php" TargetMode="External"/><Relationship Id="rId136" Type="http://schemas.openxmlformats.org/officeDocument/2006/relationships/hyperlink" Target="https://www.fantasypros.com/nfl/players/khalil-dinkins.php" TargetMode="External"/><Relationship Id="rId135" Type="http://schemas.openxmlformats.org/officeDocument/2006/relationships/hyperlink" Target="https://www.fantasypros.com/nfl/players/bauer-sharp.php" TargetMode="External"/><Relationship Id="rId134" Type="http://schemas.openxmlformats.org/officeDocument/2006/relationships/hyperlink" Target="https://www.fantasypros.com/nfl/players/rj-maryland.php" TargetMode="External"/><Relationship Id="rId133" Type="http://schemas.openxmlformats.org/officeDocument/2006/relationships/hyperlink" Target="https://www.fantasypros.com/nfl/players/miles-kitselman.php" TargetMode="External"/><Relationship Id="rId62" Type="http://schemas.openxmlformats.org/officeDocument/2006/relationships/hyperlink" Target="https://www.fantasypros.com/nfl/players/jeff-caldwell.php" TargetMode="External"/><Relationship Id="rId61" Type="http://schemas.openxmlformats.org/officeDocument/2006/relationships/hyperlink" Target="https://www.fantasypros.com/nfl/players/marlin-klein.php" TargetMode="External"/><Relationship Id="rId64" Type="http://schemas.openxmlformats.org/officeDocument/2006/relationships/hyperlink" Target="https://www.fantasypros.com/nfl/players/jaydn-ott.php" TargetMode="External"/><Relationship Id="rId63" Type="http://schemas.openxmlformats.org/officeDocument/2006/relationships/hyperlink" Target="https://www.fantasypros.com/nfl/players/roman-hemby.php" TargetMode="External"/><Relationship Id="rId66" Type="http://schemas.openxmlformats.org/officeDocument/2006/relationships/hyperlink" Target="https://www.fantasypros.com/nfl/players/will-kacmarek.php" TargetMode="External"/><Relationship Id="rId65" Type="http://schemas.openxmlformats.org/officeDocument/2006/relationships/hyperlink" Target="https://www.fantasypros.com/nfl/players/jack-endries.php" TargetMode="External"/><Relationship Id="rId68" Type="http://schemas.openxmlformats.org/officeDocument/2006/relationships/hyperlink" Target="https://www.fantasypros.com/nfl/players/nate-boerkircher.php" TargetMode="External"/><Relationship Id="rId67" Type="http://schemas.openxmlformats.org/officeDocument/2006/relationships/hyperlink" Target="https://www.fantasypros.com/nfl/players/trey-smack.php" TargetMode="External"/><Relationship Id="rId60" Type="http://schemas.openxmlformats.org/officeDocument/2006/relationships/hyperlink" Target="https://www.fantasypros.com/nfl/players/barion-brown.php" TargetMode="External"/><Relationship Id="rId69" Type="http://schemas.openxmlformats.org/officeDocument/2006/relationships/hyperlink" Target="https://www.fantasypros.com/nfl/players/chase-curtis.php" TargetMode="External"/><Relationship Id="rId51" Type="http://schemas.openxmlformats.org/officeDocument/2006/relationships/hyperlink" Target="https://www.fantasypros.com/nfl/players/robert-henry-jr.php" TargetMode="External"/><Relationship Id="rId50" Type="http://schemas.openxmlformats.org/officeDocument/2006/relationships/hyperlink" Target="https://www.fantasypros.com/nfl/players/drew-allar.php" TargetMode="External"/><Relationship Id="rId53" Type="http://schemas.openxmlformats.org/officeDocument/2006/relationships/hyperlink" Target="https://www.fantasypros.com/nfl/players/deion-burks.php" TargetMode="External"/><Relationship Id="rId52" Type="http://schemas.openxmlformats.org/officeDocument/2006/relationships/hyperlink" Target="https://www.fantasypros.com/nfl/players/colbie-young.php" TargetMode="External"/><Relationship Id="rId55" Type="http://schemas.openxmlformats.org/officeDocument/2006/relationships/hyperlink" Target="https://www.fantasypros.com/nfl/players/michael-trigg.php" TargetMode="External"/><Relationship Id="rId54" Type="http://schemas.openxmlformats.org/officeDocument/2006/relationships/hyperlink" Target="https://www.fantasypros.com/nfl/players/garrett-nussmeier.php" TargetMode="External"/><Relationship Id="rId57" Type="http://schemas.openxmlformats.org/officeDocument/2006/relationships/hyperlink" Target="https://www.fantasypros.com/nfl/players/tanner-koziol.php" TargetMode="External"/><Relationship Id="rId56" Type="http://schemas.openxmlformats.org/officeDocument/2006/relationships/hyperlink" Target="https://www.fantasypros.com/nfl/players/taylen-green.php" TargetMode="External"/><Relationship Id="rId59" Type="http://schemas.openxmlformats.org/officeDocument/2006/relationships/hyperlink" Target="https://www.fantasypros.com/nfl/players/sam-roush.php" TargetMode="External"/><Relationship Id="rId58" Type="http://schemas.openxmlformats.org/officeDocument/2006/relationships/hyperlink" Target="https://www.fantasypros.com/nfl/players/cole-payton.ph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ftsharks.com/fantasy/points-outlook/seth-mcgowan/35936" TargetMode="External"/><Relationship Id="rId42" Type="http://schemas.openxmlformats.org/officeDocument/2006/relationships/hyperlink" Target="https://www.draftsharks.com/fantasy/points-outlook/kevin-coleman-jr-/36008" TargetMode="External"/><Relationship Id="rId41" Type="http://schemas.openxmlformats.org/officeDocument/2006/relationships/hyperlink" Target="https://www.draftsharks.com/fantasy/points-outlook/marlin-klein/36011" TargetMode="External"/><Relationship Id="rId44" Type="http://schemas.openxmlformats.org/officeDocument/2006/relationships/hyperlink" Target="https://www.draftsharks.com/fantasy/points-outlook/tanner-koziol/35980" TargetMode="External"/><Relationship Id="rId43" Type="http://schemas.openxmlformats.org/officeDocument/2006/relationships/hyperlink" Target="https://www.draftsharks.com/fantasy/points-outlook/nate-boerkircher/36015" TargetMode="External"/><Relationship Id="rId46" Type="http://schemas.openxmlformats.org/officeDocument/2006/relationships/hyperlink" Target="https://www.draftsharks.com/fantasy/points-outlook/jack-endries/35976" TargetMode="External"/><Relationship Id="rId45" Type="http://schemas.openxmlformats.org/officeDocument/2006/relationships/hyperlink" Target="https://www.draftsharks.com/fantasy/points-outlook/eli-heidenreich/36038" TargetMode="External"/><Relationship Id="rId48" Type="http://schemas.openxmlformats.org/officeDocument/2006/relationships/hyperlink" Target="https://www.draftsharks.com/fantasy/points-outlook/jamarion-miller/35996" TargetMode="External"/><Relationship Id="rId47" Type="http://schemas.openxmlformats.org/officeDocument/2006/relationships/hyperlink" Target="https://www.draftsharks.com/fantasy/points-outlook/sam-roush/35982" TargetMode="External"/><Relationship Id="rId49" Type="http://schemas.openxmlformats.org/officeDocument/2006/relationships/hyperlink" Target="https://www.draftsharks.com/fantasy/points-outlook/reggie-virgil/36009" TargetMode="External"/><Relationship Id="rId31" Type="http://schemas.openxmlformats.org/officeDocument/2006/relationships/hyperlink" Target="https://www.draftsharks.com/fantasy/points-outlook/adam-randall/35991" TargetMode="External"/><Relationship Id="rId30" Type="http://schemas.openxmlformats.org/officeDocument/2006/relationships/hyperlink" Target="https://www.draftsharks.com/fantasy/points-outlook/elijah-sarratt/35954" TargetMode="External"/><Relationship Id="rId33" Type="http://schemas.openxmlformats.org/officeDocument/2006/relationships/hyperlink" Target="https://www.draftsharks.com/fantasy/points-outlook/demond-claiborne/35933" TargetMode="External"/><Relationship Id="rId32" Type="http://schemas.openxmlformats.org/officeDocument/2006/relationships/hyperlink" Target="https://www.draftsharks.com/fantasy/points-outlook/kaelon-black/36026" TargetMode="External"/><Relationship Id="rId35" Type="http://schemas.openxmlformats.org/officeDocument/2006/relationships/hyperlink" Target="https://www.draftsharks.com/fantasy/points-outlook/oscar-delp/35977" TargetMode="External"/><Relationship Id="rId34" Type="http://schemas.openxmlformats.org/officeDocument/2006/relationships/hyperlink" Target="https://www.draftsharks.com/fantasy/points-outlook/malachi-fields/35961" TargetMode="External"/><Relationship Id="rId37" Type="http://schemas.openxmlformats.org/officeDocument/2006/relationships/hyperlink" Target="https://www.draftsharks.com/fantasy/points-outlook/eli-raridon/36072" TargetMode="External"/><Relationship Id="rId36" Type="http://schemas.openxmlformats.org/officeDocument/2006/relationships/hyperlink" Target="https://www.draftsharks.com/fantasy/points-outlook/max-klare/35975" TargetMode="External"/><Relationship Id="rId39" Type="http://schemas.openxmlformats.org/officeDocument/2006/relationships/hyperlink" Target="https://www.draftsharks.com/fantasy/points-outlook/malik-benson/36054" TargetMode="External"/><Relationship Id="rId38" Type="http://schemas.openxmlformats.org/officeDocument/2006/relationships/hyperlink" Target="https://www.draftsharks.com/fantasy/points-outlook/justin-joly/36014" TargetMode="External"/><Relationship Id="rId20" Type="http://schemas.openxmlformats.org/officeDocument/2006/relationships/hyperlink" Target="https://www.draftsharks.com/fantasy/points-outlook/zachariah-branch/35993" TargetMode="External"/><Relationship Id="rId22" Type="http://schemas.openxmlformats.org/officeDocument/2006/relationships/hyperlink" Target="https://www.draftsharks.com/fantasy/points-outlook/skyler-bell/35965" TargetMode="External"/><Relationship Id="rId21" Type="http://schemas.openxmlformats.org/officeDocument/2006/relationships/hyperlink" Target="https://www.draftsharks.com/fantasy/points-outlook/caleb-douglas/35990" TargetMode="External"/><Relationship Id="rId24" Type="http://schemas.openxmlformats.org/officeDocument/2006/relationships/hyperlink" Target="https://www.draftsharks.com/fantasy/points-outlook/mike-washington-jr-/35935" TargetMode="External"/><Relationship Id="rId23" Type="http://schemas.openxmlformats.org/officeDocument/2006/relationships/hyperlink" Target="https://www.draftsharks.com/fantasy/points-outlook/ty-simpson/35918" TargetMode="External"/><Relationship Id="rId26" Type="http://schemas.openxmlformats.org/officeDocument/2006/relationships/hyperlink" Target="https://www.draftsharks.com/fantasy/points-outlook/chris-brazzell-ii/35956" TargetMode="External"/><Relationship Id="rId25" Type="http://schemas.openxmlformats.org/officeDocument/2006/relationships/hyperlink" Target="https://www.draftsharks.com/fantasy/points-outlook/emmett-johnson/35932" TargetMode="External"/><Relationship Id="rId28" Type="http://schemas.openxmlformats.org/officeDocument/2006/relationships/hyperlink" Target="https://www.draftsharks.com/fantasy/points-outlook/brenen-thompson/36028" TargetMode="External"/><Relationship Id="rId27" Type="http://schemas.openxmlformats.org/officeDocument/2006/relationships/hyperlink" Target="https://www.draftsharks.com/fantasy/points-outlook/kaytron-allen/35930" TargetMode="External"/><Relationship Id="rId29" Type="http://schemas.openxmlformats.org/officeDocument/2006/relationships/hyperlink" Target="https://www.draftsharks.com/fantasy/points-outlook/bryce-lance/35960" TargetMode="External"/><Relationship Id="rId94" Type="http://schemas.openxmlformats.org/officeDocument/2006/relationships/drawing" Target="../drawings/drawing3.xml"/><Relationship Id="rId11" Type="http://schemas.openxmlformats.org/officeDocument/2006/relationships/hyperlink" Target="https://www.draftsharks.com/fantasy/points-outlook/eli-stowers/35974" TargetMode="External"/><Relationship Id="rId10" Type="http://schemas.openxmlformats.org/officeDocument/2006/relationships/hyperlink" Target="https://www.draftsharks.com/fantasy/points-outlook/denzel-boston/35949" TargetMode="External"/><Relationship Id="rId13" Type="http://schemas.openxmlformats.org/officeDocument/2006/relationships/hyperlink" Target="https://www.draftsharks.com/fantasy/points-outlook/germie-bernard/35953" TargetMode="External"/><Relationship Id="rId12" Type="http://schemas.openxmlformats.org/officeDocument/2006/relationships/hyperlink" Target="https://www.draftsharks.com/fantasy/points-outlook/dezhaun-stribling/36057" TargetMode="External"/><Relationship Id="rId91" Type="http://schemas.openxmlformats.org/officeDocument/2006/relationships/hyperlink" Target="https://www.draftsharks.com/fantasy/points-outlook/joe-fagnano/36050" TargetMode="External"/><Relationship Id="rId90" Type="http://schemas.openxmlformats.org/officeDocument/2006/relationships/hyperlink" Target="https://www.draftsharks.com/fantasy/points-outlook/cole-payton/36023" TargetMode="External"/><Relationship Id="rId93" Type="http://schemas.openxmlformats.org/officeDocument/2006/relationships/hyperlink" Target="https://www.draftsharks.com/fantasy/points-outlook/dominic-zvada/36152" TargetMode="External"/><Relationship Id="rId92" Type="http://schemas.openxmlformats.org/officeDocument/2006/relationships/hyperlink" Target="https://www.draftsharks.com/fantasy/points-outlook/trey-smack/36121" TargetMode="External"/><Relationship Id="rId15" Type="http://schemas.openxmlformats.org/officeDocument/2006/relationships/hyperlink" Target="https://www.draftsharks.com/fantasy/points-outlook/jakobi-lane/35955" TargetMode="External"/><Relationship Id="rId14" Type="http://schemas.openxmlformats.org/officeDocument/2006/relationships/hyperlink" Target="https://www.draftsharks.com/fantasy/points-outlook/antonio-williams/35957" TargetMode="External"/><Relationship Id="rId17" Type="http://schemas.openxmlformats.org/officeDocument/2006/relationships/hyperlink" Target="https://www.draftsharks.com/fantasy/points-outlook/ted-hurst/35963" TargetMode="External"/><Relationship Id="rId16" Type="http://schemas.openxmlformats.org/officeDocument/2006/relationships/hyperlink" Target="https://www.draftsharks.com/fantasy/points-outlook/jonah-coleman/35927" TargetMode="External"/><Relationship Id="rId19" Type="http://schemas.openxmlformats.org/officeDocument/2006/relationships/hyperlink" Target="https://www.draftsharks.com/fantasy/points-outlook/chris-bell/35952" TargetMode="External"/><Relationship Id="rId18" Type="http://schemas.openxmlformats.org/officeDocument/2006/relationships/hyperlink" Target="https://www.draftsharks.com/fantasy/points-outlook/nicholas-singleton/35929" TargetMode="External"/><Relationship Id="rId84" Type="http://schemas.openxmlformats.org/officeDocument/2006/relationships/hyperlink" Target="https://www.draftsharks.com/fantasy/points-outlook/noah-thomas/35968" TargetMode="External"/><Relationship Id="rId83" Type="http://schemas.openxmlformats.org/officeDocument/2006/relationships/hyperlink" Target="https://www.draftsharks.com/fantasy/points-outlook/aaron-anderson/36029" TargetMode="External"/><Relationship Id="rId86" Type="http://schemas.openxmlformats.org/officeDocument/2006/relationships/hyperlink" Target="https://www.draftsharks.com/fantasy/points-outlook/dane-key/36074" TargetMode="External"/><Relationship Id="rId85" Type="http://schemas.openxmlformats.org/officeDocument/2006/relationships/hyperlink" Target="https://www.draftsharks.com/fantasy/points-outlook/caullin-lacy/36007" TargetMode="External"/><Relationship Id="rId88" Type="http://schemas.openxmlformats.org/officeDocument/2006/relationships/hyperlink" Target="https://www.draftsharks.com/fantasy/points-outlook/behren-morton/36024" TargetMode="External"/><Relationship Id="rId87" Type="http://schemas.openxmlformats.org/officeDocument/2006/relationships/hyperlink" Target="https://www.draftsharks.com/fantasy/points-outlook/garrett-nussmeier/35921" TargetMode="External"/><Relationship Id="rId89" Type="http://schemas.openxmlformats.org/officeDocument/2006/relationships/hyperlink" Target="https://www.draftsharks.com/fantasy/points-outlook/luke-altmyer/36022" TargetMode="External"/><Relationship Id="rId80" Type="http://schemas.openxmlformats.org/officeDocument/2006/relationships/hyperlink" Target="https://www.draftsharks.com/fantasy/points-outlook/jalen-walthall/36059" TargetMode="External"/><Relationship Id="rId82" Type="http://schemas.openxmlformats.org/officeDocument/2006/relationships/hyperlink" Target="https://www.draftsharks.com/fantasy/points-outlook/taylen-green/36000" TargetMode="External"/><Relationship Id="rId81" Type="http://schemas.openxmlformats.org/officeDocument/2006/relationships/hyperlink" Target="https://www.draftsharks.com/fantasy/points-outlook/cade-klubnik/35923" TargetMode="External"/><Relationship Id="rId1" Type="http://schemas.openxmlformats.org/officeDocument/2006/relationships/hyperlink" Target="https://www.draftsharks.com/fantasy/points-outlook/jeremiyah-love/35925" TargetMode="External"/><Relationship Id="rId2" Type="http://schemas.openxmlformats.org/officeDocument/2006/relationships/hyperlink" Target="https://www.draftsharks.com/fantasy/points-outlook/carnell-tate/35950" TargetMode="External"/><Relationship Id="rId3" Type="http://schemas.openxmlformats.org/officeDocument/2006/relationships/hyperlink" Target="https://www.draftsharks.com/fantasy/points-outlook/jordyn-tyson/35947" TargetMode="External"/><Relationship Id="rId4" Type="http://schemas.openxmlformats.org/officeDocument/2006/relationships/hyperlink" Target="https://www.draftsharks.com/fantasy/points-outlook/makai-lemon/35948" TargetMode="External"/><Relationship Id="rId9" Type="http://schemas.openxmlformats.org/officeDocument/2006/relationships/hyperlink" Target="https://www.draftsharks.com/fantasy/points-outlook/fernando-mendoza/35915" TargetMode="External"/><Relationship Id="rId5" Type="http://schemas.openxmlformats.org/officeDocument/2006/relationships/hyperlink" Target="https://www.draftsharks.com/fantasy/points-outlook/jadarian-price/35926" TargetMode="External"/><Relationship Id="rId6" Type="http://schemas.openxmlformats.org/officeDocument/2006/relationships/hyperlink" Target="https://www.draftsharks.com/fantasy/points-outlook/kc-concepcion/35951" TargetMode="External"/><Relationship Id="rId7" Type="http://schemas.openxmlformats.org/officeDocument/2006/relationships/hyperlink" Target="https://www.draftsharks.com/fantasy/points-outlook/kenyon-sadiq/35973" TargetMode="External"/><Relationship Id="rId8" Type="http://schemas.openxmlformats.org/officeDocument/2006/relationships/hyperlink" Target="https://www.draftsharks.com/fantasy/points-outlook/omar-cooper-jr-/35970" TargetMode="External"/><Relationship Id="rId73" Type="http://schemas.openxmlformats.org/officeDocument/2006/relationships/hyperlink" Target="https://www.draftsharks.com/fantasy/points-outlook/drew-allar/36021" TargetMode="External"/><Relationship Id="rId72" Type="http://schemas.openxmlformats.org/officeDocument/2006/relationships/hyperlink" Target="https://www.draftsharks.com/fantasy/points-outlook/jordan-hudson/36010" TargetMode="External"/><Relationship Id="rId75" Type="http://schemas.openxmlformats.org/officeDocument/2006/relationships/hyperlink" Target="https://www.draftsharks.com/fantasy/points-outlook/daequan-wright/36067" TargetMode="External"/><Relationship Id="rId74" Type="http://schemas.openxmlformats.org/officeDocument/2006/relationships/hyperlink" Target="https://www.draftsharks.com/fantasy/points-outlook/dan-villari/36039" TargetMode="External"/><Relationship Id="rId77" Type="http://schemas.openxmlformats.org/officeDocument/2006/relationships/hyperlink" Target="https://www.draftsharks.com/fantasy/points-outlook/tanner-arkin/36071" TargetMode="External"/><Relationship Id="rId76" Type="http://schemas.openxmlformats.org/officeDocument/2006/relationships/hyperlink" Target="https://www.draftsharks.com/fantasy/points-outlook/cody-hardy/36070" TargetMode="External"/><Relationship Id="rId79" Type="http://schemas.openxmlformats.org/officeDocument/2006/relationships/hyperlink" Target="https://www.draftsharks.com/fantasy/points-outlook/eric-mcalister/35972" TargetMode="External"/><Relationship Id="rId78" Type="http://schemas.openxmlformats.org/officeDocument/2006/relationships/hyperlink" Target="https://www.draftsharks.com/fantasy/points-outlook/carson-beck/35924" TargetMode="External"/><Relationship Id="rId71" Type="http://schemas.openxmlformats.org/officeDocument/2006/relationships/hyperlink" Target="https://www.draftsharks.com/fantasy/points-outlook/lake-mcree/35981" TargetMode="External"/><Relationship Id="rId70" Type="http://schemas.openxmlformats.org/officeDocument/2006/relationships/hyperlink" Target="https://www.draftsharks.com/fantasy/points-outlook/jamal-haynes/36005" TargetMode="External"/><Relationship Id="rId62" Type="http://schemas.openxmlformats.org/officeDocument/2006/relationships/hyperlink" Target="https://www.draftsharks.com/fantasy/points-outlook/desmond-reid/35944" TargetMode="External"/><Relationship Id="rId61" Type="http://schemas.openxmlformats.org/officeDocument/2006/relationships/hyperlink" Target="https://www.draftsharks.com/fantasy/points-outlook/eric-rivers/36036" TargetMode="External"/><Relationship Id="rId64" Type="http://schemas.openxmlformats.org/officeDocument/2006/relationships/hyperlink" Target="https://www.draftsharks.com/fantasy/points-outlook/michael-trigg/35979" TargetMode="External"/><Relationship Id="rId63" Type="http://schemas.openxmlformats.org/officeDocument/2006/relationships/hyperlink" Target="https://www.draftsharks.com/fantasy/points-outlook/jmari-taylor/36002" TargetMode="External"/><Relationship Id="rId66" Type="http://schemas.openxmlformats.org/officeDocument/2006/relationships/hyperlink" Target="https://www.draftsharks.com/fantasy/points-outlook/vinny-anthony-ii/36053" TargetMode="External"/><Relationship Id="rId65" Type="http://schemas.openxmlformats.org/officeDocument/2006/relationships/hyperlink" Target="https://www.draftsharks.com/fantasy/points-outlook/john-michael-gyllenborg/36013" TargetMode="External"/><Relationship Id="rId68" Type="http://schemas.openxmlformats.org/officeDocument/2006/relationships/hyperlink" Target="https://www.draftsharks.com/fantasy/points-outlook/kejon-owens/36027" TargetMode="External"/><Relationship Id="rId67" Type="http://schemas.openxmlformats.org/officeDocument/2006/relationships/hyperlink" Target="https://www.draftsharks.com/fantasy/points-outlook/roman-hemby/35941" TargetMode="External"/><Relationship Id="rId60" Type="http://schemas.openxmlformats.org/officeDocument/2006/relationships/hyperlink" Target="https://www.draftsharks.com/fantasy/points-outlook/robert-henry-jr-/35939" TargetMode="External"/><Relationship Id="rId69" Type="http://schemas.openxmlformats.org/officeDocument/2006/relationships/hyperlink" Target="https://www.draftsharks.com/fantasy/points-outlook/cj-donaldson/36003" TargetMode="External"/><Relationship Id="rId51" Type="http://schemas.openxmlformats.org/officeDocument/2006/relationships/hyperlink" Target="https://www.draftsharks.com/fantasy/points-outlook/jeff-caldwell/36033" TargetMode="External"/><Relationship Id="rId50" Type="http://schemas.openxmlformats.org/officeDocument/2006/relationships/hyperlink" Target="https://www.draftsharks.com/fantasy/points-outlook/emmanuel-henderson-jr-/36055" TargetMode="External"/><Relationship Id="rId53" Type="http://schemas.openxmlformats.org/officeDocument/2006/relationships/hyperlink" Target="https://www.draftsharks.com/fantasy/points-outlook/deion-burks/35964" TargetMode="External"/><Relationship Id="rId52" Type="http://schemas.openxmlformats.org/officeDocument/2006/relationships/hyperlink" Target="https://www.draftsharks.com/fantasy/points-outlook/josh-cameron/35958" TargetMode="External"/><Relationship Id="rId55" Type="http://schemas.openxmlformats.org/officeDocument/2006/relationships/hyperlink" Target="https://www.draftsharks.com/fantasy/points-outlook/matthew-hibner/36041" TargetMode="External"/><Relationship Id="rId54" Type="http://schemas.openxmlformats.org/officeDocument/2006/relationships/hyperlink" Target="https://www.draftsharks.com/fantasy/points-outlook/cj-daniels/36018" TargetMode="External"/><Relationship Id="rId57" Type="http://schemas.openxmlformats.org/officeDocument/2006/relationships/hyperlink" Target="https://www.draftsharks.com/fantasy/points-outlook/bauer-sharp/36066" TargetMode="External"/><Relationship Id="rId56" Type="http://schemas.openxmlformats.org/officeDocument/2006/relationships/hyperlink" Target="https://www.draftsharks.com/fantasy/points-outlook/josh-cuevas/36012" TargetMode="External"/><Relationship Id="rId59" Type="http://schemas.openxmlformats.org/officeDocument/2006/relationships/hyperlink" Target="https://www.draftsharks.com/fantasy/points-outlook/dj-rogers/35983" TargetMode="External"/><Relationship Id="rId58" Type="http://schemas.openxmlformats.org/officeDocument/2006/relationships/hyperlink" Target="https://www.draftsharks.com/fantasy/points-outlook/jaren-kanak/36063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ftsharks.com/fantasy/points-outlook/eli-raridon/36072" TargetMode="External"/><Relationship Id="rId42" Type="http://schemas.openxmlformats.org/officeDocument/2006/relationships/hyperlink" Target="https://www.draftsharks.com/fantasy/points-outlook/taylen-green/36000" TargetMode="External"/><Relationship Id="rId41" Type="http://schemas.openxmlformats.org/officeDocument/2006/relationships/hyperlink" Target="https://www.draftsharks.com/fantasy/points-outlook/justin-joly/36014" TargetMode="External"/><Relationship Id="rId44" Type="http://schemas.openxmlformats.org/officeDocument/2006/relationships/hyperlink" Target="https://www.draftsharks.com/fantasy/points-outlook/seth-mcgowan/35936" TargetMode="External"/><Relationship Id="rId43" Type="http://schemas.openxmlformats.org/officeDocument/2006/relationships/hyperlink" Target="https://www.draftsharks.com/fantasy/points-outlook/malik-benson/36054" TargetMode="External"/><Relationship Id="rId46" Type="http://schemas.openxmlformats.org/officeDocument/2006/relationships/hyperlink" Target="https://www.draftsharks.com/fantasy/points-outlook/kevin-coleman-jr-/36008" TargetMode="External"/><Relationship Id="rId45" Type="http://schemas.openxmlformats.org/officeDocument/2006/relationships/hyperlink" Target="https://www.draftsharks.com/fantasy/points-outlook/marlin-klein/36011" TargetMode="External"/><Relationship Id="rId48" Type="http://schemas.openxmlformats.org/officeDocument/2006/relationships/hyperlink" Target="https://www.draftsharks.com/fantasy/points-outlook/tanner-koziol/35980" TargetMode="External"/><Relationship Id="rId47" Type="http://schemas.openxmlformats.org/officeDocument/2006/relationships/hyperlink" Target="https://www.draftsharks.com/fantasy/points-outlook/nate-boerkircher/36015" TargetMode="External"/><Relationship Id="rId49" Type="http://schemas.openxmlformats.org/officeDocument/2006/relationships/hyperlink" Target="https://www.draftsharks.com/fantasy/points-outlook/sam-roush/35982" TargetMode="External"/><Relationship Id="rId31" Type="http://schemas.openxmlformats.org/officeDocument/2006/relationships/hyperlink" Target="https://www.draftsharks.com/fantasy/points-outlook/bryce-lance/35960" TargetMode="External"/><Relationship Id="rId30" Type="http://schemas.openxmlformats.org/officeDocument/2006/relationships/hyperlink" Target="https://www.draftsharks.com/fantasy/points-outlook/brenen-thompson/36028" TargetMode="External"/><Relationship Id="rId33" Type="http://schemas.openxmlformats.org/officeDocument/2006/relationships/hyperlink" Target="https://www.draftsharks.com/fantasy/points-outlook/cade-klubnik/35923" TargetMode="External"/><Relationship Id="rId32" Type="http://schemas.openxmlformats.org/officeDocument/2006/relationships/hyperlink" Target="https://www.draftsharks.com/fantasy/points-outlook/elijah-sarratt/35954" TargetMode="External"/><Relationship Id="rId35" Type="http://schemas.openxmlformats.org/officeDocument/2006/relationships/hyperlink" Target="https://www.draftsharks.com/fantasy/points-outlook/kaelon-black/36026" TargetMode="External"/><Relationship Id="rId34" Type="http://schemas.openxmlformats.org/officeDocument/2006/relationships/hyperlink" Target="https://www.draftsharks.com/fantasy/points-outlook/adam-randall/35991" TargetMode="External"/><Relationship Id="rId37" Type="http://schemas.openxmlformats.org/officeDocument/2006/relationships/hyperlink" Target="https://www.draftsharks.com/fantasy/points-outlook/demond-claiborne/35933" TargetMode="External"/><Relationship Id="rId36" Type="http://schemas.openxmlformats.org/officeDocument/2006/relationships/hyperlink" Target="https://www.draftsharks.com/fantasy/points-outlook/malachi-fields/35961" TargetMode="External"/><Relationship Id="rId39" Type="http://schemas.openxmlformats.org/officeDocument/2006/relationships/hyperlink" Target="https://www.draftsharks.com/fantasy/points-outlook/max-klare/35975" TargetMode="External"/><Relationship Id="rId38" Type="http://schemas.openxmlformats.org/officeDocument/2006/relationships/hyperlink" Target="https://www.draftsharks.com/fantasy/points-outlook/oscar-delp/35977" TargetMode="External"/><Relationship Id="rId20" Type="http://schemas.openxmlformats.org/officeDocument/2006/relationships/hyperlink" Target="https://www.draftsharks.com/fantasy/points-outlook/nicholas-singleton/35929" TargetMode="External"/><Relationship Id="rId22" Type="http://schemas.openxmlformats.org/officeDocument/2006/relationships/hyperlink" Target="https://www.draftsharks.com/fantasy/points-outlook/caleb-douglas/35990" TargetMode="External"/><Relationship Id="rId21" Type="http://schemas.openxmlformats.org/officeDocument/2006/relationships/hyperlink" Target="https://www.draftsharks.com/fantasy/points-outlook/zachariah-branch/35993" TargetMode="External"/><Relationship Id="rId24" Type="http://schemas.openxmlformats.org/officeDocument/2006/relationships/hyperlink" Target="https://www.draftsharks.com/fantasy/points-outlook/mike-washington-jr-/35935" TargetMode="External"/><Relationship Id="rId23" Type="http://schemas.openxmlformats.org/officeDocument/2006/relationships/hyperlink" Target="https://www.draftsharks.com/fantasy/points-outlook/skyler-bell/35965" TargetMode="External"/><Relationship Id="rId26" Type="http://schemas.openxmlformats.org/officeDocument/2006/relationships/hyperlink" Target="https://www.draftsharks.com/fantasy/points-outlook/emmett-johnson/35932" TargetMode="External"/><Relationship Id="rId25" Type="http://schemas.openxmlformats.org/officeDocument/2006/relationships/hyperlink" Target="https://www.draftsharks.com/fantasy/points-outlook/chris-brazzell-ii/35956" TargetMode="External"/><Relationship Id="rId28" Type="http://schemas.openxmlformats.org/officeDocument/2006/relationships/hyperlink" Target="https://www.draftsharks.com/fantasy/points-outlook/kaytron-allen/35930" TargetMode="External"/><Relationship Id="rId27" Type="http://schemas.openxmlformats.org/officeDocument/2006/relationships/hyperlink" Target="https://www.draftsharks.com/fantasy/points-outlook/drew-allar/36021" TargetMode="External"/><Relationship Id="rId29" Type="http://schemas.openxmlformats.org/officeDocument/2006/relationships/hyperlink" Target="https://www.draftsharks.com/fantasy/points-outlook/carson-beck/35924" TargetMode="External"/><Relationship Id="rId94" Type="http://schemas.openxmlformats.org/officeDocument/2006/relationships/drawing" Target="../drawings/drawing4.xml"/><Relationship Id="rId11" Type="http://schemas.openxmlformats.org/officeDocument/2006/relationships/hyperlink" Target="https://www.draftsharks.com/fantasy/points-outlook/denzel-boston/35949" TargetMode="External"/><Relationship Id="rId10" Type="http://schemas.openxmlformats.org/officeDocument/2006/relationships/hyperlink" Target="https://www.draftsharks.com/fantasy/points-outlook/omar-cooper-jr-/35970" TargetMode="External"/><Relationship Id="rId13" Type="http://schemas.openxmlformats.org/officeDocument/2006/relationships/hyperlink" Target="https://www.draftsharks.com/fantasy/points-outlook/dezhaun-stribling/36057" TargetMode="External"/><Relationship Id="rId12" Type="http://schemas.openxmlformats.org/officeDocument/2006/relationships/hyperlink" Target="https://www.draftsharks.com/fantasy/points-outlook/eli-stowers/35974" TargetMode="External"/><Relationship Id="rId91" Type="http://schemas.openxmlformats.org/officeDocument/2006/relationships/hyperlink" Target="https://www.draftsharks.com/fantasy/points-outlook/dane-key/36074" TargetMode="External"/><Relationship Id="rId90" Type="http://schemas.openxmlformats.org/officeDocument/2006/relationships/hyperlink" Target="https://www.draftsharks.com/fantasy/points-outlook/caullin-lacy/36007" TargetMode="External"/><Relationship Id="rId93" Type="http://schemas.openxmlformats.org/officeDocument/2006/relationships/hyperlink" Target="https://www.draftsharks.com/fantasy/points-outlook/dominic-zvada/36152" TargetMode="External"/><Relationship Id="rId92" Type="http://schemas.openxmlformats.org/officeDocument/2006/relationships/hyperlink" Target="https://www.draftsharks.com/fantasy/points-outlook/trey-smack/36121" TargetMode="External"/><Relationship Id="rId15" Type="http://schemas.openxmlformats.org/officeDocument/2006/relationships/hyperlink" Target="https://www.draftsharks.com/fantasy/points-outlook/antonio-williams/35957" TargetMode="External"/><Relationship Id="rId14" Type="http://schemas.openxmlformats.org/officeDocument/2006/relationships/hyperlink" Target="https://www.draftsharks.com/fantasy/points-outlook/germie-bernard/35953" TargetMode="External"/><Relationship Id="rId17" Type="http://schemas.openxmlformats.org/officeDocument/2006/relationships/hyperlink" Target="https://www.draftsharks.com/fantasy/points-outlook/jonah-coleman/35927" TargetMode="External"/><Relationship Id="rId16" Type="http://schemas.openxmlformats.org/officeDocument/2006/relationships/hyperlink" Target="https://www.draftsharks.com/fantasy/points-outlook/jakobi-lane/35955" TargetMode="External"/><Relationship Id="rId19" Type="http://schemas.openxmlformats.org/officeDocument/2006/relationships/hyperlink" Target="https://www.draftsharks.com/fantasy/points-outlook/chris-bell/35952" TargetMode="External"/><Relationship Id="rId18" Type="http://schemas.openxmlformats.org/officeDocument/2006/relationships/hyperlink" Target="https://www.draftsharks.com/fantasy/points-outlook/ted-hurst/35963" TargetMode="External"/><Relationship Id="rId84" Type="http://schemas.openxmlformats.org/officeDocument/2006/relationships/hyperlink" Target="https://www.draftsharks.com/fantasy/points-outlook/cody-hardy/36070" TargetMode="External"/><Relationship Id="rId83" Type="http://schemas.openxmlformats.org/officeDocument/2006/relationships/hyperlink" Target="https://www.draftsharks.com/fantasy/points-outlook/daequan-wright/36067" TargetMode="External"/><Relationship Id="rId86" Type="http://schemas.openxmlformats.org/officeDocument/2006/relationships/hyperlink" Target="https://www.draftsharks.com/fantasy/points-outlook/eric-mcalister/35972" TargetMode="External"/><Relationship Id="rId85" Type="http://schemas.openxmlformats.org/officeDocument/2006/relationships/hyperlink" Target="https://www.draftsharks.com/fantasy/points-outlook/tanner-arkin/36071" TargetMode="External"/><Relationship Id="rId88" Type="http://schemas.openxmlformats.org/officeDocument/2006/relationships/hyperlink" Target="https://www.draftsharks.com/fantasy/points-outlook/aaron-anderson/36029" TargetMode="External"/><Relationship Id="rId87" Type="http://schemas.openxmlformats.org/officeDocument/2006/relationships/hyperlink" Target="https://www.draftsharks.com/fantasy/points-outlook/jalen-walthall/36059" TargetMode="External"/><Relationship Id="rId89" Type="http://schemas.openxmlformats.org/officeDocument/2006/relationships/hyperlink" Target="https://www.draftsharks.com/fantasy/points-outlook/noah-thomas/35968" TargetMode="External"/><Relationship Id="rId80" Type="http://schemas.openxmlformats.org/officeDocument/2006/relationships/hyperlink" Target="https://www.draftsharks.com/fantasy/points-outlook/lake-mcree/35981" TargetMode="External"/><Relationship Id="rId82" Type="http://schemas.openxmlformats.org/officeDocument/2006/relationships/hyperlink" Target="https://www.draftsharks.com/fantasy/points-outlook/dan-villari/36039" TargetMode="External"/><Relationship Id="rId81" Type="http://schemas.openxmlformats.org/officeDocument/2006/relationships/hyperlink" Target="https://www.draftsharks.com/fantasy/points-outlook/jordan-hudson/36010" TargetMode="External"/><Relationship Id="rId1" Type="http://schemas.openxmlformats.org/officeDocument/2006/relationships/hyperlink" Target="https://www.draftsharks.com/fantasy/points-outlook/jeremiyah-love/35925" TargetMode="External"/><Relationship Id="rId2" Type="http://schemas.openxmlformats.org/officeDocument/2006/relationships/hyperlink" Target="https://www.draftsharks.com/fantasy/points-outlook/fernando-mendoza/35915" TargetMode="External"/><Relationship Id="rId3" Type="http://schemas.openxmlformats.org/officeDocument/2006/relationships/hyperlink" Target="https://www.draftsharks.com/fantasy/points-outlook/carnell-tate/35950" TargetMode="External"/><Relationship Id="rId4" Type="http://schemas.openxmlformats.org/officeDocument/2006/relationships/hyperlink" Target="https://www.draftsharks.com/fantasy/points-outlook/jordyn-tyson/35947" TargetMode="External"/><Relationship Id="rId9" Type="http://schemas.openxmlformats.org/officeDocument/2006/relationships/hyperlink" Target="https://www.draftsharks.com/fantasy/points-outlook/kenyon-sadiq/35973" TargetMode="External"/><Relationship Id="rId5" Type="http://schemas.openxmlformats.org/officeDocument/2006/relationships/hyperlink" Target="https://www.draftsharks.com/fantasy/points-outlook/makai-lemon/35948" TargetMode="External"/><Relationship Id="rId6" Type="http://schemas.openxmlformats.org/officeDocument/2006/relationships/hyperlink" Target="https://www.draftsharks.com/fantasy/points-outlook/jadarian-price/35926" TargetMode="External"/><Relationship Id="rId7" Type="http://schemas.openxmlformats.org/officeDocument/2006/relationships/hyperlink" Target="https://www.draftsharks.com/fantasy/points-outlook/ty-simpson/35918" TargetMode="External"/><Relationship Id="rId8" Type="http://schemas.openxmlformats.org/officeDocument/2006/relationships/hyperlink" Target="https://www.draftsharks.com/fantasy/points-outlook/kc-concepcion/35951" TargetMode="External"/><Relationship Id="rId73" Type="http://schemas.openxmlformats.org/officeDocument/2006/relationships/hyperlink" Target="https://www.draftsharks.com/fantasy/points-outlook/luke-altmyer/36022" TargetMode="External"/><Relationship Id="rId72" Type="http://schemas.openxmlformats.org/officeDocument/2006/relationships/hyperlink" Target="https://www.draftsharks.com/fantasy/points-outlook/behren-morton/36024" TargetMode="External"/><Relationship Id="rId75" Type="http://schemas.openxmlformats.org/officeDocument/2006/relationships/hyperlink" Target="https://www.draftsharks.com/fantasy/points-outlook/joe-fagnano/36050" TargetMode="External"/><Relationship Id="rId74" Type="http://schemas.openxmlformats.org/officeDocument/2006/relationships/hyperlink" Target="https://www.draftsharks.com/fantasy/points-outlook/cole-payton/36023" TargetMode="External"/><Relationship Id="rId77" Type="http://schemas.openxmlformats.org/officeDocument/2006/relationships/hyperlink" Target="https://www.draftsharks.com/fantasy/points-outlook/kejon-owens/36027" TargetMode="External"/><Relationship Id="rId76" Type="http://schemas.openxmlformats.org/officeDocument/2006/relationships/hyperlink" Target="https://www.draftsharks.com/fantasy/points-outlook/roman-hemby/35941" TargetMode="External"/><Relationship Id="rId79" Type="http://schemas.openxmlformats.org/officeDocument/2006/relationships/hyperlink" Target="https://www.draftsharks.com/fantasy/points-outlook/jamal-haynes/36005" TargetMode="External"/><Relationship Id="rId78" Type="http://schemas.openxmlformats.org/officeDocument/2006/relationships/hyperlink" Target="https://www.draftsharks.com/fantasy/points-outlook/cj-donaldson/36003" TargetMode="External"/><Relationship Id="rId71" Type="http://schemas.openxmlformats.org/officeDocument/2006/relationships/hyperlink" Target="https://www.draftsharks.com/fantasy/points-outlook/vinny-anthony-ii/36053" TargetMode="External"/><Relationship Id="rId70" Type="http://schemas.openxmlformats.org/officeDocument/2006/relationships/hyperlink" Target="https://www.draftsharks.com/fantasy/points-outlook/john-michael-gyllenborg/36013" TargetMode="External"/><Relationship Id="rId62" Type="http://schemas.openxmlformats.org/officeDocument/2006/relationships/hyperlink" Target="https://www.draftsharks.com/fantasy/points-outlook/bauer-sharp/36066" TargetMode="External"/><Relationship Id="rId61" Type="http://schemas.openxmlformats.org/officeDocument/2006/relationships/hyperlink" Target="https://www.draftsharks.com/fantasy/points-outlook/josh-cuevas/36012" TargetMode="External"/><Relationship Id="rId64" Type="http://schemas.openxmlformats.org/officeDocument/2006/relationships/hyperlink" Target="https://www.draftsharks.com/fantasy/points-outlook/dj-rogers/35983" TargetMode="External"/><Relationship Id="rId63" Type="http://schemas.openxmlformats.org/officeDocument/2006/relationships/hyperlink" Target="https://www.draftsharks.com/fantasy/points-outlook/jaren-kanak/36063" TargetMode="External"/><Relationship Id="rId66" Type="http://schemas.openxmlformats.org/officeDocument/2006/relationships/hyperlink" Target="https://www.draftsharks.com/fantasy/points-outlook/robert-henry-jr-/35939" TargetMode="External"/><Relationship Id="rId65" Type="http://schemas.openxmlformats.org/officeDocument/2006/relationships/hyperlink" Target="https://www.draftsharks.com/fantasy/points-outlook/eric-rivers/36036" TargetMode="External"/><Relationship Id="rId68" Type="http://schemas.openxmlformats.org/officeDocument/2006/relationships/hyperlink" Target="https://www.draftsharks.com/fantasy/points-outlook/jmari-taylor/36002" TargetMode="External"/><Relationship Id="rId67" Type="http://schemas.openxmlformats.org/officeDocument/2006/relationships/hyperlink" Target="https://www.draftsharks.com/fantasy/points-outlook/desmond-reid/35944" TargetMode="External"/><Relationship Id="rId60" Type="http://schemas.openxmlformats.org/officeDocument/2006/relationships/hyperlink" Target="https://www.draftsharks.com/fantasy/points-outlook/matthew-hibner/36041" TargetMode="External"/><Relationship Id="rId69" Type="http://schemas.openxmlformats.org/officeDocument/2006/relationships/hyperlink" Target="https://www.draftsharks.com/fantasy/points-outlook/michael-trigg/35979" TargetMode="External"/><Relationship Id="rId51" Type="http://schemas.openxmlformats.org/officeDocument/2006/relationships/hyperlink" Target="https://www.draftsharks.com/fantasy/points-outlook/eli-heidenreich/36038" TargetMode="External"/><Relationship Id="rId50" Type="http://schemas.openxmlformats.org/officeDocument/2006/relationships/hyperlink" Target="https://www.draftsharks.com/fantasy/points-outlook/jack-endries/35976" TargetMode="External"/><Relationship Id="rId53" Type="http://schemas.openxmlformats.org/officeDocument/2006/relationships/hyperlink" Target="https://www.draftsharks.com/fantasy/points-outlook/reggie-virgil/36009" TargetMode="External"/><Relationship Id="rId52" Type="http://schemas.openxmlformats.org/officeDocument/2006/relationships/hyperlink" Target="https://www.draftsharks.com/fantasy/points-outlook/jamarion-miller/35996" TargetMode="External"/><Relationship Id="rId55" Type="http://schemas.openxmlformats.org/officeDocument/2006/relationships/hyperlink" Target="https://www.draftsharks.com/fantasy/points-outlook/jeff-caldwell/36033" TargetMode="External"/><Relationship Id="rId54" Type="http://schemas.openxmlformats.org/officeDocument/2006/relationships/hyperlink" Target="https://www.draftsharks.com/fantasy/points-outlook/emmanuel-henderson-jr-/36055" TargetMode="External"/><Relationship Id="rId57" Type="http://schemas.openxmlformats.org/officeDocument/2006/relationships/hyperlink" Target="https://www.draftsharks.com/fantasy/points-outlook/deion-burks/35964" TargetMode="External"/><Relationship Id="rId56" Type="http://schemas.openxmlformats.org/officeDocument/2006/relationships/hyperlink" Target="https://www.draftsharks.com/fantasy/points-outlook/josh-cameron/35958" TargetMode="External"/><Relationship Id="rId59" Type="http://schemas.openxmlformats.org/officeDocument/2006/relationships/hyperlink" Target="https://www.draftsharks.com/fantasy/points-outlook/garrett-nussmeier/35921" TargetMode="External"/><Relationship Id="rId58" Type="http://schemas.openxmlformats.org/officeDocument/2006/relationships/hyperlink" Target="https://www.draftsharks.com/fantasy/points-outlook/cj-daniels/3601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ftsharks.com/fantasy/points-outlook/garrett-wilson/12592" TargetMode="External"/><Relationship Id="rId190" Type="http://schemas.openxmlformats.org/officeDocument/2006/relationships/hyperlink" Target="https://www.draftsharks.com/fantasy/points-outlook/tyler-allgeier/12582" TargetMode="External"/><Relationship Id="rId42" Type="http://schemas.openxmlformats.org/officeDocument/2006/relationships/hyperlink" Target="https://www.draftsharks.com/fantasy/points-outlook/josh-jacobs/10195" TargetMode="External"/><Relationship Id="rId41" Type="http://schemas.openxmlformats.org/officeDocument/2006/relationships/hyperlink" Target="https://www.draftsharks.com/fantasy/points-outlook/jameson-williams/12595" TargetMode="External"/><Relationship Id="rId44" Type="http://schemas.openxmlformats.org/officeDocument/2006/relationships/hyperlink" Target="https://www.draftsharks.com/fantasy/points-outlook/a-j-brown/10198" TargetMode="External"/><Relationship Id="rId194" Type="http://schemas.openxmlformats.org/officeDocument/2006/relationships/hyperlink" Target="https://www.draftsharks.com/fantasy/points-outlook/brian-robinson-jr-/12581" TargetMode="External"/><Relationship Id="rId43" Type="http://schemas.openxmlformats.org/officeDocument/2006/relationships/hyperlink" Target="https://www.draftsharks.com/fantasy/points-outlook/carnell-tate/35950" TargetMode="External"/><Relationship Id="rId193" Type="http://schemas.openxmlformats.org/officeDocument/2006/relationships/hyperlink" Target="https://www.draftsharks.com/fantasy/points-outlook/isaac-teslaa/35572" TargetMode="External"/><Relationship Id="rId46" Type="http://schemas.openxmlformats.org/officeDocument/2006/relationships/hyperlink" Target="https://www.draftsharks.com/fantasy/points-outlook/jaylen-waddle/10772" TargetMode="External"/><Relationship Id="rId192" Type="http://schemas.openxmlformats.org/officeDocument/2006/relationships/hyperlink" Target="https://www.draftsharks.com/fantasy/points-outlook/bryce-lance/35960" TargetMode="External"/><Relationship Id="rId45" Type="http://schemas.openxmlformats.org/officeDocument/2006/relationships/hyperlink" Target="https://www.draftsharks.com/fantasy/points-outlook/chase-brown/13586" TargetMode="External"/><Relationship Id="rId191" Type="http://schemas.openxmlformats.org/officeDocument/2006/relationships/hyperlink" Target="https://www.draftsharks.com/fantasy/points-outlook/nicholas-singleton/35929" TargetMode="External"/><Relationship Id="rId48" Type="http://schemas.openxmlformats.org/officeDocument/2006/relationships/hyperlink" Target="https://www.draftsharks.com/fantasy/points-outlook/devonta-smith/10773" TargetMode="External"/><Relationship Id="rId187" Type="http://schemas.openxmlformats.org/officeDocument/2006/relationships/hyperlink" Target="https://www.draftsharks.com/fantasy/points-outlook/tory-horton/35349" TargetMode="External"/><Relationship Id="rId47" Type="http://schemas.openxmlformats.org/officeDocument/2006/relationships/hyperlink" Target="https://www.draftsharks.com/fantasy/points-outlook/bucky-irving/34991" TargetMode="External"/><Relationship Id="rId186" Type="http://schemas.openxmlformats.org/officeDocument/2006/relationships/hyperlink" Target="https://www.draftsharks.com/fantasy/points-outlook/theo-johnson/35010" TargetMode="External"/><Relationship Id="rId185" Type="http://schemas.openxmlformats.org/officeDocument/2006/relationships/hyperlink" Target="https://www.draftsharks.com/fantasy/points-outlook/tyrone-tracy-jr-/34997" TargetMode="External"/><Relationship Id="rId49" Type="http://schemas.openxmlformats.org/officeDocument/2006/relationships/hyperlink" Target="https://www.draftsharks.com/fantasy/points-outlook/luther-burden-iii/35334" TargetMode="External"/><Relationship Id="rId184" Type="http://schemas.openxmlformats.org/officeDocument/2006/relationships/hyperlink" Target="https://www.draftsharks.com/fantasy/points-outlook/brenen-thompson/36028" TargetMode="External"/><Relationship Id="rId189" Type="http://schemas.openxmlformats.org/officeDocument/2006/relationships/hyperlink" Target="https://www.draftsharks.com/fantasy/points-outlook/brandon-aiyuk/10582" TargetMode="External"/><Relationship Id="rId188" Type="http://schemas.openxmlformats.org/officeDocument/2006/relationships/hyperlink" Target="https://www.draftsharks.com/fantasy/points-outlook/adonai-mitchell/35018" TargetMode="External"/><Relationship Id="rId31" Type="http://schemas.openxmlformats.org/officeDocument/2006/relationships/hyperlink" Target="https://www.draftsharks.com/fantasy/points-outlook/drake-maye/15318" TargetMode="External"/><Relationship Id="rId30" Type="http://schemas.openxmlformats.org/officeDocument/2006/relationships/hyperlink" Target="https://www.draftsharks.com/fantasy/points-outlook/saquon-barkley/9994" TargetMode="External"/><Relationship Id="rId33" Type="http://schemas.openxmlformats.org/officeDocument/2006/relationships/hyperlink" Target="https://www.draftsharks.com/fantasy/points-outlook/chris-olave/12596" TargetMode="External"/><Relationship Id="rId183" Type="http://schemas.openxmlformats.org/officeDocument/2006/relationships/hyperlink" Target="https://www.draftsharks.com/fantasy/points-outlook/aaron-jones/9550" TargetMode="External"/><Relationship Id="rId32" Type="http://schemas.openxmlformats.org/officeDocument/2006/relationships/hyperlink" Target="https://www.draftsharks.com/fantasy/points-outlook/zay-flowers/13550" TargetMode="External"/><Relationship Id="rId182" Type="http://schemas.openxmlformats.org/officeDocument/2006/relationships/hyperlink" Target="https://www.draftsharks.com/fantasy/points-outlook/dontayvion-wicks/13562" TargetMode="External"/><Relationship Id="rId35" Type="http://schemas.openxmlformats.org/officeDocument/2006/relationships/hyperlink" Target="https://www.draftsharks.com/fantasy/points-outlook/jordyn-tyson/35947" TargetMode="External"/><Relationship Id="rId181" Type="http://schemas.openxmlformats.org/officeDocument/2006/relationships/hyperlink" Target="https://www.draftsharks.com/fantasy/points-outlook/david-njoku/7770" TargetMode="External"/><Relationship Id="rId34" Type="http://schemas.openxmlformats.org/officeDocument/2006/relationships/hyperlink" Target="https://www.draftsharks.com/fantasy/points-outlook/tee-higgins/10607" TargetMode="External"/><Relationship Id="rId180" Type="http://schemas.openxmlformats.org/officeDocument/2006/relationships/hyperlink" Target="https://www.draftsharks.com/fantasy/points-outlook/chris-rodriguez/13677" TargetMode="External"/><Relationship Id="rId37" Type="http://schemas.openxmlformats.org/officeDocument/2006/relationships/hyperlink" Target="https://www.draftsharks.com/fantasy/points-outlook/makai-lemon/35948" TargetMode="External"/><Relationship Id="rId176" Type="http://schemas.openxmlformats.org/officeDocument/2006/relationships/hyperlink" Target="https://www.draftsharks.com/fantasy/points-outlook/jauan-jennings/12430" TargetMode="External"/><Relationship Id="rId297" Type="http://schemas.openxmlformats.org/officeDocument/2006/relationships/hyperlink" Target="https://www.draftsharks.com/fantasy/points-outlook/joe-milton-iii/35126" TargetMode="External"/><Relationship Id="rId36" Type="http://schemas.openxmlformats.org/officeDocument/2006/relationships/hyperlink" Target="https://www.draftsharks.com/fantasy/points-outlook/rashee-rice/13553" TargetMode="External"/><Relationship Id="rId175" Type="http://schemas.openxmlformats.org/officeDocument/2006/relationships/hyperlink" Target="https://www.draftsharks.com/fantasy/points-outlook/stefon-diggs/7280" TargetMode="External"/><Relationship Id="rId296" Type="http://schemas.openxmlformats.org/officeDocument/2006/relationships/hyperlink" Target="https://www.draftsharks.com/fantasy/points-outlook/tyson-bagent/14149" TargetMode="External"/><Relationship Id="rId39" Type="http://schemas.openxmlformats.org/officeDocument/2006/relationships/hyperlink" Target="https://www.draftsharks.com/fantasy/points-outlook/ladd-mcconkey/35015" TargetMode="External"/><Relationship Id="rId174" Type="http://schemas.openxmlformats.org/officeDocument/2006/relationships/hyperlink" Target="https://www.draftsharks.com/fantasy/points-outlook/cade-otton/12705" TargetMode="External"/><Relationship Id="rId295" Type="http://schemas.openxmlformats.org/officeDocument/2006/relationships/hyperlink" Target="https://www.draftsharks.com/fantasy/points-outlook/jameis-winston/7203" TargetMode="External"/><Relationship Id="rId38" Type="http://schemas.openxmlformats.org/officeDocument/2006/relationships/hyperlink" Target="https://www.draftsharks.com/fantasy/points-outlook/jayden-daniels/34982" TargetMode="External"/><Relationship Id="rId173" Type="http://schemas.openxmlformats.org/officeDocument/2006/relationships/hyperlink" Target="https://www.draftsharks.com/fantasy/points-outlook/elijah-sarratt/35954" TargetMode="External"/><Relationship Id="rId294" Type="http://schemas.openxmlformats.org/officeDocument/2006/relationships/hyperlink" Target="https://www.draftsharks.com/fantasy/points-outlook/riley-leonard/35316" TargetMode="External"/><Relationship Id="rId179" Type="http://schemas.openxmlformats.org/officeDocument/2006/relationships/hyperlink" Target="https://www.draftsharks.com/fantasy/points-outlook/t-j-hockenson/10223" TargetMode="External"/><Relationship Id="rId178" Type="http://schemas.openxmlformats.org/officeDocument/2006/relationships/hyperlink" Target="https://www.draftsharks.com/fantasy/points-outlook/jonah-coleman/35927" TargetMode="External"/><Relationship Id="rId299" Type="http://schemas.openxmlformats.org/officeDocument/2006/relationships/hyperlink" Target="https://www.draftsharks.com/fantasy/points-outlook/will-howard/35527" TargetMode="External"/><Relationship Id="rId177" Type="http://schemas.openxmlformats.org/officeDocument/2006/relationships/hyperlink" Target="https://www.draftsharks.com/fantasy/points-outlook/jack-bech/35352" TargetMode="External"/><Relationship Id="rId298" Type="http://schemas.openxmlformats.org/officeDocument/2006/relationships/hyperlink" Target="https://www.draftsharks.com/fantasy/points-outlook/quinn-ewers/35314" TargetMode="External"/><Relationship Id="rId20" Type="http://schemas.openxmlformats.org/officeDocument/2006/relationships/hyperlink" Target="https://www.draftsharks.com/fantasy/points-outlook/james-cook/12585" TargetMode="External"/><Relationship Id="rId22" Type="http://schemas.openxmlformats.org/officeDocument/2006/relationships/hyperlink" Target="https://www.draftsharks.com/fantasy/points-outlook/kenneth-walker-iii/12579" TargetMode="External"/><Relationship Id="rId21" Type="http://schemas.openxmlformats.org/officeDocument/2006/relationships/hyperlink" Target="https://www.draftsharks.com/fantasy/points-outlook/george-pickens/12599" TargetMode="External"/><Relationship Id="rId24" Type="http://schemas.openxmlformats.org/officeDocument/2006/relationships/hyperlink" Target="https://www.draftsharks.com/fantasy/points-outlook/treveyon-henderson/35323" TargetMode="External"/><Relationship Id="rId23" Type="http://schemas.openxmlformats.org/officeDocument/2006/relationships/hyperlink" Target="https://www.draftsharks.com/fantasy/points-outlook/josh-allen/9962" TargetMode="External"/><Relationship Id="rId26" Type="http://schemas.openxmlformats.org/officeDocument/2006/relationships/hyperlink" Target="https://www.draftsharks.com/fantasy/points-outlook/christian-mccaffrey/7750" TargetMode="External"/><Relationship Id="rId25" Type="http://schemas.openxmlformats.org/officeDocument/2006/relationships/hyperlink" Target="https://www.draftsharks.com/fantasy/points-outlook/emeka-egbuka/35335" TargetMode="External"/><Relationship Id="rId28" Type="http://schemas.openxmlformats.org/officeDocument/2006/relationships/hyperlink" Target="https://www.draftsharks.com/fantasy/points-outlook/quinshon-judkins/35320" TargetMode="External"/><Relationship Id="rId27" Type="http://schemas.openxmlformats.org/officeDocument/2006/relationships/hyperlink" Target="https://www.draftsharks.com/fantasy/points-outlook/breece-hall/12577" TargetMode="External"/><Relationship Id="rId29" Type="http://schemas.openxmlformats.org/officeDocument/2006/relationships/hyperlink" Target="https://www.draftsharks.com/fantasy/points-outlook/colston-loveland/35360" TargetMode="External"/><Relationship Id="rId11" Type="http://schemas.openxmlformats.org/officeDocument/2006/relationships/hyperlink" Target="https://www.draftsharks.com/fantasy/points-outlook/amon-ra-st-brown/10783" TargetMode="External"/><Relationship Id="rId10" Type="http://schemas.openxmlformats.org/officeDocument/2006/relationships/hyperlink" Target="https://www.draftsharks.com/fantasy/points-outlook/jonathan-taylor/10500" TargetMode="External"/><Relationship Id="rId13" Type="http://schemas.openxmlformats.org/officeDocument/2006/relationships/hyperlink" Target="https://www.draftsharks.com/fantasy/points-outlook/omarion-hampton/35318" TargetMode="External"/><Relationship Id="rId12" Type="http://schemas.openxmlformats.org/officeDocument/2006/relationships/hyperlink" Target="https://www.draftsharks.com/fantasy/points-outlook/malik-nabers/34977" TargetMode="External"/><Relationship Id="rId15" Type="http://schemas.openxmlformats.org/officeDocument/2006/relationships/hyperlink" Target="https://www.draftsharks.com/fantasy/points-outlook/devon-achane/13563" TargetMode="External"/><Relationship Id="rId198" Type="http://schemas.openxmlformats.org/officeDocument/2006/relationships/hyperlink" Target="https://www.draftsharks.com/fantasy/points-outlook/mike-washington-jr-/35935" TargetMode="External"/><Relationship Id="rId14" Type="http://schemas.openxmlformats.org/officeDocument/2006/relationships/hyperlink" Target="https://www.draftsharks.com/fantasy/points-outlook/drake-london/12594" TargetMode="External"/><Relationship Id="rId197" Type="http://schemas.openxmlformats.org/officeDocument/2006/relationships/hyperlink" Target="https://www.draftsharks.com/fantasy/points-outlook/rachaad-white/12583" TargetMode="External"/><Relationship Id="rId17" Type="http://schemas.openxmlformats.org/officeDocument/2006/relationships/hyperlink" Target="https://www.draftsharks.com/fantasy/points-outlook/brock-bowers/35006" TargetMode="External"/><Relationship Id="rId196" Type="http://schemas.openxmlformats.org/officeDocument/2006/relationships/hyperlink" Target="https://www.draftsharks.com/fantasy/points-outlook/tank-bigsby/13565" TargetMode="External"/><Relationship Id="rId16" Type="http://schemas.openxmlformats.org/officeDocument/2006/relationships/hyperlink" Target="https://www.draftsharks.com/fantasy/points-outlook/nico-collins/10796" TargetMode="External"/><Relationship Id="rId195" Type="http://schemas.openxmlformats.org/officeDocument/2006/relationships/hyperlink" Target="https://www.draftsharks.com/fantasy/points-outlook/skyler-bell/35965" TargetMode="External"/><Relationship Id="rId19" Type="http://schemas.openxmlformats.org/officeDocument/2006/relationships/hyperlink" Target="https://www.draftsharks.com/fantasy/points-outlook/tetairoa-mcmillan/35333" TargetMode="External"/><Relationship Id="rId18" Type="http://schemas.openxmlformats.org/officeDocument/2006/relationships/hyperlink" Target="https://www.draftsharks.com/fantasy/points-outlook/trey-mcbride/12587" TargetMode="External"/><Relationship Id="rId199" Type="http://schemas.openxmlformats.org/officeDocument/2006/relationships/hyperlink" Target="https://www.draftsharks.com/fantasy/points-outlook/keon-coleman/35017" TargetMode="External"/><Relationship Id="rId84" Type="http://schemas.openxmlformats.org/officeDocument/2006/relationships/hyperlink" Target="https://www.draftsharks.com/fantasy/points-outlook/jayden-higgins/35345" TargetMode="External"/><Relationship Id="rId83" Type="http://schemas.openxmlformats.org/officeDocument/2006/relationships/hyperlink" Target="https://www.draftsharks.com/fantasy/points-outlook/davante-adams/6973" TargetMode="External"/><Relationship Id="rId86" Type="http://schemas.openxmlformats.org/officeDocument/2006/relationships/hyperlink" Target="https://www.draftsharks.com/fantasy/points-outlook/michael-pittman-jr-/10584" TargetMode="External"/><Relationship Id="rId85" Type="http://schemas.openxmlformats.org/officeDocument/2006/relationships/hyperlink" Target="https://www.draftsharks.com/fantasy/points-outlook/kenyon-sadiq/35973" TargetMode="External"/><Relationship Id="rId88" Type="http://schemas.openxmlformats.org/officeDocument/2006/relationships/hyperlink" Target="https://www.draftsharks.com/fantasy/points-outlook/jaxson-dart/35312" TargetMode="External"/><Relationship Id="rId150" Type="http://schemas.openxmlformats.org/officeDocument/2006/relationships/hyperlink" Target="https://www.draftsharks.com/fantasy/points-outlook/jakobi-lane/35955" TargetMode="External"/><Relationship Id="rId271" Type="http://schemas.openxmlformats.org/officeDocument/2006/relationships/hyperlink" Target="https://www.draftsharks.com/fantasy/points-outlook/eli-heidenreich/36038" TargetMode="External"/><Relationship Id="rId87" Type="http://schemas.openxmlformats.org/officeDocument/2006/relationships/hyperlink" Target="https://www.draftsharks.com/fantasy/points-outlook/brock-purdy/12737" TargetMode="External"/><Relationship Id="rId270" Type="http://schemas.openxmlformats.org/officeDocument/2006/relationships/hyperlink" Target="https://www.draftsharks.com/fantasy/points-outlook/jamarion-miller/35996" TargetMode="External"/><Relationship Id="rId89" Type="http://schemas.openxmlformats.org/officeDocument/2006/relationships/hyperlink" Target="https://www.draftsharks.com/fantasy/points-outlook/matthew-golden/35515" TargetMode="External"/><Relationship Id="rId80" Type="http://schemas.openxmlformats.org/officeDocument/2006/relationships/hyperlink" Target="https://www.draftsharks.com/fantasy/points-outlook/courtland-sutton/9968" TargetMode="External"/><Relationship Id="rId82" Type="http://schemas.openxmlformats.org/officeDocument/2006/relationships/hyperlink" Target="https://www.draftsharks.com/fantasy/points-outlook/xavier-worthy/35021" TargetMode="External"/><Relationship Id="rId81" Type="http://schemas.openxmlformats.org/officeDocument/2006/relationships/hyperlink" Target="https://www.draftsharks.com/fantasy/points-outlook/travis-etienne/10757" TargetMode="External"/><Relationship Id="rId1" Type="http://schemas.openxmlformats.org/officeDocument/2006/relationships/hyperlink" Target="https://www.draftsharks.com/fantasy/points-outlook/bijan-robinson/13541" TargetMode="External"/><Relationship Id="rId2" Type="http://schemas.openxmlformats.org/officeDocument/2006/relationships/hyperlink" Target="https://www.draftsharks.com/fantasy/points-outlook/jamarr-chase/10771" TargetMode="External"/><Relationship Id="rId3" Type="http://schemas.openxmlformats.org/officeDocument/2006/relationships/hyperlink" Target="https://www.draftsharks.com/fantasy/points-outlook/jahmyr-gibbs/13542" TargetMode="External"/><Relationship Id="rId149" Type="http://schemas.openxmlformats.org/officeDocument/2006/relationships/hyperlink" Target="https://www.draftsharks.com/fantasy/points-outlook/tyjae-spears/13569" TargetMode="External"/><Relationship Id="rId4" Type="http://schemas.openxmlformats.org/officeDocument/2006/relationships/hyperlink" Target="https://www.draftsharks.com/fantasy/points-outlook/jaxon-smith-njigba/13547" TargetMode="External"/><Relationship Id="rId148" Type="http://schemas.openxmlformats.org/officeDocument/2006/relationships/hyperlink" Target="https://www.draftsharks.com/fantasy/points-outlook/dallas-goedert/9997" TargetMode="External"/><Relationship Id="rId269" Type="http://schemas.openxmlformats.org/officeDocument/2006/relationships/hyperlink" Target="https://www.draftsharks.com/fantasy/points-outlook/devaughn-vele/35134" TargetMode="External"/><Relationship Id="rId9" Type="http://schemas.openxmlformats.org/officeDocument/2006/relationships/hyperlink" Target="https://www.draftsharks.com/fantasy/points-outlook/ceedee-lamb/10590" TargetMode="External"/><Relationship Id="rId143" Type="http://schemas.openxmlformats.org/officeDocument/2006/relationships/hyperlink" Target="https://www.draftsharks.com/fantasy/points-outlook/juwan-johnson/12426" TargetMode="External"/><Relationship Id="rId264" Type="http://schemas.openxmlformats.org/officeDocument/2006/relationships/hyperlink" Target="https://www.draftsharks.com/fantasy/points-outlook/shedeur-sanders/35309" TargetMode="External"/><Relationship Id="rId142" Type="http://schemas.openxmlformats.org/officeDocument/2006/relationships/hyperlink" Target="https://www.draftsharks.com/fantasy/points-outlook/brenton-strange/13686" TargetMode="External"/><Relationship Id="rId263" Type="http://schemas.openxmlformats.org/officeDocument/2006/relationships/hyperlink" Target="https://www.draftsharks.com/fantasy/points-outlook/deion-burks/35964" TargetMode="External"/><Relationship Id="rId141" Type="http://schemas.openxmlformats.org/officeDocument/2006/relationships/hyperlink" Target="https://www.draftsharks.com/fantasy/points-outlook/tre-harris/35339" TargetMode="External"/><Relationship Id="rId262" Type="http://schemas.openxmlformats.org/officeDocument/2006/relationships/hyperlink" Target="https://www.draftsharks.com/fantasy/points-outlook/tez-johnson/35342" TargetMode="External"/><Relationship Id="rId140" Type="http://schemas.openxmlformats.org/officeDocument/2006/relationships/hyperlink" Target="https://www.draftsharks.com/fantasy/points-outlook/mark-andrews/10009" TargetMode="External"/><Relationship Id="rId261" Type="http://schemas.openxmlformats.org/officeDocument/2006/relationships/hyperlink" Target="https://www.draftsharks.com/fantasy/points-outlook/cj-daniels/36018" TargetMode="External"/><Relationship Id="rId5" Type="http://schemas.openxmlformats.org/officeDocument/2006/relationships/hyperlink" Target="https://www.draftsharks.com/fantasy/points-outlook/puka-nacua/13680" TargetMode="External"/><Relationship Id="rId147" Type="http://schemas.openxmlformats.org/officeDocument/2006/relationships/hyperlink" Target="https://www.draftsharks.com/fantasy/points-outlook/braelon-allen/34996" TargetMode="External"/><Relationship Id="rId268" Type="http://schemas.openxmlformats.org/officeDocument/2006/relationships/hyperlink" Target="https://www.draftsharks.com/fantasy/points-outlook/tyquan-thornton/12679" TargetMode="External"/><Relationship Id="rId6" Type="http://schemas.openxmlformats.org/officeDocument/2006/relationships/hyperlink" Target="https://www.draftsharks.com/fantasy/points-outlook/jeremiyah-love/35925" TargetMode="External"/><Relationship Id="rId146" Type="http://schemas.openxmlformats.org/officeDocument/2006/relationships/hyperlink" Target="https://www.draftsharks.com/fantasy/points-outlook/jaylin-noel/35357" TargetMode="External"/><Relationship Id="rId267" Type="http://schemas.openxmlformats.org/officeDocument/2006/relationships/hyperlink" Target="https://www.draftsharks.com/fantasy/points-outlook/calvin-ridley/9966" TargetMode="External"/><Relationship Id="rId7" Type="http://schemas.openxmlformats.org/officeDocument/2006/relationships/hyperlink" Target="https://www.draftsharks.com/fantasy/points-outlook/justin-jefferson/10586" TargetMode="External"/><Relationship Id="rId145" Type="http://schemas.openxmlformats.org/officeDocument/2006/relationships/hyperlink" Target="https://www.draftsharks.com/fantasy/points-outlook/terrance-ferguson/35364" TargetMode="External"/><Relationship Id="rId266" Type="http://schemas.openxmlformats.org/officeDocument/2006/relationships/hyperlink" Target="https://www.draftsharks.com/fantasy/points-outlook/ray-davis/34993" TargetMode="External"/><Relationship Id="rId8" Type="http://schemas.openxmlformats.org/officeDocument/2006/relationships/hyperlink" Target="https://www.draftsharks.com/fantasy/points-outlook/ashton-jeanty/35317" TargetMode="External"/><Relationship Id="rId144" Type="http://schemas.openxmlformats.org/officeDocument/2006/relationships/hyperlink" Target="https://www.draftsharks.com/fantasy/points-outlook/jonathon-brooks/34987" TargetMode="External"/><Relationship Id="rId265" Type="http://schemas.openxmlformats.org/officeDocument/2006/relationships/hyperlink" Target="https://www.draftsharks.com/fantasy/points-outlook/najee-harris/10758" TargetMode="External"/><Relationship Id="rId73" Type="http://schemas.openxmlformats.org/officeDocument/2006/relationships/hyperlink" Target="https://www.draftsharks.com/fantasy/points-outlook/javonte-williams/10759" TargetMode="External"/><Relationship Id="rId72" Type="http://schemas.openxmlformats.org/officeDocument/2006/relationships/hyperlink" Target="https://www.draftsharks.com/fantasy/points-outlook/marvin-harrison-jr-/34975" TargetMode="External"/><Relationship Id="rId75" Type="http://schemas.openxmlformats.org/officeDocument/2006/relationships/hyperlink" Target="https://www.draftsharks.com/fantasy/points-outlook/parker-washington/13551" TargetMode="External"/><Relationship Id="rId74" Type="http://schemas.openxmlformats.org/officeDocument/2006/relationships/hyperlink" Target="https://www.draftsharks.com/fantasy/points-outlook/d-j-moore/9970" TargetMode="External"/><Relationship Id="rId77" Type="http://schemas.openxmlformats.org/officeDocument/2006/relationships/hyperlink" Target="https://www.draftsharks.com/fantasy/points-outlook/alec-pierce/12605" TargetMode="External"/><Relationship Id="rId260" Type="http://schemas.openxmlformats.org/officeDocument/2006/relationships/hyperlink" Target="https://www.draftsharks.com/fantasy/points-outlook/dj-giddens/35528" TargetMode="External"/><Relationship Id="rId76" Type="http://schemas.openxmlformats.org/officeDocument/2006/relationships/hyperlink" Target="https://www.draftsharks.com/fantasy/points-outlook/mike-evans/6938" TargetMode="External"/><Relationship Id="rId79" Type="http://schemas.openxmlformats.org/officeDocument/2006/relationships/hyperlink" Target="https://www.draftsharks.com/fantasy/points-outlook/michael-wilson/13558" TargetMode="External"/><Relationship Id="rId78" Type="http://schemas.openxmlformats.org/officeDocument/2006/relationships/hyperlink" Target="https://www.draftsharks.com/fantasy/points-outlook/sam-laporta/13576" TargetMode="External"/><Relationship Id="rId71" Type="http://schemas.openxmlformats.org/officeDocument/2006/relationships/hyperlink" Target="https://www.draftsharks.com/fantasy/points-outlook/trevor-lawrence/10748" TargetMode="External"/><Relationship Id="rId70" Type="http://schemas.openxmlformats.org/officeDocument/2006/relationships/hyperlink" Target="https://www.draftsharks.com/fantasy/points-outlook/d-k-metcalf/10197" TargetMode="External"/><Relationship Id="rId139" Type="http://schemas.openxmlformats.org/officeDocument/2006/relationships/hyperlink" Target="https://www.draftsharks.com/fantasy/points-outlook/rico-dowdle/12103" TargetMode="External"/><Relationship Id="rId138" Type="http://schemas.openxmlformats.org/officeDocument/2006/relationships/hyperlink" Target="https://www.draftsharks.com/fantasy/points-outlook/antonio-williams/35957" TargetMode="External"/><Relationship Id="rId259" Type="http://schemas.openxmlformats.org/officeDocument/2006/relationships/hyperlink" Target="https://www.draftsharks.com/fantasy/points-outlook/tua-tagovailoa/10483" TargetMode="External"/><Relationship Id="rId137" Type="http://schemas.openxmlformats.org/officeDocument/2006/relationships/hyperlink" Target="https://www.draftsharks.com/fantasy/points-outlook/cameron-ward/35310" TargetMode="External"/><Relationship Id="rId258" Type="http://schemas.openxmlformats.org/officeDocument/2006/relationships/hyperlink" Target="https://www.draftsharks.com/fantasy/points-outlook/brashard-smith/35522" TargetMode="External"/><Relationship Id="rId132" Type="http://schemas.openxmlformats.org/officeDocument/2006/relationships/hyperlink" Target="https://www.draftsharks.com/fantasy/points-outlook/germie-bernard/35953" TargetMode="External"/><Relationship Id="rId253" Type="http://schemas.openxmlformats.org/officeDocument/2006/relationships/hyperlink" Target="https://www.draftsharks.com/fantasy/points-outlook/jack-endries/35976" TargetMode="External"/><Relationship Id="rId131" Type="http://schemas.openxmlformats.org/officeDocument/2006/relationships/hyperlink" Target="https://www.draftsharks.com/fantasy/points-outlook/jalen-mcmillan/35026" TargetMode="External"/><Relationship Id="rId252" Type="http://schemas.openxmlformats.org/officeDocument/2006/relationships/hyperlink" Target="https://www.draftsharks.com/fantasy/points-outlook/alvin-kamara/7751" TargetMode="External"/><Relationship Id="rId130" Type="http://schemas.openxmlformats.org/officeDocument/2006/relationships/hyperlink" Target="https://www.draftsharks.com/fantasy/points-outlook/jalen-coker/35137" TargetMode="External"/><Relationship Id="rId251" Type="http://schemas.openxmlformats.org/officeDocument/2006/relationships/hyperlink" Target="https://www.draftsharks.com/fantasy/points-outlook/keenan-allen/6678" TargetMode="External"/><Relationship Id="rId250" Type="http://schemas.openxmlformats.org/officeDocument/2006/relationships/hyperlink" Target="https://www.draftsharks.com/fantasy/points-outlook/cole-kmet/10485" TargetMode="External"/><Relationship Id="rId136" Type="http://schemas.openxmlformats.org/officeDocument/2006/relationships/hyperlink" Target="https://www.draftsharks.com/fantasy/points-outlook/kenneth-gainwell/10761" TargetMode="External"/><Relationship Id="rId257" Type="http://schemas.openxmlformats.org/officeDocument/2006/relationships/hyperlink" Target="https://www.draftsharks.com/fantasy/points-outlook/james-conner/7778" TargetMode="External"/><Relationship Id="rId135" Type="http://schemas.openxmlformats.org/officeDocument/2006/relationships/hyperlink" Target="https://www.draftsharks.com/fantasy/points-outlook/sam-darnold/9963" TargetMode="External"/><Relationship Id="rId256" Type="http://schemas.openxmlformats.org/officeDocument/2006/relationships/hyperlink" Target="https://www.draftsharks.com/fantasy/points-outlook/donte-thornton-jr-/35544" TargetMode="External"/><Relationship Id="rId134" Type="http://schemas.openxmlformats.org/officeDocument/2006/relationships/hyperlink" Target="https://www.draftsharks.com/fantasy/points-outlook/isaiah-likely/12589" TargetMode="External"/><Relationship Id="rId255" Type="http://schemas.openxmlformats.org/officeDocument/2006/relationships/hyperlink" Target="https://www.draftsharks.com/fantasy/points-outlook/trevor-etienne/35525" TargetMode="External"/><Relationship Id="rId133" Type="http://schemas.openxmlformats.org/officeDocument/2006/relationships/hyperlink" Target="https://www.draftsharks.com/fantasy/points-outlook/woody-marks/35328" TargetMode="External"/><Relationship Id="rId254" Type="http://schemas.openxmlformats.org/officeDocument/2006/relationships/hyperlink" Target="https://www.draftsharks.com/fantasy/points-outlook/kendre-miller/13570" TargetMode="External"/><Relationship Id="rId62" Type="http://schemas.openxmlformats.org/officeDocument/2006/relationships/hyperlink" Target="https://www.draftsharks.com/fantasy/points-outlook/cameron-skattebo/35382" TargetMode="External"/><Relationship Id="rId61" Type="http://schemas.openxmlformats.org/officeDocument/2006/relationships/hyperlink" Target="https://www.draftsharks.com/fantasy/points-outlook/derrick-henry/7461" TargetMode="External"/><Relationship Id="rId64" Type="http://schemas.openxmlformats.org/officeDocument/2006/relationships/hyperlink" Target="https://www.draftsharks.com/fantasy/points-outlook/justin-herbert/10488" TargetMode="External"/><Relationship Id="rId63" Type="http://schemas.openxmlformats.org/officeDocument/2006/relationships/hyperlink" Target="https://www.draftsharks.com/fantasy/points-outlook/kc-concepcion/35951" TargetMode="External"/><Relationship Id="rId66" Type="http://schemas.openxmlformats.org/officeDocument/2006/relationships/hyperlink" Target="https://www.draftsharks.com/fantasy/points-outlook/brian-thomas-jr-/35014" TargetMode="External"/><Relationship Id="rId172" Type="http://schemas.openxmlformats.org/officeDocument/2006/relationships/hyperlink" Target="https://www.draftsharks.com/fantasy/points-outlook/elic-ayomanor/35338" TargetMode="External"/><Relationship Id="rId293" Type="http://schemas.openxmlformats.org/officeDocument/2006/relationships/hyperlink" Target="https://www.draftsharks.com/fantasy/points-outlook/marcus-mariota/7204" TargetMode="External"/><Relationship Id="rId65" Type="http://schemas.openxmlformats.org/officeDocument/2006/relationships/hyperlink" Target="https://www.draftsharks.com/fantasy/points-outlook/jalen-hurts/10490" TargetMode="External"/><Relationship Id="rId171" Type="http://schemas.openxmlformats.org/officeDocument/2006/relationships/hyperlink" Target="https://www.draftsharks.com/fantasy/points-outlook/jerry-jeudy/10598" TargetMode="External"/><Relationship Id="rId292" Type="http://schemas.openxmlformats.org/officeDocument/2006/relationships/hyperlink" Target="https://www.draftsharks.com/fantasy/points-outlook/garrett-nussmeier/35921" TargetMode="External"/><Relationship Id="rId68" Type="http://schemas.openxmlformats.org/officeDocument/2006/relationships/hyperlink" Target="https://www.draftsharks.com/fantasy/points-outlook/jordan-addison/13546" TargetMode="External"/><Relationship Id="rId170" Type="http://schemas.openxmlformats.org/officeDocument/2006/relationships/hyperlink" Target="https://www.draftsharks.com/fantasy/points-outlook/chris-bell/35952" TargetMode="External"/><Relationship Id="rId291" Type="http://schemas.openxmlformats.org/officeDocument/2006/relationships/hyperlink" Target="https://www.draftsharks.com/fantasy/points-outlook/aaron-rodgers/2636" TargetMode="External"/><Relationship Id="rId67" Type="http://schemas.openxmlformats.org/officeDocument/2006/relationships/hyperlink" Target="https://www.draftsharks.com/fantasy/points-outlook/terry-mclaurin/10269" TargetMode="External"/><Relationship Id="rId290" Type="http://schemas.openxmlformats.org/officeDocument/2006/relationships/hyperlink" Target="https://www.draftsharks.com/fantasy/points-outlook/kirk-cousins/5105" TargetMode="External"/><Relationship Id="rId60" Type="http://schemas.openxmlformats.org/officeDocument/2006/relationships/hyperlink" Target="https://www.draftsharks.com/fantasy/points-outlook/patrick-mahomes/7746" TargetMode="External"/><Relationship Id="rId165" Type="http://schemas.openxmlformats.org/officeDocument/2006/relationships/hyperlink" Target="https://www.draftsharks.com/fantasy/points-outlook/michael-mayer/13571" TargetMode="External"/><Relationship Id="rId286" Type="http://schemas.openxmlformats.org/officeDocument/2006/relationships/hyperlink" Target="https://www.draftsharks.com/fantasy/points-outlook/carson-beck/35924" TargetMode="External"/><Relationship Id="rId69" Type="http://schemas.openxmlformats.org/officeDocument/2006/relationships/hyperlink" Target="https://www.draftsharks.com/fantasy/points-outlook/kyle-pitts/10747" TargetMode="External"/><Relationship Id="rId164" Type="http://schemas.openxmlformats.org/officeDocument/2006/relationships/hyperlink" Target="https://www.draftsharks.com/fantasy/points-outlook/kayshon-boutte/13582" TargetMode="External"/><Relationship Id="rId285" Type="http://schemas.openxmlformats.org/officeDocument/2006/relationships/hyperlink" Target="https://www.draftsharks.com/fantasy/points-outlook/drew-allar/36021" TargetMode="External"/><Relationship Id="rId163" Type="http://schemas.openxmlformats.org/officeDocument/2006/relationships/hyperlink" Target="https://www.draftsharks.com/fantasy/points-outlook/dalton-schultz/10059" TargetMode="External"/><Relationship Id="rId284" Type="http://schemas.openxmlformats.org/officeDocument/2006/relationships/hyperlink" Target="https://www.draftsharks.com/fantasy/points-outlook/deshaun-watson/7744" TargetMode="External"/><Relationship Id="rId162" Type="http://schemas.openxmlformats.org/officeDocument/2006/relationships/hyperlink" Target="https://www.draftsharks.com/fantasy/points-outlook/troy-franklin/34981" TargetMode="External"/><Relationship Id="rId283" Type="http://schemas.openxmlformats.org/officeDocument/2006/relationships/hyperlink" Target="https://www.draftsharks.com/fantasy/points-outlook/roman-hemby/35941" TargetMode="External"/><Relationship Id="rId169" Type="http://schemas.openxmlformats.org/officeDocument/2006/relationships/hyperlink" Target="https://www.draftsharks.com/fantasy/points-outlook/tre-tucker/13739" TargetMode="External"/><Relationship Id="rId168" Type="http://schemas.openxmlformats.org/officeDocument/2006/relationships/hyperlink" Target="https://www.draftsharks.com/fantasy/points-outlook/matthew-stafford/2" TargetMode="External"/><Relationship Id="rId289" Type="http://schemas.openxmlformats.org/officeDocument/2006/relationships/hyperlink" Target="https://www.draftsharks.com/fantasy/points-outlook/jalen-milroe/35311" TargetMode="External"/><Relationship Id="rId167" Type="http://schemas.openxmlformats.org/officeDocument/2006/relationships/hyperlink" Target="https://www.draftsharks.com/fantasy/points-outlook/chris-brazzell-ii/35956" TargetMode="External"/><Relationship Id="rId288" Type="http://schemas.openxmlformats.org/officeDocument/2006/relationships/hyperlink" Target="https://www.draftsharks.com/fantasy/points-outlook/cade-klubnik/35923" TargetMode="External"/><Relationship Id="rId166" Type="http://schemas.openxmlformats.org/officeDocument/2006/relationships/hyperlink" Target="https://www.draftsharks.com/fantasy/points-outlook/zachariah-branch/35993" TargetMode="External"/><Relationship Id="rId287" Type="http://schemas.openxmlformats.org/officeDocument/2006/relationships/hyperlink" Target="https://www.draftsharks.com/fantasy/points-outlook/anthony-richardson/13544" TargetMode="External"/><Relationship Id="rId51" Type="http://schemas.openxmlformats.org/officeDocument/2006/relationships/hyperlink" Target="https://www.draftsharks.com/fantasy/points-outlook/tyler-warren/35359" TargetMode="External"/><Relationship Id="rId50" Type="http://schemas.openxmlformats.org/officeDocument/2006/relationships/hyperlink" Target="https://www.draftsharks.com/fantasy/points-outlook/kyren-williams/12580" TargetMode="External"/><Relationship Id="rId53" Type="http://schemas.openxmlformats.org/officeDocument/2006/relationships/hyperlink" Target="https://www.draftsharks.com/fantasy/points-outlook/lamar-jackson/9964" TargetMode="External"/><Relationship Id="rId52" Type="http://schemas.openxmlformats.org/officeDocument/2006/relationships/hyperlink" Target="https://www.draftsharks.com/fantasy/points-outlook/harold-fannin-jr-/35361" TargetMode="External"/><Relationship Id="rId55" Type="http://schemas.openxmlformats.org/officeDocument/2006/relationships/hyperlink" Target="https://www.draftsharks.com/fantasy/points-outlook/jadarian-price/35926" TargetMode="External"/><Relationship Id="rId161" Type="http://schemas.openxmlformats.org/officeDocument/2006/relationships/hyperlink" Target="https://www.draftsharks.com/fantasy/points-outlook/pat-freiermuth/10749" TargetMode="External"/><Relationship Id="rId282" Type="http://schemas.openxmlformats.org/officeDocument/2006/relationships/hyperlink" Target="https://www.draftsharks.com/fantasy/points-outlook/noah-gray/10886" TargetMode="External"/><Relationship Id="rId54" Type="http://schemas.openxmlformats.org/officeDocument/2006/relationships/hyperlink" Target="https://www.draftsharks.com/fantasy/points-outlook/rome-odunze/34980" TargetMode="External"/><Relationship Id="rId160" Type="http://schemas.openxmlformats.org/officeDocument/2006/relationships/hyperlink" Target="https://www.draftsharks.com/fantasy/points-outlook/bryce-young/13540" TargetMode="External"/><Relationship Id="rId281" Type="http://schemas.openxmlformats.org/officeDocument/2006/relationships/hyperlink" Target="https://www.draftsharks.com/fantasy/points-outlook/jmari-taylor/36002" TargetMode="External"/><Relationship Id="rId57" Type="http://schemas.openxmlformats.org/officeDocument/2006/relationships/hyperlink" Target="https://www.draftsharks.com/fantasy/points-outlook/tucker-kraft/13575" TargetMode="External"/><Relationship Id="rId280" Type="http://schemas.openxmlformats.org/officeDocument/2006/relationships/hyperlink" Target="https://www.draftsharks.com/fantasy/points-outlook/j-j-mccarthy/34985" TargetMode="External"/><Relationship Id="rId56" Type="http://schemas.openxmlformats.org/officeDocument/2006/relationships/hyperlink" Target="https://www.draftsharks.com/fantasy/points-outlook/joe-burrow/10482" TargetMode="External"/><Relationship Id="rId159" Type="http://schemas.openxmlformats.org/officeDocument/2006/relationships/hyperlink" Target="https://www.draftsharks.com/fantasy/points-outlook/chigoziem-okonkwo/12711" TargetMode="External"/><Relationship Id="rId59" Type="http://schemas.openxmlformats.org/officeDocument/2006/relationships/hyperlink" Target="https://www.draftsharks.com/fantasy/points-outlook/caleb-williams/34974" TargetMode="External"/><Relationship Id="rId154" Type="http://schemas.openxmlformats.org/officeDocument/2006/relationships/hyperlink" Target="https://www.draftsharks.com/fantasy/points-outlook/travis-kelce/6709" TargetMode="External"/><Relationship Id="rId275" Type="http://schemas.openxmlformats.org/officeDocument/2006/relationships/hyperlink" Target="https://www.draftsharks.com/fantasy/points-outlook/christian-kirk/9969" TargetMode="External"/><Relationship Id="rId58" Type="http://schemas.openxmlformats.org/officeDocument/2006/relationships/hyperlink" Target="https://www.draftsharks.com/fantasy/points-outlook/christian-watson/12607" TargetMode="External"/><Relationship Id="rId153" Type="http://schemas.openxmlformats.org/officeDocument/2006/relationships/hyperlink" Target="https://www.draftsharks.com/fantasy/points-outlook/travis-hunter/35371" TargetMode="External"/><Relationship Id="rId274" Type="http://schemas.openxmlformats.org/officeDocument/2006/relationships/hyperlink" Target="https://www.draftsharks.com/fantasy/points-outlook/cooper-kupp/7761" TargetMode="External"/><Relationship Id="rId152" Type="http://schemas.openxmlformats.org/officeDocument/2006/relationships/hyperlink" Target="https://www.draftsharks.com/fantasy/points-outlook/elijah-arroyo/35366" TargetMode="External"/><Relationship Id="rId273" Type="http://schemas.openxmlformats.org/officeDocument/2006/relationships/hyperlink" Target="https://www.draftsharks.com/fantasy/points-outlook/ben-sinnott/35012" TargetMode="External"/><Relationship Id="rId151" Type="http://schemas.openxmlformats.org/officeDocument/2006/relationships/hyperlink" Target="https://www.draftsharks.com/fantasy/points-outlook/ricky-pearsall/35023" TargetMode="External"/><Relationship Id="rId272" Type="http://schemas.openxmlformats.org/officeDocument/2006/relationships/hyperlink" Target="https://www.draftsharks.com/fantasy/points-outlook/jake-tonges/35877" TargetMode="External"/><Relationship Id="rId158" Type="http://schemas.openxmlformats.org/officeDocument/2006/relationships/hyperlink" Target="https://www.draftsharks.com/fantasy/points-outlook/ted-hurst/35963" TargetMode="External"/><Relationship Id="rId279" Type="http://schemas.openxmlformats.org/officeDocument/2006/relationships/hyperlink" Target="https://www.draftsharks.com/fantasy/points-outlook/michael-trigg/35979" TargetMode="External"/><Relationship Id="rId157" Type="http://schemas.openxmlformats.org/officeDocument/2006/relationships/hyperlink" Target="https://www.draftsharks.com/fantasy/points-outlook/gunnar-helm/35365" TargetMode="External"/><Relationship Id="rId278" Type="http://schemas.openxmlformats.org/officeDocument/2006/relationships/hyperlink" Target="https://www.draftsharks.com/fantasy/points-outlook/joe-mixon/7774" TargetMode="External"/><Relationship Id="rId156" Type="http://schemas.openxmlformats.org/officeDocument/2006/relationships/hyperlink" Target="https://www.draftsharks.com/fantasy/points-outlook/aj-barner/35009" TargetMode="External"/><Relationship Id="rId277" Type="http://schemas.openxmlformats.org/officeDocument/2006/relationships/hyperlink" Target="https://www.draftsharks.com/fantasy/points-outlook/jahan-dotson/12597" TargetMode="External"/><Relationship Id="rId155" Type="http://schemas.openxmlformats.org/officeDocument/2006/relationships/hyperlink" Target="https://www.draftsharks.com/fantasy/points-outlook/hunter-henry/7470" TargetMode="External"/><Relationship Id="rId276" Type="http://schemas.openxmlformats.org/officeDocument/2006/relationships/hyperlink" Target="https://www.draftsharks.com/fantasy/points-outlook/michael-penix-jr-/34983" TargetMode="External"/><Relationship Id="rId107" Type="http://schemas.openxmlformats.org/officeDocument/2006/relationships/hyperlink" Target="https://www.draftsharks.com/fantasy/points-outlook/chris-godwin/7783" TargetMode="External"/><Relationship Id="rId228" Type="http://schemas.openxmlformats.org/officeDocument/2006/relationships/hyperlink" Target="https://www.draftsharks.com/fantasy/points-outlook/darnell-washington/13574" TargetMode="External"/><Relationship Id="rId106" Type="http://schemas.openxmlformats.org/officeDocument/2006/relationships/hyperlink" Target="https://www.draftsharks.com/fantasy/points-outlook/jaylen-warren/13199" TargetMode="External"/><Relationship Id="rId227" Type="http://schemas.openxmlformats.org/officeDocument/2006/relationships/hyperlink" Target="https://www.draftsharks.com/fantasy/points-outlook/jalen-royals/35340" TargetMode="External"/><Relationship Id="rId105" Type="http://schemas.openxmlformats.org/officeDocument/2006/relationships/hyperlink" Target="https://www.draftsharks.com/fantasy/points-outlook/oronde-gadsden-ii/35532" TargetMode="External"/><Relationship Id="rId226" Type="http://schemas.openxmlformats.org/officeDocument/2006/relationships/hyperlink" Target="https://www.draftsharks.com/fantasy/points-outlook/dylan-sampson/35390" TargetMode="External"/><Relationship Id="rId104" Type="http://schemas.openxmlformats.org/officeDocument/2006/relationships/hyperlink" Target="https://www.draftsharks.com/fantasy/points-outlook/dalton-kincaid/13573" TargetMode="External"/><Relationship Id="rId225" Type="http://schemas.openxmlformats.org/officeDocument/2006/relationships/hyperlink" Target="https://www.draftsharks.com/fantasy/points-outlook/mason-taylor/35362" TargetMode="External"/><Relationship Id="rId109" Type="http://schemas.openxmlformats.org/officeDocument/2006/relationships/hyperlink" Target="https://www.draftsharks.com/fantasy/points-outlook/denzel-boston/35949" TargetMode="External"/><Relationship Id="rId108" Type="http://schemas.openxmlformats.org/officeDocument/2006/relationships/hyperlink" Target="https://www.draftsharks.com/fantasy/points-outlook/jordan-love/10489" TargetMode="External"/><Relationship Id="rId229" Type="http://schemas.openxmlformats.org/officeDocument/2006/relationships/hyperlink" Target="https://www.draftsharks.com/fantasy/points-outlook/malik-washington/35045" TargetMode="External"/><Relationship Id="rId220" Type="http://schemas.openxmlformats.org/officeDocument/2006/relationships/hyperlink" Target="https://www.draftsharks.com/fantasy/points-outlook/mike-gesicki/10008" TargetMode="External"/><Relationship Id="rId103" Type="http://schemas.openxmlformats.org/officeDocument/2006/relationships/hyperlink" Target="https://www.draftsharks.com/fantasy/points-outlook/rhamondre-stevenson/10763" TargetMode="External"/><Relationship Id="rId224" Type="http://schemas.openxmlformats.org/officeDocument/2006/relationships/hyperlink" Target="https://www.draftsharks.com/fantasy/points-outlook/emanuel-wilson/14231" TargetMode="External"/><Relationship Id="rId102" Type="http://schemas.openxmlformats.org/officeDocument/2006/relationships/hyperlink" Target="https://www.draftsharks.com/fantasy/points-outlook/jakobi-meyers/10364" TargetMode="External"/><Relationship Id="rId223" Type="http://schemas.openxmlformats.org/officeDocument/2006/relationships/hyperlink" Target="https://www.draftsharks.com/fantasy/points-outlook/adam-randall/35991" TargetMode="External"/><Relationship Id="rId101" Type="http://schemas.openxmlformats.org/officeDocument/2006/relationships/hyperlink" Target="https://www.draftsharks.com/fantasy/points-outlook/rj-harvey/35325" TargetMode="External"/><Relationship Id="rId222" Type="http://schemas.openxmlformats.org/officeDocument/2006/relationships/hyperlink" Target="https://www.draftsharks.com/fantasy/points-outlook/tyreek-hill/7572" TargetMode="External"/><Relationship Id="rId100" Type="http://schemas.openxmlformats.org/officeDocument/2006/relationships/hyperlink" Target="https://www.draftsharks.com/fantasy/points-outlook/jayden-reed/13557" TargetMode="External"/><Relationship Id="rId221" Type="http://schemas.openxmlformats.org/officeDocument/2006/relationships/hyperlink" Target="https://www.draftsharks.com/fantasy/points-outlook/rashod-bateman/10776" TargetMode="External"/><Relationship Id="rId217" Type="http://schemas.openxmlformats.org/officeDocument/2006/relationships/hyperlink" Target="https://www.draftsharks.com/fantasy/points-outlook/jaydon-blue/35533" TargetMode="External"/><Relationship Id="rId216" Type="http://schemas.openxmlformats.org/officeDocument/2006/relationships/hyperlink" Target="https://www.draftsharks.com/fantasy/points-outlook/colby-parkinson/10622" TargetMode="External"/><Relationship Id="rId215" Type="http://schemas.openxmlformats.org/officeDocument/2006/relationships/hyperlink" Target="https://www.draftsharks.com/fantasy/points-outlook/jaylen-wright/34988" TargetMode="External"/><Relationship Id="rId214" Type="http://schemas.openxmlformats.org/officeDocument/2006/relationships/hyperlink" Target="https://www.draftsharks.com/fantasy/points-outlook/trey-benson/34989" TargetMode="External"/><Relationship Id="rId219" Type="http://schemas.openxmlformats.org/officeDocument/2006/relationships/hyperlink" Target="https://www.draftsharks.com/fantasy/points-outlook/malachi-fields/35961" TargetMode="External"/><Relationship Id="rId218" Type="http://schemas.openxmlformats.org/officeDocument/2006/relationships/hyperlink" Target="https://www.draftsharks.com/fantasy/points-outlook/ty-simpson/35918" TargetMode="External"/><Relationship Id="rId213" Type="http://schemas.openxmlformats.org/officeDocument/2006/relationships/hyperlink" Target="https://www.draftsharks.com/fantasy/points-outlook/kaelon-black/36026" TargetMode="External"/><Relationship Id="rId212" Type="http://schemas.openxmlformats.org/officeDocument/2006/relationships/hyperlink" Target="https://www.draftsharks.com/fantasy/points-outlook/evan-engram/7769" TargetMode="External"/><Relationship Id="rId211" Type="http://schemas.openxmlformats.org/officeDocument/2006/relationships/hyperlink" Target="https://www.draftsharks.com/fantasy/points-outlook/isaiah-davis/35005" TargetMode="External"/><Relationship Id="rId210" Type="http://schemas.openxmlformats.org/officeDocument/2006/relationships/hyperlink" Target="https://www.draftsharks.com/fantasy/points-outlook/oscar-delp/35977" TargetMode="External"/><Relationship Id="rId129" Type="http://schemas.openxmlformats.org/officeDocument/2006/relationships/hyperlink" Target="https://www.draftsharks.com/fantasy/points-outlook/tyler-shough/35510" TargetMode="External"/><Relationship Id="rId128" Type="http://schemas.openxmlformats.org/officeDocument/2006/relationships/hyperlink" Target="https://www.draftsharks.com/fantasy/points-outlook/jacory-croskey-merritt/35720" TargetMode="External"/><Relationship Id="rId249" Type="http://schemas.openxmlformats.org/officeDocument/2006/relationships/hyperlink" Target="https://www.draftsharks.com/fantasy/points-outlook/xavier-legette/35020" TargetMode="External"/><Relationship Id="rId127" Type="http://schemas.openxmlformats.org/officeDocument/2006/relationships/hyperlink" Target="https://www.draftsharks.com/fantasy/points-outlook/jared-goff/7449" TargetMode="External"/><Relationship Id="rId248" Type="http://schemas.openxmlformats.org/officeDocument/2006/relationships/hyperlink" Target="https://www.draftsharks.com/fantasy/points-outlook/marquise-brown/10204" TargetMode="External"/><Relationship Id="rId126" Type="http://schemas.openxmlformats.org/officeDocument/2006/relationships/hyperlink" Target="https://www.draftsharks.com/fantasy/points-outlook/kyler-murray/10217" TargetMode="External"/><Relationship Id="rId247" Type="http://schemas.openxmlformats.org/officeDocument/2006/relationships/hyperlink" Target="https://www.draftsharks.com/fantasy/points-outlook/jatavion-sanders/35007" TargetMode="External"/><Relationship Id="rId121" Type="http://schemas.openxmlformats.org/officeDocument/2006/relationships/hyperlink" Target="https://www.draftsharks.com/fantasy/points-outlook/george-kittle/9540" TargetMode="External"/><Relationship Id="rId242" Type="http://schemas.openxmlformats.org/officeDocument/2006/relationships/hyperlink" Target="https://www.draftsharks.com/fantasy/points-outlook/nathaniel-dell/13552" TargetMode="External"/><Relationship Id="rId120" Type="http://schemas.openxmlformats.org/officeDocument/2006/relationships/hyperlink" Target="https://www.draftsharks.com/fantasy/points-outlook/zach-charbonnet/13564" TargetMode="External"/><Relationship Id="rId241" Type="http://schemas.openxmlformats.org/officeDocument/2006/relationships/hyperlink" Target="https://www.draftsharks.com/fantasy/points-outlook/isaiah-bond/35337" TargetMode="External"/><Relationship Id="rId240" Type="http://schemas.openxmlformats.org/officeDocument/2006/relationships/hyperlink" Target="https://www.draftsharks.com/fantasy/points-outlook/chimere-dike/35563" TargetMode="External"/><Relationship Id="rId125" Type="http://schemas.openxmlformats.org/officeDocument/2006/relationships/hyperlink" Target="https://www.draftsharks.com/fantasy/points-outlook/j-k-dobbins/10478" TargetMode="External"/><Relationship Id="rId246" Type="http://schemas.openxmlformats.org/officeDocument/2006/relationships/hyperlink" Target="https://www.draftsharks.com/fantasy/points-outlook/sean-tucker/13568" TargetMode="External"/><Relationship Id="rId124" Type="http://schemas.openxmlformats.org/officeDocument/2006/relationships/hyperlink" Target="https://www.draftsharks.com/fantasy/points-outlook/baker-mayfield/9960" TargetMode="External"/><Relationship Id="rId245" Type="http://schemas.openxmlformats.org/officeDocument/2006/relationships/hyperlink" Target="https://www.draftsharks.com/fantasy/points-outlook/darnell-mooney/10628" TargetMode="External"/><Relationship Id="rId123" Type="http://schemas.openxmlformats.org/officeDocument/2006/relationships/hyperlink" Target="https://www.draftsharks.com/fantasy/points-outlook/josh-downs/13548" TargetMode="External"/><Relationship Id="rId244" Type="http://schemas.openxmlformats.org/officeDocument/2006/relationships/hyperlink" Target="https://www.draftsharks.com/fantasy/points-outlook/pat-bryant/35355" TargetMode="External"/><Relationship Id="rId122" Type="http://schemas.openxmlformats.org/officeDocument/2006/relationships/hyperlink" Target="https://www.draftsharks.com/fantasy/points-outlook/dezhaun-stribling/36057" TargetMode="External"/><Relationship Id="rId243" Type="http://schemas.openxmlformats.org/officeDocument/2006/relationships/hyperlink" Target="https://www.draftsharks.com/fantasy/points-outlook/cedric-tillman/13555" TargetMode="External"/><Relationship Id="rId95" Type="http://schemas.openxmlformats.org/officeDocument/2006/relationships/hyperlink" Target="https://www.draftsharks.com/fantasy/points-outlook/david-montgomery/10194" TargetMode="External"/><Relationship Id="rId94" Type="http://schemas.openxmlformats.org/officeDocument/2006/relationships/hyperlink" Target="https://www.draftsharks.com/fantasy/points-outlook/khalil-shakir/12603" TargetMode="External"/><Relationship Id="rId97" Type="http://schemas.openxmlformats.org/officeDocument/2006/relationships/hyperlink" Target="https://www.draftsharks.com/fantasy/points-outlook/romeo-doubs/12606" TargetMode="External"/><Relationship Id="rId96" Type="http://schemas.openxmlformats.org/officeDocument/2006/relationships/hyperlink" Target="https://www.draftsharks.com/fantasy/points-outlook/dak-prescott/7453" TargetMode="External"/><Relationship Id="rId99" Type="http://schemas.openxmlformats.org/officeDocument/2006/relationships/hyperlink" Target="https://www.draftsharks.com/fantasy/points-outlook/wandale-robinson/12600" TargetMode="External"/><Relationship Id="rId98" Type="http://schemas.openxmlformats.org/officeDocument/2006/relationships/hyperlink" Target="https://www.draftsharks.com/fantasy/points-outlook/quentin-johnston/13545" TargetMode="External"/><Relationship Id="rId91" Type="http://schemas.openxmlformats.org/officeDocument/2006/relationships/hyperlink" Target="https://www.draftsharks.com/fantasy/points-outlook/bhayshul-tuten/35322" TargetMode="External"/><Relationship Id="rId90" Type="http://schemas.openxmlformats.org/officeDocument/2006/relationships/hyperlink" Target="https://www.draftsharks.com/fantasy/points-outlook/bo-nix/34984" TargetMode="External"/><Relationship Id="rId93" Type="http://schemas.openxmlformats.org/officeDocument/2006/relationships/hyperlink" Target="https://www.draftsharks.com/fantasy/points-outlook/dandre-swift/10476" TargetMode="External"/><Relationship Id="rId92" Type="http://schemas.openxmlformats.org/officeDocument/2006/relationships/hyperlink" Target="https://www.draftsharks.com/fantasy/points-outlook/omar-cooper-jr-/35970" TargetMode="External"/><Relationship Id="rId118" Type="http://schemas.openxmlformats.org/officeDocument/2006/relationships/hyperlink" Target="https://www.draftsharks.com/fantasy/points-outlook/c-j-stroud/13539" TargetMode="External"/><Relationship Id="rId239" Type="http://schemas.openxmlformats.org/officeDocument/2006/relationships/hyperlink" Target="https://www.draftsharks.com/fantasy/points-outlook/kimani-vidal/34998" TargetMode="External"/><Relationship Id="rId117" Type="http://schemas.openxmlformats.org/officeDocument/2006/relationships/hyperlink" Target="https://www.draftsharks.com/fantasy/points-outlook/rashid-shaheed/13347" TargetMode="External"/><Relationship Id="rId238" Type="http://schemas.openxmlformats.org/officeDocument/2006/relationships/hyperlink" Target="https://www.draftsharks.com/fantasy/points-outlook/demond-claiborne/35933" TargetMode="External"/><Relationship Id="rId116" Type="http://schemas.openxmlformats.org/officeDocument/2006/relationships/hyperlink" Target="https://www.draftsharks.com/fantasy/points-outlook/fernando-mendoza/35915" TargetMode="External"/><Relationship Id="rId237" Type="http://schemas.openxmlformats.org/officeDocument/2006/relationships/hyperlink" Target="https://www.draftsharks.com/fantasy/points-outlook/kaleb-johnson/35319" TargetMode="External"/><Relationship Id="rId115" Type="http://schemas.openxmlformats.org/officeDocument/2006/relationships/hyperlink" Target="https://www.draftsharks.com/fantasy/points-outlook/kyle-monangai/35326" TargetMode="External"/><Relationship Id="rId236" Type="http://schemas.openxmlformats.org/officeDocument/2006/relationships/hyperlink" Target="https://www.draftsharks.com/fantasy/points-outlook/kevin-coleman-jr-/36008" TargetMode="External"/><Relationship Id="rId119" Type="http://schemas.openxmlformats.org/officeDocument/2006/relationships/hyperlink" Target="https://www.draftsharks.com/fantasy/points-outlook/blake-corum/34990" TargetMode="External"/><Relationship Id="rId110" Type="http://schemas.openxmlformats.org/officeDocument/2006/relationships/hyperlink" Target="https://www.draftsharks.com/fantasy/points-outlook/eli-stowers/35974" TargetMode="External"/><Relationship Id="rId231" Type="http://schemas.openxmlformats.org/officeDocument/2006/relationships/hyperlink" Target="https://www.draftsharks.com/fantasy/points-outlook/ryan-flournoy/35132" TargetMode="External"/><Relationship Id="rId230" Type="http://schemas.openxmlformats.org/officeDocument/2006/relationships/hyperlink" Target="https://www.draftsharks.com/fantasy/points-outlook/demario-douglas/13766" TargetMode="External"/><Relationship Id="rId114" Type="http://schemas.openxmlformats.org/officeDocument/2006/relationships/hyperlink" Target="https://www.draftsharks.com/fantasy/points-outlook/tony-pollard/10305" TargetMode="External"/><Relationship Id="rId235" Type="http://schemas.openxmlformats.org/officeDocument/2006/relationships/hyperlink" Target="https://www.draftsharks.com/fantasy/points-outlook/kyle-williams/35557" TargetMode="External"/><Relationship Id="rId113" Type="http://schemas.openxmlformats.org/officeDocument/2006/relationships/hyperlink" Target="https://www.draftsharks.com/fantasy/points-outlook/jordan-mason/13153" TargetMode="External"/><Relationship Id="rId234" Type="http://schemas.openxmlformats.org/officeDocument/2006/relationships/hyperlink" Target="https://www.draftsharks.com/fantasy/points-outlook/devin-neal/35392" TargetMode="External"/><Relationship Id="rId112" Type="http://schemas.openxmlformats.org/officeDocument/2006/relationships/hyperlink" Target="https://www.draftsharks.com/fantasy/points-outlook/jake-ferguson/12708" TargetMode="External"/><Relationship Id="rId233" Type="http://schemas.openxmlformats.org/officeDocument/2006/relationships/hyperlink" Target="https://www.draftsharks.com/fantasy/points-outlook/jordan-james/35329" TargetMode="External"/><Relationship Id="rId111" Type="http://schemas.openxmlformats.org/officeDocument/2006/relationships/hyperlink" Target="https://www.draftsharks.com/fantasy/points-outlook/chuba-hubbard/10766" TargetMode="External"/><Relationship Id="rId232" Type="http://schemas.openxmlformats.org/officeDocument/2006/relationships/hyperlink" Target="https://www.draftsharks.com/fantasy/points-outlook/lequint-allen/35514" TargetMode="External"/><Relationship Id="rId300" Type="http://schemas.openxmlformats.org/officeDocument/2006/relationships/drawing" Target="../drawings/drawing6.xml"/><Relationship Id="rId206" Type="http://schemas.openxmlformats.org/officeDocument/2006/relationships/hyperlink" Target="https://www.draftsharks.com/fantasy/points-outlook/max-klare/35975" TargetMode="External"/><Relationship Id="rId205" Type="http://schemas.openxmlformats.org/officeDocument/2006/relationships/hyperlink" Target="https://www.draftsharks.com/fantasy/points-outlook/marvin-mims-jr-/13554" TargetMode="External"/><Relationship Id="rId204" Type="http://schemas.openxmlformats.org/officeDocument/2006/relationships/hyperlink" Target="https://www.draftsharks.com/fantasy/points-outlook/deebo-samuel/10205" TargetMode="External"/><Relationship Id="rId203" Type="http://schemas.openxmlformats.org/officeDocument/2006/relationships/hyperlink" Target="https://www.draftsharks.com/fantasy/points-outlook/emmett-johnson/35932" TargetMode="External"/><Relationship Id="rId209" Type="http://schemas.openxmlformats.org/officeDocument/2006/relationships/hyperlink" Target="https://www.draftsharks.com/fantasy/points-outlook/ollie-gordon-ii/35321" TargetMode="External"/><Relationship Id="rId208" Type="http://schemas.openxmlformats.org/officeDocument/2006/relationships/hyperlink" Target="https://www.draftsharks.com/fantasy/points-outlook/jalen-nailor/12720" TargetMode="External"/><Relationship Id="rId207" Type="http://schemas.openxmlformats.org/officeDocument/2006/relationships/hyperlink" Target="https://www.draftsharks.com/fantasy/points-outlook/isiah-pacheco/12735" TargetMode="External"/><Relationship Id="rId202" Type="http://schemas.openxmlformats.org/officeDocument/2006/relationships/hyperlink" Target="https://www.draftsharks.com/fantasy/points-outlook/keaton-mitchell/13674" TargetMode="External"/><Relationship Id="rId201" Type="http://schemas.openxmlformats.org/officeDocument/2006/relationships/hyperlink" Target="https://www.draftsharks.com/fantasy/points-outlook/daniel-jones/10225" TargetMode="External"/><Relationship Id="rId200" Type="http://schemas.openxmlformats.org/officeDocument/2006/relationships/hyperlink" Target="https://www.draftsharks.com/fantasy/points-outlook/kaytron-allen/35930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ftsharks.com/fantasy/points-outlook/jayden-daniels/34982" TargetMode="External"/><Relationship Id="rId190" Type="http://schemas.openxmlformats.org/officeDocument/2006/relationships/hyperlink" Target="https://www.draftsharks.com/fantasy/points-outlook/chris-brazzell-ii/35956" TargetMode="External"/><Relationship Id="rId42" Type="http://schemas.openxmlformats.org/officeDocument/2006/relationships/hyperlink" Target="https://www.draftsharks.com/fantasy/points-outlook/makai-lemon/35948" TargetMode="External"/><Relationship Id="rId41" Type="http://schemas.openxmlformats.org/officeDocument/2006/relationships/hyperlink" Target="https://www.draftsharks.com/fantasy/points-outlook/chase-brown/13586" TargetMode="External"/><Relationship Id="rId44" Type="http://schemas.openxmlformats.org/officeDocument/2006/relationships/hyperlink" Target="https://www.draftsharks.com/fantasy/points-outlook/a-j-brown/10198" TargetMode="External"/><Relationship Id="rId194" Type="http://schemas.openxmlformats.org/officeDocument/2006/relationships/hyperlink" Target="https://www.draftsharks.com/fantasy/points-outlook/david-njoku/7770" TargetMode="External"/><Relationship Id="rId43" Type="http://schemas.openxmlformats.org/officeDocument/2006/relationships/hyperlink" Target="https://www.draftsharks.com/fantasy/points-outlook/josh-jacobs/10195" TargetMode="External"/><Relationship Id="rId193" Type="http://schemas.openxmlformats.org/officeDocument/2006/relationships/hyperlink" Target="https://www.draftsharks.com/fantasy/points-outlook/dontayvion-wicks/13562" TargetMode="External"/><Relationship Id="rId46" Type="http://schemas.openxmlformats.org/officeDocument/2006/relationships/hyperlink" Target="https://www.draftsharks.com/fantasy/points-outlook/luther-burden-iii/35334" TargetMode="External"/><Relationship Id="rId192" Type="http://schemas.openxmlformats.org/officeDocument/2006/relationships/hyperlink" Target="https://www.draftsharks.com/fantasy/points-outlook/t-j-hockenson/10223" TargetMode="External"/><Relationship Id="rId45" Type="http://schemas.openxmlformats.org/officeDocument/2006/relationships/hyperlink" Target="https://www.draftsharks.com/fantasy/points-outlook/devonta-smith/10773" TargetMode="External"/><Relationship Id="rId191" Type="http://schemas.openxmlformats.org/officeDocument/2006/relationships/hyperlink" Target="https://www.draftsharks.com/fantasy/points-outlook/jauan-jennings/12430" TargetMode="External"/><Relationship Id="rId48" Type="http://schemas.openxmlformats.org/officeDocument/2006/relationships/hyperlink" Target="https://www.draftsharks.com/fantasy/points-outlook/bucky-irving/34991" TargetMode="External"/><Relationship Id="rId187" Type="http://schemas.openxmlformats.org/officeDocument/2006/relationships/hyperlink" Target="https://www.draftsharks.com/fantasy/points-outlook/mike-washington-jr-/35935" TargetMode="External"/><Relationship Id="rId47" Type="http://schemas.openxmlformats.org/officeDocument/2006/relationships/hyperlink" Target="https://www.draftsharks.com/fantasy/points-outlook/jaylen-waddle/10772" TargetMode="External"/><Relationship Id="rId186" Type="http://schemas.openxmlformats.org/officeDocument/2006/relationships/hyperlink" Target="https://www.draftsharks.com/fantasy/points-outlook/ty-simpson/35918" TargetMode="External"/><Relationship Id="rId185" Type="http://schemas.openxmlformats.org/officeDocument/2006/relationships/hyperlink" Target="https://www.draftsharks.com/fantasy/points-outlook/keaton-mitchell/13674" TargetMode="External"/><Relationship Id="rId49" Type="http://schemas.openxmlformats.org/officeDocument/2006/relationships/hyperlink" Target="https://www.draftsharks.com/fantasy/points-outlook/jameson-williams/12595" TargetMode="External"/><Relationship Id="rId184" Type="http://schemas.openxmlformats.org/officeDocument/2006/relationships/hyperlink" Target="https://www.draftsharks.com/fantasy/points-outlook/michael-mayer/13571" TargetMode="External"/><Relationship Id="rId189" Type="http://schemas.openxmlformats.org/officeDocument/2006/relationships/hyperlink" Target="https://www.draftsharks.com/fantasy/points-outlook/emmett-johnson/35932" TargetMode="External"/><Relationship Id="rId188" Type="http://schemas.openxmlformats.org/officeDocument/2006/relationships/hyperlink" Target="https://www.draftsharks.com/fantasy/points-outlook/jaydon-blue/35533" TargetMode="External"/><Relationship Id="rId31" Type="http://schemas.openxmlformats.org/officeDocument/2006/relationships/hyperlink" Target="https://www.draftsharks.com/fantasy/points-outlook/garrett-wilson/12592" TargetMode="External"/><Relationship Id="rId30" Type="http://schemas.openxmlformats.org/officeDocument/2006/relationships/hyperlink" Target="https://www.draftsharks.com/fantasy/points-outlook/zay-flowers/13550" TargetMode="External"/><Relationship Id="rId33" Type="http://schemas.openxmlformats.org/officeDocument/2006/relationships/hyperlink" Target="https://www.draftsharks.com/fantasy/points-outlook/saquon-barkley/9994" TargetMode="External"/><Relationship Id="rId183" Type="http://schemas.openxmlformats.org/officeDocument/2006/relationships/hyperlink" Target="https://www.draftsharks.com/fantasy/points-outlook/tre-tucker/13739" TargetMode="External"/><Relationship Id="rId32" Type="http://schemas.openxmlformats.org/officeDocument/2006/relationships/hyperlink" Target="https://www.draftsharks.com/fantasy/points-outlook/drake-maye/15318" TargetMode="External"/><Relationship Id="rId182" Type="http://schemas.openxmlformats.org/officeDocument/2006/relationships/hyperlink" Target="https://www.draftsharks.com/fantasy/points-outlook/brian-robinson-jr-/12581" TargetMode="External"/><Relationship Id="rId35" Type="http://schemas.openxmlformats.org/officeDocument/2006/relationships/hyperlink" Target="https://www.draftsharks.com/fantasy/points-outlook/rashee-rice/13553" TargetMode="External"/><Relationship Id="rId181" Type="http://schemas.openxmlformats.org/officeDocument/2006/relationships/hyperlink" Target="https://www.draftsharks.com/fantasy/points-outlook/cade-otton/12705" TargetMode="External"/><Relationship Id="rId34" Type="http://schemas.openxmlformats.org/officeDocument/2006/relationships/hyperlink" Target="https://www.draftsharks.com/fantasy/points-outlook/ladd-mcconkey/35015" TargetMode="External"/><Relationship Id="rId180" Type="http://schemas.openxmlformats.org/officeDocument/2006/relationships/hyperlink" Target="https://www.draftsharks.com/fantasy/points-outlook/stefon-diggs/7280" TargetMode="External"/><Relationship Id="rId37" Type="http://schemas.openxmlformats.org/officeDocument/2006/relationships/hyperlink" Target="https://www.draftsharks.com/fantasy/points-outlook/tee-higgins/10607" TargetMode="External"/><Relationship Id="rId176" Type="http://schemas.openxmlformats.org/officeDocument/2006/relationships/hyperlink" Target="https://www.draftsharks.com/fantasy/points-outlook/tyler-allgeier/12582" TargetMode="External"/><Relationship Id="rId297" Type="http://schemas.openxmlformats.org/officeDocument/2006/relationships/hyperlink" Target="https://www.draftsharks.com/fantasy/points-outlook/quinn-ewers/35314" TargetMode="External"/><Relationship Id="rId36" Type="http://schemas.openxmlformats.org/officeDocument/2006/relationships/hyperlink" Target="https://www.draftsharks.com/fantasy/points-outlook/quinshon-judkins/35320" TargetMode="External"/><Relationship Id="rId175" Type="http://schemas.openxmlformats.org/officeDocument/2006/relationships/hyperlink" Target="https://www.draftsharks.com/fantasy/points-outlook/elic-ayomanor/35338" TargetMode="External"/><Relationship Id="rId296" Type="http://schemas.openxmlformats.org/officeDocument/2006/relationships/hyperlink" Target="https://www.draftsharks.com/fantasy/points-outlook/riley-leonard/35316" TargetMode="External"/><Relationship Id="rId39" Type="http://schemas.openxmlformats.org/officeDocument/2006/relationships/hyperlink" Target="https://www.draftsharks.com/fantasy/points-outlook/jordyn-tyson/35947" TargetMode="External"/><Relationship Id="rId174" Type="http://schemas.openxmlformats.org/officeDocument/2006/relationships/hyperlink" Target="https://www.draftsharks.com/fantasy/points-outlook/jerry-jeudy/10598" TargetMode="External"/><Relationship Id="rId295" Type="http://schemas.openxmlformats.org/officeDocument/2006/relationships/hyperlink" Target="https://www.draftsharks.com/fantasy/points-outlook/marcus-mariota/7204" TargetMode="External"/><Relationship Id="rId38" Type="http://schemas.openxmlformats.org/officeDocument/2006/relationships/hyperlink" Target="https://www.draftsharks.com/fantasy/points-outlook/carnell-tate/35950" TargetMode="External"/><Relationship Id="rId173" Type="http://schemas.openxmlformats.org/officeDocument/2006/relationships/hyperlink" Target="https://www.draftsharks.com/fantasy/points-outlook/chris-bell/35952" TargetMode="External"/><Relationship Id="rId294" Type="http://schemas.openxmlformats.org/officeDocument/2006/relationships/hyperlink" Target="https://www.draftsharks.com/fantasy/points-outlook/garrett-nussmeier/35921" TargetMode="External"/><Relationship Id="rId179" Type="http://schemas.openxmlformats.org/officeDocument/2006/relationships/hyperlink" Target="https://www.draftsharks.com/fantasy/points-outlook/skyler-bell/35965" TargetMode="External"/><Relationship Id="rId178" Type="http://schemas.openxmlformats.org/officeDocument/2006/relationships/hyperlink" Target="https://www.draftsharks.com/fantasy/points-outlook/zachariah-branch/35993" TargetMode="External"/><Relationship Id="rId299" Type="http://schemas.openxmlformats.org/officeDocument/2006/relationships/drawing" Target="../drawings/drawing7.xml"/><Relationship Id="rId177" Type="http://schemas.openxmlformats.org/officeDocument/2006/relationships/hyperlink" Target="https://www.draftsharks.com/fantasy/points-outlook/jack-bech/35352" TargetMode="External"/><Relationship Id="rId298" Type="http://schemas.openxmlformats.org/officeDocument/2006/relationships/hyperlink" Target="https://www.draftsharks.com/fantasy/points-outlook/will-howard/35527" TargetMode="External"/><Relationship Id="rId20" Type="http://schemas.openxmlformats.org/officeDocument/2006/relationships/hyperlink" Target="https://www.draftsharks.com/fantasy/points-outlook/james-cook/12585" TargetMode="External"/><Relationship Id="rId22" Type="http://schemas.openxmlformats.org/officeDocument/2006/relationships/hyperlink" Target="https://www.draftsharks.com/fantasy/points-outlook/emeka-egbuka/35335" TargetMode="External"/><Relationship Id="rId21" Type="http://schemas.openxmlformats.org/officeDocument/2006/relationships/hyperlink" Target="https://www.draftsharks.com/fantasy/points-outlook/george-pickens/12599" TargetMode="External"/><Relationship Id="rId24" Type="http://schemas.openxmlformats.org/officeDocument/2006/relationships/hyperlink" Target="https://www.draftsharks.com/fantasy/points-outlook/kenneth-walker-iii/12579" TargetMode="External"/><Relationship Id="rId23" Type="http://schemas.openxmlformats.org/officeDocument/2006/relationships/hyperlink" Target="https://www.draftsharks.com/fantasy/points-outlook/treveyon-henderson/35323" TargetMode="External"/><Relationship Id="rId26" Type="http://schemas.openxmlformats.org/officeDocument/2006/relationships/hyperlink" Target="https://www.draftsharks.com/fantasy/points-outlook/josh-allen/9962" TargetMode="External"/><Relationship Id="rId25" Type="http://schemas.openxmlformats.org/officeDocument/2006/relationships/hyperlink" Target="https://www.draftsharks.com/fantasy/points-outlook/breece-hall/12577" TargetMode="External"/><Relationship Id="rId28" Type="http://schemas.openxmlformats.org/officeDocument/2006/relationships/hyperlink" Target="https://www.draftsharks.com/fantasy/points-outlook/chris-olave/12596" TargetMode="External"/><Relationship Id="rId27" Type="http://schemas.openxmlformats.org/officeDocument/2006/relationships/hyperlink" Target="https://www.draftsharks.com/fantasy/points-outlook/christian-mccaffrey/7750" TargetMode="External"/><Relationship Id="rId29" Type="http://schemas.openxmlformats.org/officeDocument/2006/relationships/hyperlink" Target="https://www.draftsharks.com/fantasy/points-outlook/colston-loveland/35360" TargetMode="External"/><Relationship Id="rId11" Type="http://schemas.openxmlformats.org/officeDocument/2006/relationships/hyperlink" Target="https://www.draftsharks.com/fantasy/points-outlook/ashton-jeanty/35317" TargetMode="External"/><Relationship Id="rId10" Type="http://schemas.openxmlformats.org/officeDocument/2006/relationships/hyperlink" Target="https://www.draftsharks.com/fantasy/points-outlook/malik-nabers/34977" TargetMode="External"/><Relationship Id="rId13" Type="http://schemas.openxmlformats.org/officeDocument/2006/relationships/hyperlink" Target="https://www.draftsharks.com/fantasy/points-outlook/jonathan-taylor/10500" TargetMode="External"/><Relationship Id="rId12" Type="http://schemas.openxmlformats.org/officeDocument/2006/relationships/hyperlink" Target="https://www.draftsharks.com/fantasy/points-outlook/devon-achane/13563" TargetMode="External"/><Relationship Id="rId15" Type="http://schemas.openxmlformats.org/officeDocument/2006/relationships/hyperlink" Target="https://www.draftsharks.com/fantasy/points-outlook/omarion-hampton/35318" TargetMode="External"/><Relationship Id="rId198" Type="http://schemas.openxmlformats.org/officeDocument/2006/relationships/hyperlink" Target="https://www.draftsharks.com/fantasy/points-outlook/isaiah-davis/35005" TargetMode="External"/><Relationship Id="rId14" Type="http://schemas.openxmlformats.org/officeDocument/2006/relationships/hyperlink" Target="https://www.draftsharks.com/fantasy/points-outlook/drake-london/12594" TargetMode="External"/><Relationship Id="rId197" Type="http://schemas.openxmlformats.org/officeDocument/2006/relationships/hyperlink" Target="https://www.draftsharks.com/fantasy/points-outlook/tank-bigsby/13565" TargetMode="External"/><Relationship Id="rId17" Type="http://schemas.openxmlformats.org/officeDocument/2006/relationships/hyperlink" Target="https://www.draftsharks.com/fantasy/points-outlook/brock-bowers/35006" TargetMode="External"/><Relationship Id="rId196" Type="http://schemas.openxmlformats.org/officeDocument/2006/relationships/hyperlink" Target="https://www.draftsharks.com/fantasy/points-outlook/isiah-pacheco/12735" TargetMode="External"/><Relationship Id="rId16" Type="http://schemas.openxmlformats.org/officeDocument/2006/relationships/hyperlink" Target="https://www.draftsharks.com/fantasy/points-outlook/nico-collins/10796" TargetMode="External"/><Relationship Id="rId195" Type="http://schemas.openxmlformats.org/officeDocument/2006/relationships/hyperlink" Target="https://www.draftsharks.com/fantasy/points-outlook/kaytron-allen/35930" TargetMode="External"/><Relationship Id="rId19" Type="http://schemas.openxmlformats.org/officeDocument/2006/relationships/hyperlink" Target="https://www.draftsharks.com/fantasy/points-outlook/tetairoa-mcmillan/35333" TargetMode="External"/><Relationship Id="rId18" Type="http://schemas.openxmlformats.org/officeDocument/2006/relationships/hyperlink" Target="https://www.draftsharks.com/fantasy/points-outlook/trey-mcbride/12587" TargetMode="External"/><Relationship Id="rId199" Type="http://schemas.openxmlformats.org/officeDocument/2006/relationships/hyperlink" Target="https://www.draftsharks.com/fantasy/points-outlook/dylan-sampson/35390" TargetMode="External"/><Relationship Id="rId84" Type="http://schemas.openxmlformats.org/officeDocument/2006/relationships/hyperlink" Target="https://www.draftsharks.com/fantasy/points-outlook/jayden-higgins/35345" TargetMode="External"/><Relationship Id="rId83" Type="http://schemas.openxmlformats.org/officeDocument/2006/relationships/hyperlink" Target="https://www.draftsharks.com/fantasy/points-outlook/xavier-worthy/35021" TargetMode="External"/><Relationship Id="rId86" Type="http://schemas.openxmlformats.org/officeDocument/2006/relationships/hyperlink" Target="https://www.draftsharks.com/fantasy/points-outlook/bo-nix/34984" TargetMode="External"/><Relationship Id="rId85" Type="http://schemas.openxmlformats.org/officeDocument/2006/relationships/hyperlink" Target="https://www.draftsharks.com/fantasy/points-outlook/mike-evans/6938" TargetMode="External"/><Relationship Id="rId88" Type="http://schemas.openxmlformats.org/officeDocument/2006/relationships/hyperlink" Target="https://www.draftsharks.com/fantasy/points-outlook/courtland-sutton/9968" TargetMode="External"/><Relationship Id="rId150" Type="http://schemas.openxmlformats.org/officeDocument/2006/relationships/hyperlink" Target="https://www.draftsharks.com/fantasy/points-outlook/terrance-ferguson/35364" TargetMode="External"/><Relationship Id="rId271" Type="http://schemas.openxmlformats.org/officeDocument/2006/relationships/hyperlink" Target="https://www.draftsharks.com/fantasy/points-outlook/calvin-ridley/9966" TargetMode="External"/><Relationship Id="rId87" Type="http://schemas.openxmlformats.org/officeDocument/2006/relationships/hyperlink" Target="https://www.draftsharks.com/fantasy/points-outlook/kenyon-sadiq/35973" TargetMode="External"/><Relationship Id="rId270" Type="http://schemas.openxmlformats.org/officeDocument/2006/relationships/hyperlink" Target="https://www.draftsharks.com/fantasy/points-outlook/devaughn-vele/35134" TargetMode="External"/><Relationship Id="rId89" Type="http://schemas.openxmlformats.org/officeDocument/2006/relationships/hyperlink" Target="https://www.draftsharks.com/fantasy/points-outlook/sam-laporta/13576" TargetMode="External"/><Relationship Id="rId80" Type="http://schemas.openxmlformats.org/officeDocument/2006/relationships/hyperlink" Target="https://www.draftsharks.com/fantasy/points-outlook/davante-adams/6973" TargetMode="External"/><Relationship Id="rId82" Type="http://schemas.openxmlformats.org/officeDocument/2006/relationships/hyperlink" Target="https://www.draftsharks.com/fantasy/points-outlook/michael-pittman-jr-/10584" TargetMode="External"/><Relationship Id="rId81" Type="http://schemas.openxmlformats.org/officeDocument/2006/relationships/hyperlink" Target="https://www.draftsharks.com/fantasy/points-outlook/alec-pierce/12605" TargetMode="External"/><Relationship Id="rId1" Type="http://schemas.openxmlformats.org/officeDocument/2006/relationships/hyperlink" Target="https://www.draftsharks.com/fantasy/points-outlook/jamarr-chase/10771" TargetMode="External"/><Relationship Id="rId2" Type="http://schemas.openxmlformats.org/officeDocument/2006/relationships/hyperlink" Target="https://www.draftsharks.com/fantasy/points-outlook/bijan-robinson/13541" TargetMode="External"/><Relationship Id="rId3" Type="http://schemas.openxmlformats.org/officeDocument/2006/relationships/hyperlink" Target="https://www.draftsharks.com/fantasy/points-outlook/jaxon-smith-njigba/13547" TargetMode="External"/><Relationship Id="rId149" Type="http://schemas.openxmlformats.org/officeDocument/2006/relationships/hyperlink" Target="https://www.draftsharks.com/fantasy/points-outlook/juwan-johnson/12426" TargetMode="External"/><Relationship Id="rId4" Type="http://schemas.openxmlformats.org/officeDocument/2006/relationships/hyperlink" Target="https://www.draftsharks.com/fantasy/points-outlook/jahmyr-gibbs/13542" TargetMode="External"/><Relationship Id="rId148" Type="http://schemas.openxmlformats.org/officeDocument/2006/relationships/hyperlink" Target="https://www.draftsharks.com/fantasy/points-outlook/mark-andrews/10009" TargetMode="External"/><Relationship Id="rId269" Type="http://schemas.openxmlformats.org/officeDocument/2006/relationships/hyperlink" Target="https://www.draftsharks.com/fantasy/points-outlook/tez-johnson/35342" TargetMode="External"/><Relationship Id="rId9" Type="http://schemas.openxmlformats.org/officeDocument/2006/relationships/hyperlink" Target="https://www.draftsharks.com/fantasy/points-outlook/justin-jefferson/10586" TargetMode="External"/><Relationship Id="rId143" Type="http://schemas.openxmlformats.org/officeDocument/2006/relationships/hyperlink" Target="https://www.draftsharks.com/fantasy/points-outlook/jalen-mcmillan/35026" TargetMode="External"/><Relationship Id="rId264" Type="http://schemas.openxmlformats.org/officeDocument/2006/relationships/hyperlink" Target="https://www.draftsharks.com/fantasy/points-outlook/marquise-brown/10204" TargetMode="External"/><Relationship Id="rId142" Type="http://schemas.openxmlformats.org/officeDocument/2006/relationships/hyperlink" Target="https://www.draftsharks.com/fantasy/points-outlook/isaiah-likely/12589" TargetMode="External"/><Relationship Id="rId263" Type="http://schemas.openxmlformats.org/officeDocument/2006/relationships/hyperlink" Target="https://www.draftsharks.com/fantasy/points-outlook/jatavion-sanders/35007" TargetMode="External"/><Relationship Id="rId141" Type="http://schemas.openxmlformats.org/officeDocument/2006/relationships/hyperlink" Target="https://www.draftsharks.com/fantasy/points-outlook/tre-harris/35339" TargetMode="External"/><Relationship Id="rId262" Type="http://schemas.openxmlformats.org/officeDocument/2006/relationships/hyperlink" Target="https://www.draftsharks.com/fantasy/points-outlook/jamarion-miller/35996" TargetMode="External"/><Relationship Id="rId140" Type="http://schemas.openxmlformats.org/officeDocument/2006/relationships/hyperlink" Target="https://www.draftsharks.com/fantasy/points-outlook/jalen-coker/35137" TargetMode="External"/><Relationship Id="rId261" Type="http://schemas.openxmlformats.org/officeDocument/2006/relationships/hyperlink" Target="https://www.draftsharks.com/fantasy/points-outlook/ray-davis/34993" TargetMode="External"/><Relationship Id="rId5" Type="http://schemas.openxmlformats.org/officeDocument/2006/relationships/hyperlink" Target="https://www.draftsharks.com/fantasy/points-outlook/puka-nacua/13680" TargetMode="External"/><Relationship Id="rId147" Type="http://schemas.openxmlformats.org/officeDocument/2006/relationships/hyperlink" Target="https://www.draftsharks.com/fantasy/points-outlook/dallas-goedert/9997" TargetMode="External"/><Relationship Id="rId268" Type="http://schemas.openxmlformats.org/officeDocument/2006/relationships/hyperlink" Target="https://www.draftsharks.com/fantasy/points-outlook/cj-daniels/36018" TargetMode="External"/><Relationship Id="rId6" Type="http://schemas.openxmlformats.org/officeDocument/2006/relationships/hyperlink" Target="https://www.draftsharks.com/fantasy/points-outlook/jeremiyah-love/35925" TargetMode="External"/><Relationship Id="rId146" Type="http://schemas.openxmlformats.org/officeDocument/2006/relationships/hyperlink" Target="https://www.draftsharks.com/fantasy/points-outlook/brenton-strange/13686" TargetMode="External"/><Relationship Id="rId267" Type="http://schemas.openxmlformats.org/officeDocument/2006/relationships/hyperlink" Target="https://www.draftsharks.com/fantasy/points-outlook/donte-thornton-jr-/35544" TargetMode="External"/><Relationship Id="rId7" Type="http://schemas.openxmlformats.org/officeDocument/2006/relationships/hyperlink" Target="https://www.draftsharks.com/fantasy/points-outlook/amon-ra-st-brown/10783" TargetMode="External"/><Relationship Id="rId145" Type="http://schemas.openxmlformats.org/officeDocument/2006/relationships/hyperlink" Target="https://www.draftsharks.com/fantasy/points-outlook/matthew-stafford/2" TargetMode="External"/><Relationship Id="rId266" Type="http://schemas.openxmlformats.org/officeDocument/2006/relationships/hyperlink" Target="https://www.draftsharks.com/fantasy/points-outlook/deion-burks/35964" TargetMode="External"/><Relationship Id="rId8" Type="http://schemas.openxmlformats.org/officeDocument/2006/relationships/hyperlink" Target="https://www.draftsharks.com/fantasy/points-outlook/ceedee-lamb/10590" TargetMode="External"/><Relationship Id="rId144" Type="http://schemas.openxmlformats.org/officeDocument/2006/relationships/hyperlink" Target="https://www.draftsharks.com/fantasy/points-outlook/antonio-williams/35957" TargetMode="External"/><Relationship Id="rId265" Type="http://schemas.openxmlformats.org/officeDocument/2006/relationships/hyperlink" Target="https://www.draftsharks.com/fantasy/points-outlook/cole-kmet/10485" TargetMode="External"/><Relationship Id="rId73" Type="http://schemas.openxmlformats.org/officeDocument/2006/relationships/hyperlink" Target="https://www.draftsharks.com/fantasy/points-outlook/marvin-harrison-jr-/34975" TargetMode="External"/><Relationship Id="rId72" Type="http://schemas.openxmlformats.org/officeDocument/2006/relationships/hyperlink" Target="https://www.draftsharks.com/fantasy/points-outlook/travis-etienne/10757" TargetMode="External"/><Relationship Id="rId75" Type="http://schemas.openxmlformats.org/officeDocument/2006/relationships/hyperlink" Target="https://www.draftsharks.com/fantasy/points-outlook/d-j-moore/9970" TargetMode="External"/><Relationship Id="rId74" Type="http://schemas.openxmlformats.org/officeDocument/2006/relationships/hyperlink" Target="https://www.draftsharks.com/fantasy/points-outlook/parker-washington/13551" TargetMode="External"/><Relationship Id="rId77" Type="http://schemas.openxmlformats.org/officeDocument/2006/relationships/hyperlink" Target="https://www.draftsharks.com/fantasy/points-outlook/brock-purdy/12737" TargetMode="External"/><Relationship Id="rId260" Type="http://schemas.openxmlformats.org/officeDocument/2006/relationships/hyperlink" Target="https://www.draftsharks.com/fantasy/points-outlook/michael-penix-jr-/34983" TargetMode="External"/><Relationship Id="rId76" Type="http://schemas.openxmlformats.org/officeDocument/2006/relationships/hyperlink" Target="https://www.draftsharks.com/fantasy/points-outlook/d-k-metcalf/10197" TargetMode="External"/><Relationship Id="rId79" Type="http://schemas.openxmlformats.org/officeDocument/2006/relationships/hyperlink" Target="https://www.draftsharks.com/fantasy/points-outlook/jaxson-dart/35312" TargetMode="External"/><Relationship Id="rId78" Type="http://schemas.openxmlformats.org/officeDocument/2006/relationships/hyperlink" Target="https://www.draftsharks.com/fantasy/points-outlook/michael-wilson/13558" TargetMode="External"/><Relationship Id="rId71" Type="http://schemas.openxmlformats.org/officeDocument/2006/relationships/hyperlink" Target="https://www.draftsharks.com/fantasy/points-outlook/jordan-addison/13546" TargetMode="External"/><Relationship Id="rId70" Type="http://schemas.openxmlformats.org/officeDocument/2006/relationships/hyperlink" Target="https://www.draftsharks.com/fantasy/points-outlook/kyle-pitts/10747" TargetMode="External"/><Relationship Id="rId139" Type="http://schemas.openxmlformats.org/officeDocument/2006/relationships/hyperlink" Target="https://www.draftsharks.com/fantasy/points-outlook/bryce-young/13540" TargetMode="External"/><Relationship Id="rId138" Type="http://schemas.openxmlformats.org/officeDocument/2006/relationships/hyperlink" Target="https://www.draftsharks.com/fantasy/points-outlook/germie-bernard/35953" TargetMode="External"/><Relationship Id="rId259" Type="http://schemas.openxmlformats.org/officeDocument/2006/relationships/hyperlink" Target="https://www.draftsharks.com/fantasy/points-outlook/najee-harris/10758" TargetMode="External"/><Relationship Id="rId137" Type="http://schemas.openxmlformats.org/officeDocument/2006/relationships/hyperlink" Target="https://www.draftsharks.com/fantasy/points-outlook/braelon-allen/34996" TargetMode="External"/><Relationship Id="rId258" Type="http://schemas.openxmlformats.org/officeDocument/2006/relationships/hyperlink" Target="https://www.draftsharks.com/fantasy/points-outlook/jack-endries/35976" TargetMode="External"/><Relationship Id="rId132" Type="http://schemas.openxmlformats.org/officeDocument/2006/relationships/hyperlink" Target="https://www.draftsharks.com/fantasy/points-outlook/rashid-shaheed/13347" TargetMode="External"/><Relationship Id="rId253" Type="http://schemas.openxmlformats.org/officeDocument/2006/relationships/hyperlink" Target="https://www.draftsharks.com/fantasy/points-outlook/chimere-dike/35563" TargetMode="External"/><Relationship Id="rId131" Type="http://schemas.openxmlformats.org/officeDocument/2006/relationships/hyperlink" Target="https://www.draftsharks.com/fantasy/points-outlook/eli-stowers/35974" TargetMode="External"/><Relationship Id="rId252" Type="http://schemas.openxmlformats.org/officeDocument/2006/relationships/hyperlink" Target="https://www.draftsharks.com/fantasy/points-outlook/darnell-mooney/10628" TargetMode="External"/><Relationship Id="rId130" Type="http://schemas.openxmlformats.org/officeDocument/2006/relationships/hyperlink" Target="https://www.draftsharks.com/fantasy/points-outlook/kenneth-gainwell/10761" TargetMode="External"/><Relationship Id="rId251" Type="http://schemas.openxmlformats.org/officeDocument/2006/relationships/hyperlink" Target="https://www.draftsharks.com/fantasy/points-outlook/cedric-tillman/13555" TargetMode="External"/><Relationship Id="rId250" Type="http://schemas.openxmlformats.org/officeDocument/2006/relationships/hyperlink" Target="https://www.draftsharks.com/fantasy/points-outlook/isaiah-bond/35337" TargetMode="External"/><Relationship Id="rId136" Type="http://schemas.openxmlformats.org/officeDocument/2006/relationships/hyperlink" Target="https://www.draftsharks.com/fantasy/points-outlook/george-kittle/9540" TargetMode="External"/><Relationship Id="rId257" Type="http://schemas.openxmlformats.org/officeDocument/2006/relationships/hyperlink" Target="https://www.draftsharks.com/fantasy/points-outlook/eli-heidenreich/36038" TargetMode="External"/><Relationship Id="rId135" Type="http://schemas.openxmlformats.org/officeDocument/2006/relationships/hyperlink" Target="https://www.draftsharks.com/fantasy/points-outlook/jonathon-brooks/34987" TargetMode="External"/><Relationship Id="rId256" Type="http://schemas.openxmlformats.org/officeDocument/2006/relationships/hyperlink" Target="https://www.draftsharks.com/fantasy/points-outlook/xavier-legette/35020" TargetMode="External"/><Relationship Id="rId134" Type="http://schemas.openxmlformats.org/officeDocument/2006/relationships/hyperlink" Target="https://www.draftsharks.com/fantasy/points-outlook/rico-dowdle/12103" TargetMode="External"/><Relationship Id="rId255" Type="http://schemas.openxmlformats.org/officeDocument/2006/relationships/hyperlink" Target="https://www.draftsharks.com/fantasy/points-outlook/dj-giddens/35528" TargetMode="External"/><Relationship Id="rId133" Type="http://schemas.openxmlformats.org/officeDocument/2006/relationships/hyperlink" Target="https://www.draftsharks.com/fantasy/points-outlook/dezhaun-stribling/36057" TargetMode="External"/><Relationship Id="rId254" Type="http://schemas.openxmlformats.org/officeDocument/2006/relationships/hyperlink" Target="https://www.draftsharks.com/fantasy/points-outlook/keenan-allen/6678" TargetMode="External"/><Relationship Id="rId62" Type="http://schemas.openxmlformats.org/officeDocument/2006/relationships/hyperlink" Target="https://www.draftsharks.com/fantasy/points-outlook/justin-herbert/10488" TargetMode="External"/><Relationship Id="rId61" Type="http://schemas.openxmlformats.org/officeDocument/2006/relationships/hyperlink" Target="https://www.draftsharks.com/fantasy/points-outlook/christian-watson/12607" TargetMode="External"/><Relationship Id="rId64" Type="http://schemas.openxmlformats.org/officeDocument/2006/relationships/hyperlink" Target="https://www.draftsharks.com/fantasy/points-outlook/kc-concepcion/35951" TargetMode="External"/><Relationship Id="rId63" Type="http://schemas.openxmlformats.org/officeDocument/2006/relationships/hyperlink" Target="https://www.draftsharks.com/fantasy/points-outlook/jalen-hurts/10490" TargetMode="External"/><Relationship Id="rId66" Type="http://schemas.openxmlformats.org/officeDocument/2006/relationships/hyperlink" Target="https://www.draftsharks.com/fantasy/points-outlook/trevor-lawrence/10748" TargetMode="External"/><Relationship Id="rId172" Type="http://schemas.openxmlformats.org/officeDocument/2006/relationships/hyperlink" Target="https://www.draftsharks.com/fantasy/points-outlook/nicholas-singleton/35929" TargetMode="External"/><Relationship Id="rId293" Type="http://schemas.openxmlformats.org/officeDocument/2006/relationships/hyperlink" Target="https://www.draftsharks.com/fantasy/points-outlook/dane-key/36074" TargetMode="External"/><Relationship Id="rId65" Type="http://schemas.openxmlformats.org/officeDocument/2006/relationships/hyperlink" Target="https://www.draftsharks.com/fantasy/points-outlook/derrick-henry/7461" TargetMode="External"/><Relationship Id="rId171" Type="http://schemas.openxmlformats.org/officeDocument/2006/relationships/hyperlink" Target="https://www.draftsharks.com/fantasy/points-outlook/chris-rodriguez/13677" TargetMode="External"/><Relationship Id="rId292" Type="http://schemas.openxmlformats.org/officeDocument/2006/relationships/hyperlink" Target="https://www.draftsharks.com/fantasy/points-outlook/aaron-rodgers/2636" TargetMode="External"/><Relationship Id="rId68" Type="http://schemas.openxmlformats.org/officeDocument/2006/relationships/hyperlink" Target="https://www.draftsharks.com/fantasy/points-outlook/brian-thomas-jr-/35014" TargetMode="External"/><Relationship Id="rId170" Type="http://schemas.openxmlformats.org/officeDocument/2006/relationships/hyperlink" Target="https://www.draftsharks.com/fantasy/points-outlook/rachaad-white/12583" TargetMode="External"/><Relationship Id="rId291" Type="http://schemas.openxmlformats.org/officeDocument/2006/relationships/hyperlink" Target="https://www.draftsharks.com/fantasy/points-outlook/noah-thomas/35968" TargetMode="External"/><Relationship Id="rId67" Type="http://schemas.openxmlformats.org/officeDocument/2006/relationships/hyperlink" Target="https://www.draftsharks.com/fantasy/points-outlook/terry-mclaurin/10269" TargetMode="External"/><Relationship Id="rId290" Type="http://schemas.openxmlformats.org/officeDocument/2006/relationships/hyperlink" Target="https://www.draftsharks.com/fantasy/points-outlook/kirk-cousins/5105" TargetMode="External"/><Relationship Id="rId60" Type="http://schemas.openxmlformats.org/officeDocument/2006/relationships/hyperlink" Target="https://www.draftsharks.com/fantasy/points-outlook/cameron-skattebo/35382" TargetMode="External"/><Relationship Id="rId165" Type="http://schemas.openxmlformats.org/officeDocument/2006/relationships/hyperlink" Target="https://www.draftsharks.com/fantasy/points-outlook/troy-franklin/34981" TargetMode="External"/><Relationship Id="rId286" Type="http://schemas.openxmlformats.org/officeDocument/2006/relationships/hyperlink" Target="https://www.draftsharks.com/fantasy/points-outlook/anthony-richardson/13544" TargetMode="External"/><Relationship Id="rId69" Type="http://schemas.openxmlformats.org/officeDocument/2006/relationships/hyperlink" Target="https://www.draftsharks.com/fantasy/points-outlook/javonte-williams/10759" TargetMode="External"/><Relationship Id="rId164" Type="http://schemas.openxmlformats.org/officeDocument/2006/relationships/hyperlink" Target="https://www.draftsharks.com/fantasy/points-outlook/travis-hunter/35371" TargetMode="External"/><Relationship Id="rId285" Type="http://schemas.openxmlformats.org/officeDocument/2006/relationships/hyperlink" Target="https://www.draftsharks.com/fantasy/points-outlook/carson-beck/35924" TargetMode="External"/><Relationship Id="rId163" Type="http://schemas.openxmlformats.org/officeDocument/2006/relationships/hyperlink" Target="https://www.draftsharks.com/fantasy/points-outlook/gunnar-helm/35365" TargetMode="External"/><Relationship Id="rId284" Type="http://schemas.openxmlformats.org/officeDocument/2006/relationships/hyperlink" Target="https://www.draftsharks.com/fantasy/points-outlook/noah-gray/10886" TargetMode="External"/><Relationship Id="rId162" Type="http://schemas.openxmlformats.org/officeDocument/2006/relationships/hyperlink" Target="https://www.draftsharks.com/fantasy/points-outlook/tyrone-tracy-jr-/34997" TargetMode="External"/><Relationship Id="rId283" Type="http://schemas.openxmlformats.org/officeDocument/2006/relationships/hyperlink" Target="https://www.draftsharks.com/fantasy/points-outlook/deshaun-watson/7744" TargetMode="External"/><Relationship Id="rId169" Type="http://schemas.openxmlformats.org/officeDocument/2006/relationships/hyperlink" Target="https://www.draftsharks.com/fantasy/points-outlook/dalton-schultz/10059" TargetMode="External"/><Relationship Id="rId168" Type="http://schemas.openxmlformats.org/officeDocument/2006/relationships/hyperlink" Target="https://www.draftsharks.com/fantasy/points-outlook/kayshon-boutte/13582" TargetMode="External"/><Relationship Id="rId289" Type="http://schemas.openxmlformats.org/officeDocument/2006/relationships/hyperlink" Target="https://www.draftsharks.com/fantasy/points-outlook/aaron-anderson/36029" TargetMode="External"/><Relationship Id="rId167" Type="http://schemas.openxmlformats.org/officeDocument/2006/relationships/hyperlink" Target="https://www.draftsharks.com/fantasy/points-outlook/pat-freiermuth/10749" TargetMode="External"/><Relationship Id="rId288" Type="http://schemas.openxmlformats.org/officeDocument/2006/relationships/hyperlink" Target="https://www.draftsharks.com/fantasy/points-outlook/jalen-milroe/35311" TargetMode="External"/><Relationship Id="rId166" Type="http://schemas.openxmlformats.org/officeDocument/2006/relationships/hyperlink" Target="https://www.draftsharks.com/fantasy/points-outlook/daniel-jones/10225" TargetMode="External"/><Relationship Id="rId287" Type="http://schemas.openxmlformats.org/officeDocument/2006/relationships/hyperlink" Target="https://www.draftsharks.com/fantasy/points-outlook/eric-mcalister/35972" TargetMode="External"/><Relationship Id="rId51" Type="http://schemas.openxmlformats.org/officeDocument/2006/relationships/hyperlink" Target="https://www.draftsharks.com/fantasy/points-outlook/tyler-warren/35359" TargetMode="External"/><Relationship Id="rId50" Type="http://schemas.openxmlformats.org/officeDocument/2006/relationships/hyperlink" Target="https://www.draftsharks.com/fantasy/points-outlook/kyren-williams/12580" TargetMode="External"/><Relationship Id="rId53" Type="http://schemas.openxmlformats.org/officeDocument/2006/relationships/hyperlink" Target="https://www.draftsharks.com/fantasy/points-outlook/lamar-jackson/9964" TargetMode="External"/><Relationship Id="rId52" Type="http://schemas.openxmlformats.org/officeDocument/2006/relationships/hyperlink" Target="https://www.draftsharks.com/fantasy/points-outlook/harold-fannin-jr-/35361" TargetMode="External"/><Relationship Id="rId55" Type="http://schemas.openxmlformats.org/officeDocument/2006/relationships/hyperlink" Target="https://www.draftsharks.com/fantasy/points-outlook/joe-burrow/10482" TargetMode="External"/><Relationship Id="rId161" Type="http://schemas.openxmlformats.org/officeDocument/2006/relationships/hyperlink" Target="https://www.draftsharks.com/fantasy/points-outlook/aaron-jones/9550" TargetMode="External"/><Relationship Id="rId282" Type="http://schemas.openxmlformats.org/officeDocument/2006/relationships/hyperlink" Target="https://www.draftsharks.com/fantasy/points-outlook/roman-hemby/35941" TargetMode="External"/><Relationship Id="rId54" Type="http://schemas.openxmlformats.org/officeDocument/2006/relationships/hyperlink" Target="https://www.draftsharks.com/fantasy/points-outlook/rome-odunze/34980" TargetMode="External"/><Relationship Id="rId160" Type="http://schemas.openxmlformats.org/officeDocument/2006/relationships/hyperlink" Target="https://www.draftsharks.com/fantasy/points-outlook/chigoziem-okonkwo/12711" TargetMode="External"/><Relationship Id="rId281" Type="http://schemas.openxmlformats.org/officeDocument/2006/relationships/hyperlink" Target="https://www.draftsharks.com/fantasy/points-outlook/michael-trigg/35979" TargetMode="External"/><Relationship Id="rId57" Type="http://schemas.openxmlformats.org/officeDocument/2006/relationships/hyperlink" Target="https://www.draftsharks.com/fantasy/points-outlook/caleb-williams/34974" TargetMode="External"/><Relationship Id="rId280" Type="http://schemas.openxmlformats.org/officeDocument/2006/relationships/hyperlink" Target="https://www.draftsharks.com/fantasy/points-outlook/jmari-taylor/36002" TargetMode="External"/><Relationship Id="rId56" Type="http://schemas.openxmlformats.org/officeDocument/2006/relationships/hyperlink" Target="https://www.draftsharks.com/fantasy/points-outlook/jadarian-price/35926" TargetMode="External"/><Relationship Id="rId159" Type="http://schemas.openxmlformats.org/officeDocument/2006/relationships/hyperlink" Target="https://www.draftsharks.com/fantasy/points-outlook/aj-barner/35009" TargetMode="External"/><Relationship Id="rId59" Type="http://schemas.openxmlformats.org/officeDocument/2006/relationships/hyperlink" Target="https://www.draftsharks.com/fantasy/points-outlook/patrick-mahomes/7746" TargetMode="External"/><Relationship Id="rId154" Type="http://schemas.openxmlformats.org/officeDocument/2006/relationships/hyperlink" Target="https://www.draftsharks.com/fantasy/points-outlook/ted-hurst/35963" TargetMode="External"/><Relationship Id="rId275" Type="http://schemas.openxmlformats.org/officeDocument/2006/relationships/hyperlink" Target="https://www.draftsharks.com/fantasy/points-outlook/cooper-kupp/7761" TargetMode="External"/><Relationship Id="rId58" Type="http://schemas.openxmlformats.org/officeDocument/2006/relationships/hyperlink" Target="https://www.draftsharks.com/fantasy/points-outlook/tucker-kraft/13575" TargetMode="External"/><Relationship Id="rId153" Type="http://schemas.openxmlformats.org/officeDocument/2006/relationships/hyperlink" Target="https://www.draftsharks.com/fantasy/points-outlook/jonah-coleman/35927" TargetMode="External"/><Relationship Id="rId274" Type="http://schemas.openxmlformats.org/officeDocument/2006/relationships/hyperlink" Target="https://www.draftsharks.com/fantasy/points-outlook/jake-tonges/35877" TargetMode="External"/><Relationship Id="rId152" Type="http://schemas.openxmlformats.org/officeDocument/2006/relationships/hyperlink" Target="https://www.draftsharks.com/fantasy/points-outlook/jakobi-lane/35955" TargetMode="External"/><Relationship Id="rId273" Type="http://schemas.openxmlformats.org/officeDocument/2006/relationships/hyperlink" Target="https://www.draftsharks.com/fantasy/points-outlook/joe-mixon/7774" TargetMode="External"/><Relationship Id="rId151" Type="http://schemas.openxmlformats.org/officeDocument/2006/relationships/hyperlink" Target="https://www.draftsharks.com/fantasy/points-outlook/jaylin-noel/35357" TargetMode="External"/><Relationship Id="rId272" Type="http://schemas.openxmlformats.org/officeDocument/2006/relationships/hyperlink" Target="https://www.draftsharks.com/fantasy/points-outlook/tyquan-thornton/12679" TargetMode="External"/><Relationship Id="rId158" Type="http://schemas.openxmlformats.org/officeDocument/2006/relationships/hyperlink" Target="https://www.draftsharks.com/fantasy/points-outlook/ricky-pearsall/35023" TargetMode="External"/><Relationship Id="rId279" Type="http://schemas.openxmlformats.org/officeDocument/2006/relationships/hyperlink" Target="https://www.draftsharks.com/fantasy/points-outlook/jahan-dotson/12597" TargetMode="External"/><Relationship Id="rId157" Type="http://schemas.openxmlformats.org/officeDocument/2006/relationships/hyperlink" Target="https://www.draftsharks.com/fantasy/points-outlook/hunter-henry/7470" TargetMode="External"/><Relationship Id="rId278" Type="http://schemas.openxmlformats.org/officeDocument/2006/relationships/hyperlink" Target="https://www.draftsharks.com/fantasy/points-outlook/j-j-mccarthy/34985" TargetMode="External"/><Relationship Id="rId156" Type="http://schemas.openxmlformats.org/officeDocument/2006/relationships/hyperlink" Target="https://www.draftsharks.com/fantasy/points-outlook/travis-kelce/6709" TargetMode="External"/><Relationship Id="rId277" Type="http://schemas.openxmlformats.org/officeDocument/2006/relationships/hyperlink" Target="https://www.draftsharks.com/fantasy/points-outlook/ben-sinnott/35012" TargetMode="External"/><Relationship Id="rId155" Type="http://schemas.openxmlformats.org/officeDocument/2006/relationships/hyperlink" Target="https://www.draftsharks.com/fantasy/points-outlook/elijah-arroyo/35366" TargetMode="External"/><Relationship Id="rId276" Type="http://schemas.openxmlformats.org/officeDocument/2006/relationships/hyperlink" Target="https://www.draftsharks.com/fantasy/points-outlook/christian-kirk/9969" TargetMode="External"/><Relationship Id="rId107" Type="http://schemas.openxmlformats.org/officeDocument/2006/relationships/hyperlink" Target="https://www.draftsharks.com/fantasy/points-outlook/kyler-murray/10217" TargetMode="External"/><Relationship Id="rId228" Type="http://schemas.openxmlformats.org/officeDocument/2006/relationships/hyperlink" Target="https://www.draftsharks.com/fantasy/points-outlook/evan-engram/7769" TargetMode="External"/><Relationship Id="rId106" Type="http://schemas.openxmlformats.org/officeDocument/2006/relationships/hyperlink" Target="https://www.draftsharks.com/fantasy/points-outlook/baker-mayfield/9960" TargetMode="External"/><Relationship Id="rId227" Type="http://schemas.openxmlformats.org/officeDocument/2006/relationships/hyperlink" Target="https://www.draftsharks.com/fantasy/points-outlook/kaleb-johnson/35319" TargetMode="External"/><Relationship Id="rId105" Type="http://schemas.openxmlformats.org/officeDocument/2006/relationships/hyperlink" Target="https://www.draftsharks.com/fantasy/points-outlook/zach-charbonnet/13564" TargetMode="External"/><Relationship Id="rId226" Type="http://schemas.openxmlformats.org/officeDocument/2006/relationships/hyperlink" Target="https://www.draftsharks.com/fantasy/points-outlook/mason-taylor/35362" TargetMode="External"/><Relationship Id="rId104" Type="http://schemas.openxmlformats.org/officeDocument/2006/relationships/hyperlink" Target="https://www.draftsharks.com/fantasy/points-outlook/rhamondre-stevenson/10763" TargetMode="External"/><Relationship Id="rId225" Type="http://schemas.openxmlformats.org/officeDocument/2006/relationships/hyperlink" Target="https://www.draftsharks.com/fantasy/points-outlook/max-klare/35975" TargetMode="External"/><Relationship Id="rId109" Type="http://schemas.openxmlformats.org/officeDocument/2006/relationships/hyperlink" Target="https://www.draftsharks.com/fantasy/points-outlook/chuba-hubbard/10766" TargetMode="External"/><Relationship Id="rId108" Type="http://schemas.openxmlformats.org/officeDocument/2006/relationships/hyperlink" Target="https://www.draftsharks.com/fantasy/points-outlook/jared-goff/7449" TargetMode="External"/><Relationship Id="rId229" Type="http://schemas.openxmlformats.org/officeDocument/2006/relationships/hyperlink" Target="https://www.draftsharks.com/fantasy/points-outlook/colby-parkinson/10622" TargetMode="External"/><Relationship Id="rId220" Type="http://schemas.openxmlformats.org/officeDocument/2006/relationships/hyperlink" Target="https://www.draftsharks.com/fantasy/points-outlook/emanuel-wilson/14231" TargetMode="External"/><Relationship Id="rId103" Type="http://schemas.openxmlformats.org/officeDocument/2006/relationships/hyperlink" Target="https://www.draftsharks.com/fantasy/points-outlook/romeo-doubs/12606" TargetMode="External"/><Relationship Id="rId224" Type="http://schemas.openxmlformats.org/officeDocument/2006/relationships/hyperlink" Target="https://www.draftsharks.com/fantasy/points-outlook/oscar-delp/35977" TargetMode="External"/><Relationship Id="rId102" Type="http://schemas.openxmlformats.org/officeDocument/2006/relationships/hyperlink" Target="https://www.draftsharks.com/fantasy/points-outlook/c-j-stroud/13539" TargetMode="External"/><Relationship Id="rId223" Type="http://schemas.openxmlformats.org/officeDocument/2006/relationships/hyperlink" Target="https://www.draftsharks.com/fantasy/points-outlook/devin-neal/35392" TargetMode="External"/><Relationship Id="rId101" Type="http://schemas.openxmlformats.org/officeDocument/2006/relationships/hyperlink" Target="https://www.draftsharks.com/fantasy/points-outlook/david-montgomery/10194" TargetMode="External"/><Relationship Id="rId222" Type="http://schemas.openxmlformats.org/officeDocument/2006/relationships/hyperlink" Target="https://www.draftsharks.com/fantasy/points-outlook/kimani-vidal/34998" TargetMode="External"/><Relationship Id="rId100" Type="http://schemas.openxmlformats.org/officeDocument/2006/relationships/hyperlink" Target="https://www.draftsharks.com/fantasy/points-outlook/fernando-mendoza/35915" TargetMode="External"/><Relationship Id="rId221" Type="http://schemas.openxmlformats.org/officeDocument/2006/relationships/hyperlink" Target="https://www.draftsharks.com/fantasy/points-outlook/jordan-james/35329" TargetMode="External"/><Relationship Id="rId217" Type="http://schemas.openxmlformats.org/officeDocument/2006/relationships/hyperlink" Target="https://www.draftsharks.com/fantasy/points-outlook/keon-coleman/35017" TargetMode="External"/><Relationship Id="rId216" Type="http://schemas.openxmlformats.org/officeDocument/2006/relationships/hyperlink" Target="https://www.draftsharks.com/fantasy/points-outlook/jalen-nailor/12720" TargetMode="External"/><Relationship Id="rId215" Type="http://schemas.openxmlformats.org/officeDocument/2006/relationships/hyperlink" Target="https://www.draftsharks.com/fantasy/points-outlook/demond-claiborne/35933" TargetMode="External"/><Relationship Id="rId214" Type="http://schemas.openxmlformats.org/officeDocument/2006/relationships/hyperlink" Target="https://www.draftsharks.com/fantasy/points-outlook/kaelon-black/36026" TargetMode="External"/><Relationship Id="rId219" Type="http://schemas.openxmlformats.org/officeDocument/2006/relationships/hyperlink" Target="https://www.draftsharks.com/fantasy/points-outlook/marvin-mims-jr-/13554" TargetMode="External"/><Relationship Id="rId218" Type="http://schemas.openxmlformats.org/officeDocument/2006/relationships/hyperlink" Target="https://www.draftsharks.com/fantasy/points-outlook/malachi-fields/35961" TargetMode="External"/><Relationship Id="rId213" Type="http://schemas.openxmlformats.org/officeDocument/2006/relationships/hyperlink" Target="https://www.draftsharks.com/fantasy/points-outlook/deebo-samuel/10205" TargetMode="External"/><Relationship Id="rId212" Type="http://schemas.openxmlformats.org/officeDocument/2006/relationships/hyperlink" Target="https://www.draftsharks.com/fantasy/points-outlook/adam-randall/35991" TargetMode="External"/><Relationship Id="rId211" Type="http://schemas.openxmlformats.org/officeDocument/2006/relationships/hyperlink" Target="https://www.draftsharks.com/fantasy/points-outlook/jaylen-wright/34988" TargetMode="External"/><Relationship Id="rId210" Type="http://schemas.openxmlformats.org/officeDocument/2006/relationships/hyperlink" Target="https://www.draftsharks.com/fantasy/points-outlook/isaac-teslaa/35572" TargetMode="External"/><Relationship Id="rId129" Type="http://schemas.openxmlformats.org/officeDocument/2006/relationships/hyperlink" Target="https://www.draftsharks.com/fantasy/points-outlook/j-k-dobbins/10478" TargetMode="External"/><Relationship Id="rId128" Type="http://schemas.openxmlformats.org/officeDocument/2006/relationships/hyperlink" Target="https://www.draftsharks.com/fantasy/points-outlook/jake-ferguson/12708" TargetMode="External"/><Relationship Id="rId249" Type="http://schemas.openxmlformats.org/officeDocument/2006/relationships/hyperlink" Target="https://www.draftsharks.com/fantasy/points-outlook/kevin-coleman-jr-/36008" TargetMode="External"/><Relationship Id="rId127" Type="http://schemas.openxmlformats.org/officeDocument/2006/relationships/hyperlink" Target="https://www.draftsharks.com/fantasy/points-outlook/jacory-croskey-merritt/35720" TargetMode="External"/><Relationship Id="rId248" Type="http://schemas.openxmlformats.org/officeDocument/2006/relationships/hyperlink" Target="https://www.draftsharks.com/fantasy/points-outlook/james-conner/7778" TargetMode="External"/><Relationship Id="rId126" Type="http://schemas.openxmlformats.org/officeDocument/2006/relationships/hyperlink" Target="https://www.draftsharks.com/fantasy/points-outlook/kyle-monangai/35326" TargetMode="External"/><Relationship Id="rId247" Type="http://schemas.openxmlformats.org/officeDocument/2006/relationships/hyperlink" Target="https://www.draftsharks.com/fantasy/points-outlook/pat-bryant/35355" TargetMode="External"/><Relationship Id="rId121" Type="http://schemas.openxmlformats.org/officeDocument/2006/relationships/hyperlink" Target="https://www.draftsharks.com/fantasy/points-outlook/denzel-boston/35949" TargetMode="External"/><Relationship Id="rId242" Type="http://schemas.openxmlformats.org/officeDocument/2006/relationships/hyperlink" Target="https://www.draftsharks.com/fantasy/points-outlook/kendre-miller/13570" TargetMode="External"/><Relationship Id="rId120" Type="http://schemas.openxmlformats.org/officeDocument/2006/relationships/hyperlink" Target="https://www.draftsharks.com/fantasy/points-outlook/quentin-johnston/13545" TargetMode="External"/><Relationship Id="rId241" Type="http://schemas.openxmlformats.org/officeDocument/2006/relationships/hyperlink" Target="https://www.draftsharks.com/fantasy/points-outlook/mike-gesicki/10008" TargetMode="External"/><Relationship Id="rId240" Type="http://schemas.openxmlformats.org/officeDocument/2006/relationships/hyperlink" Target="https://www.draftsharks.com/fantasy/points-outlook/ryan-flournoy/35132" TargetMode="External"/><Relationship Id="rId125" Type="http://schemas.openxmlformats.org/officeDocument/2006/relationships/hyperlink" Target="https://www.draftsharks.com/fantasy/points-outlook/blake-corum/34990" TargetMode="External"/><Relationship Id="rId246" Type="http://schemas.openxmlformats.org/officeDocument/2006/relationships/hyperlink" Target="https://www.draftsharks.com/fantasy/points-outlook/brashard-smith/35522" TargetMode="External"/><Relationship Id="rId124" Type="http://schemas.openxmlformats.org/officeDocument/2006/relationships/hyperlink" Target="https://www.draftsharks.com/fantasy/points-outlook/tyjae-spears/13569" TargetMode="External"/><Relationship Id="rId245" Type="http://schemas.openxmlformats.org/officeDocument/2006/relationships/hyperlink" Target="https://www.draftsharks.com/fantasy/points-outlook/darnell-washington/13574" TargetMode="External"/><Relationship Id="rId123" Type="http://schemas.openxmlformats.org/officeDocument/2006/relationships/hyperlink" Target="https://www.draftsharks.com/fantasy/points-outlook/jordan-mason/13153" TargetMode="External"/><Relationship Id="rId244" Type="http://schemas.openxmlformats.org/officeDocument/2006/relationships/hyperlink" Target="https://www.draftsharks.com/fantasy/points-outlook/nathaniel-dell/13552" TargetMode="External"/><Relationship Id="rId122" Type="http://schemas.openxmlformats.org/officeDocument/2006/relationships/hyperlink" Target="https://www.draftsharks.com/fantasy/points-outlook/oronde-gadsden-ii/35532" TargetMode="External"/><Relationship Id="rId243" Type="http://schemas.openxmlformats.org/officeDocument/2006/relationships/hyperlink" Target="https://www.draftsharks.com/fantasy/points-outlook/kyle-williams/35557" TargetMode="External"/><Relationship Id="rId95" Type="http://schemas.openxmlformats.org/officeDocument/2006/relationships/hyperlink" Target="https://www.draftsharks.com/fantasy/points-outlook/dandre-swift/10476" TargetMode="External"/><Relationship Id="rId94" Type="http://schemas.openxmlformats.org/officeDocument/2006/relationships/hyperlink" Target="https://www.draftsharks.com/fantasy/points-outlook/dak-prescott/7453" TargetMode="External"/><Relationship Id="rId97" Type="http://schemas.openxmlformats.org/officeDocument/2006/relationships/hyperlink" Target="https://www.draftsharks.com/fantasy/points-outlook/matthew-golden/35515" TargetMode="External"/><Relationship Id="rId96" Type="http://schemas.openxmlformats.org/officeDocument/2006/relationships/hyperlink" Target="https://www.draftsharks.com/fantasy/points-outlook/jaylen-warren/13199" TargetMode="External"/><Relationship Id="rId99" Type="http://schemas.openxmlformats.org/officeDocument/2006/relationships/hyperlink" Target="https://www.draftsharks.com/fantasy/points-outlook/jordan-love/10489" TargetMode="External"/><Relationship Id="rId98" Type="http://schemas.openxmlformats.org/officeDocument/2006/relationships/hyperlink" Target="https://www.draftsharks.com/fantasy/points-outlook/omar-cooper-jr-/35970" TargetMode="External"/><Relationship Id="rId91" Type="http://schemas.openxmlformats.org/officeDocument/2006/relationships/hyperlink" Target="https://www.draftsharks.com/fantasy/points-outlook/wandale-robinson/12600" TargetMode="External"/><Relationship Id="rId90" Type="http://schemas.openxmlformats.org/officeDocument/2006/relationships/hyperlink" Target="https://www.draftsharks.com/fantasy/points-outlook/khalil-shakir/12603" TargetMode="External"/><Relationship Id="rId93" Type="http://schemas.openxmlformats.org/officeDocument/2006/relationships/hyperlink" Target="https://www.draftsharks.com/fantasy/points-outlook/bhayshul-tuten/35322" TargetMode="External"/><Relationship Id="rId92" Type="http://schemas.openxmlformats.org/officeDocument/2006/relationships/hyperlink" Target="https://www.draftsharks.com/fantasy/points-outlook/rj-harvey/35325" TargetMode="External"/><Relationship Id="rId118" Type="http://schemas.openxmlformats.org/officeDocument/2006/relationships/hyperlink" Target="https://www.draftsharks.com/fantasy/points-outlook/cameron-ward/35310" TargetMode="External"/><Relationship Id="rId239" Type="http://schemas.openxmlformats.org/officeDocument/2006/relationships/hyperlink" Target="https://www.draftsharks.com/fantasy/points-outlook/trevor-etienne/35525" TargetMode="External"/><Relationship Id="rId117" Type="http://schemas.openxmlformats.org/officeDocument/2006/relationships/hyperlink" Target="https://www.draftsharks.com/fantasy/points-outlook/sam-darnold/9963" TargetMode="External"/><Relationship Id="rId238" Type="http://schemas.openxmlformats.org/officeDocument/2006/relationships/hyperlink" Target="https://www.draftsharks.com/fantasy/points-outlook/demario-douglas/13766" TargetMode="External"/><Relationship Id="rId116" Type="http://schemas.openxmlformats.org/officeDocument/2006/relationships/hyperlink" Target="https://www.draftsharks.com/fantasy/points-outlook/josh-downs/13548" TargetMode="External"/><Relationship Id="rId237" Type="http://schemas.openxmlformats.org/officeDocument/2006/relationships/hyperlink" Target="https://www.draftsharks.com/fantasy/points-outlook/sean-tucker/13568" TargetMode="External"/><Relationship Id="rId115" Type="http://schemas.openxmlformats.org/officeDocument/2006/relationships/hyperlink" Target="https://www.draftsharks.com/fantasy/points-outlook/chris-godwin/7783" TargetMode="External"/><Relationship Id="rId236" Type="http://schemas.openxmlformats.org/officeDocument/2006/relationships/hyperlink" Target="https://www.draftsharks.com/fantasy/points-outlook/jalen-royals/35340" TargetMode="External"/><Relationship Id="rId119" Type="http://schemas.openxmlformats.org/officeDocument/2006/relationships/hyperlink" Target="https://www.draftsharks.com/fantasy/points-outlook/woody-marks/35328" TargetMode="External"/><Relationship Id="rId110" Type="http://schemas.openxmlformats.org/officeDocument/2006/relationships/hyperlink" Target="https://www.draftsharks.com/fantasy/points-outlook/jayden-reed/13557" TargetMode="External"/><Relationship Id="rId231" Type="http://schemas.openxmlformats.org/officeDocument/2006/relationships/hyperlink" Target="https://www.draftsharks.com/fantasy/points-outlook/malik-washington/35045" TargetMode="External"/><Relationship Id="rId230" Type="http://schemas.openxmlformats.org/officeDocument/2006/relationships/hyperlink" Target="https://www.draftsharks.com/fantasy/points-outlook/justin-joly/36014" TargetMode="External"/><Relationship Id="rId114" Type="http://schemas.openxmlformats.org/officeDocument/2006/relationships/hyperlink" Target="https://www.draftsharks.com/fantasy/points-outlook/dalton-kincaid/13573" TargetMode="External"/><Relationship Id="rId235" Type="http://schemas.openxmlformats.org/officeDocument/2006/relationships/hyperlink" Target="https://www.draftsharks.com/fantasy/points-outlook/rashod-bateman/10776" TargetMode="External"/><Relationship Id="rId113" Type="http://schemas.openxmlformats.org/officeDocument/2006/relationships/hyperlink" Target="https://www.draftsharks.com/fantasy/points-outlook/tony-pollard/10305" TargetMode="External"/><Relationship Id="rId234" Type="http://schemas.openxmlformats.org/officeDocument/2006/relationships/hyperlink" Target="https://www.draftsharks.com/fantasy/points-outlook/tyreek-hill/7572" TargetMode="External"/><Relationship Id="rId112" Type="http://schemas.openxmlformats.org/officeDocument/2006/relationships/hyperlink" Target="https://www.draftsharks.com/fantasy/points-outlook/jakobi-meyers/10364" TargetMode="External"/><Relationship Id="rId233" Type="http://schemas.openxmlformats.org/officeDocument/2006/relationships/hyperlink" Target="https://www.draftsharks.com/fantasy/points-outlook/shedeur-sanders/35309" TargetMode="External"/><Relationship Id="rId111" Type="http://schemas.openxmlformats.org/officeDocument/2006/relationships/hyperlink" Target="https://www.draftsharks.com/fantasy/points-outlook/tyler-shough/35510" TargetMode="External"/><Relationship Id="rId232" Type="http://schemas.openxmlformats.org/officeDocument/2006/relationships/hyperlink" Target="https://www.draftsharks.com/fantasy/points-outlook/alvin-kamara/7751" TargetMode="External"/><Relationship Id="rId206" Type="http://schemas.openxmlformats.org/officeDocument/2006/relationships/hyperlink" Target="https://www.draftsharks.com/fantasy/points-outlook/elijah-sarratt/35954" TargetMode="External"/><Relationship Id="rId205" Type="http://schemas.openxmlformats.org/officeDocument/2006/relationships/hyperlink" Target="https://www.draftsharks.com/fantasy/points-outlook/ollie-gordon-ii/35321" TargetMode="External"/><Relationship Id="rId204" Type="http://schemas.openxmlformats.org/officeDocument/2006/relationships/hyperlink" Target="https://www.draftsharks.com/fantasy/points-outlook/bryce-lance/35960" TargetMode="External"/><Relationship Id="rId203" Type="http://schemas.openxmlformats.org/officeDocument/2006/relationships/hyperlink" Target="https://www.draftsharks.com/fantasy/points-outlook/tory-horton/35349" TargetMode="External"/><Relationship Id="rId209" Type="http://schemas.openxmlformats.org/officeDocument/2006/relationships/hyperlink" Target="https://www.draftsharks.com/fantasy/points-outlook/theo-johnson/35010" TargetMode="External"/><Relationship Id="rId208" Type="http://schemas.openxmlformats.org/officeDocument/2006/relationships/hyperlink" Target="https://www.draftsharks.com/fantasy/points-outlook/trey-benson/34989" TargetMode="External"/><Relationship Id="rId207" Type="http://schemas.openxmlformats.org/officeDocument/2006/relationships/hyperlink" Target="https://www.draftsharks.com/fantasy/points-outlook/brandon-aiyuk/10582" TargetMode="External"/><Relationship Id="rId202" Type="http://schemas.openxmlformats.org/officeDocument/2006/relationships/hyperlink" Target="https://www.draftsharks.com/fantasy/points-outlook/adonai-mitchell/35018" TargetMode="External"/><Relationship Id="rId201" Type="http://schemas.openxmlformats.org/officeDocument/2006/relationships/hyperlink" Target="https://www.draftsharks.com/fantasy/points-outlook/lequint-allen/35514" TargetMode="External"/><Relationship Id="rId200" Type="http://schemas.openxmlformats.org/officeDocument/2006/relationships/hyperlink" Target="https://www.draftsharks.com/fantasy/points-outlook/brenen-thompson/36028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ntasypros.com/nfl/players/carnell-tate.php" TargetMode="External"/><Relationship Id="rId190" Type="http://schemas.openxmlformats.org/officeDocument/2006/relationships/hyperlink" Target="https://www.fantasypros.com/nfl/players/isiah-pacheco.php" TargetMode="External"/><Relationship Id="rId42" Type="http://schemas.openxmlformats.org/officeDocument/2006/relationships/hyperlink" Target="https://www.fantasypros.com/nfl/players/rashee-rice.php" TargetMode="External"/><Relationship Id="rId41" Type="http://schemas.openxmlformats.org/officeDocument/2006/relationships/hyperlink" Target="https://www.fantasypros.com/nfl/players/bucky-irving.php" TargetMode="External"/><Relationship Id="rId44" Type="http://schemas.openxmlformats.org/officeDocument/2006/relationships/hyperlink" Target="https://www.fantasypros.com/nfl/players/patrick-mahomes.php" TargetMode="External"/><Relationship Id="rId194" Type="http://schemas.openxmlformats.org/officeDocument/2006/relationships/hyperlink" Target="https://www.fantasypros.com/nfl/players/jakobi-lane.php" TargetMode="External"/><Relationship Id="rId43" Type="http://schemas.openxmlformats.org/officeDocument/2006/relationships/hyperlink" Target="https://www.fantasypros.com/nfl/players/quinshon-judkins.php" TargetMode="External"/><Relationship Id="rId193" Type="http://schemas.openxmlformats.org/officeDocument/2006/relationships/hyperlink" Target="https://www.fantasypros.com/nfl/players/pat-freiermuth.php" TargetMode="External"/><Relationship Id="rId46" Type="http://schemas.openxmlformats.org/officeDocument/2006/relationships/hyperlink" Target="https://www.fantasypros.com/nfl/players/rome-odunze.php" TargetMode="External"/><Relationship Id="rId192" Type="http://schemas.openxmlformats.org/officeDocument/2006/relationships/hyperlink" Target="https://www.fantasypros.com/nfl/players/jaylin-noel.php" TargetMode="External"/><Relationship Id="rId45" Type="http://schemas.openxmlformats.org/officeDocument/2006/relationships/hyperlink" Target="https://www.fantasypros.com/nfl/players/luther-burden-iii.php" TargetMode="External"/><Relationship Id="rId191" Type="http://schemas.openxmlformats.org/officeDocument/2006/relationships/hyperlink" Target="https://www.fantasypros.com/nfl/players/jake-tonges.php" TargetMode="External"/><Relationship Id="rId48" Type="http://schemas.openxmlformats.org/officeDocument/2006/relationships/hyperlink" Target="https://www.fantasypros.com/nfl/players/jordyn-tyson.php" TargetMode="External"/><Relationship Id="rId187" Type="http://schemas.openxmlformats.org/officeDocument/2006/relationships/hyperlink" Target="https://www.fantasypros.com/nfl/players/tank-bigsby.php" TargetMode="External"/><Relationship Id="rId47" Type="http://schemas.openxmlformats.org/officeDocument/2006/relationships/hyperlink" Target="https://www.fantasypros.com/nfl/players/saquon-barkley.php" TargetMode="External"/><Relationship Id="rId186" Type="http://schemas.openxmlformats.org/officeDocument/2006/relationships/hyperlink" Target="https://www.fantasypros.com/nfl/players/kaleb-johnson-rb.php" TargetMode="External"/><Relationship Id="rId185" Type="http://schemas.openxmlformats.org/officeDocument/2006/relationships/hyperlink" Target="https://www.fantasypros.com/nfl/players/tyreek-hill.php" TargetMode="External"/><Relationship Id="rId49" Type="http://schemas.openxmlformats.org/officeDocument/2006/relationships/hyperlink" Target="https://www.fantasypros.com/nfl/players/tucker-kraft.php" TargetMode="External"/><Relationship Id="rId184" Type="http://schemas.openxmlformats.org/officeDocument/2006/relationships/hyperlink" Target="https://www.fantasypros.com/nfl/players/adonai-mitchell.php" TargetMode="External"/><Relationship Id="rId189" Type="http://schemas.openxmlformats.org/officeDocument/2006/relationships/hyperlink" Target="https://www.fantasypros.com/nfl/players/stefon-diggs.php" TargetMode="External"/><Relationship Id="rId188" Type="http://schemas.openxmlformats.org/officeDocument/2006/relationships/hyperlink" Target="https://www.fantasypros.com/nfl/players/ted-hurst.php" TargetMode="External"/><Relationship Id="rId31" Type="http://schemas.openxmlformats.org/officeDocument/2006/relationships/hyperlink" Target="https://www.fantasypros.com/nfl/players/tyler-warren.php" TargetMode="External"/><Relationship Id="rId30" Type="http://schemas.openxmlformats.org/officeDocument/2006/relationships/hyperlink" Target="https://www.fantasypros.com/nfl/players/emeka-egbuka.php" TargetMode="External"/><Relationship Id="rId33" Type="http://schemas.openxmlformats.org/officeDocument/2006/relationships/hyperlink" Target="https://www.fantasypros.com/nfl/players/chase-brown.php" TargetMode="External"/><Relationship Id="rId183" Type="http://schemas.openxmlformats.org/officeDocument/2006/relationships/hyperlink" Target="https://www.fantasypros.com/nfl/players/dezhaun-stribling.php" TargetMode="External"/><Relationship Id="rId32" Type="http://schemas.openxmlformats.org/officeDocument/2006/relationships/hyperlink" Target="https://www.fantasypros.com/nfl/players/garrett-wilson.php" TargetMode="External"/><Relationship Id="rId182" Type="http://schemas.openxmlformats.org/officeDocument/2006/relationships/hyperlink" Target="https://www.fantasypros.com/nfl/players/deebo-samuel.php" TargetMode="External"/><Relationship Id="rId35" Type="http://schemas.openxmlformats.org/officeDocument/2006/relationships/hyperlink" Target="https://www.fantasypros.com/nfl/players/christian-mccaffrey.php" TargetMode="External"/><Relationship Id="rId181" Type="http://schemas.openxmlformats.org/officeDocument/2006/relationships/hyperlink" Target="https://www.fantasypros.com/nfl/players/elic-ayomanor.php" TargetMode="External"/><Relationship Id="rId34" Type="http://schemas.openxmlformats.org/officeDocument/2006/relationships/hyperlink" Target="https://www.fantasypros.com/nfl/players/treveyon-henderson.php" TargetMode="External"/><Relationship Id="rId180" Type="http://schemas.openxmlformats.org/officeDocument/2006/relationships/hyperlink" Target="https://www.fantasypros.com/nfl/players/malachi-fields.php" TargetMode="External"/><Relationship Id="rId37" Type="http://schemas.openxmlformats.org/officeDocument/2006/relationships/hyperlink" Target="https://www.fantasypros.com/nfl/players/harold-fannin-jr.php" TargetMode="External"/><Relationship Id="rId176" Type="http://schemas.openxmlformats.org/officeDocument/2006/relationships/hyperlink" Target="https://www.fantasypros.com/nfl/players/isaac-teslaa.php" TargetMode="External"/><Relationship Id="rId297" Type="http://schemas.openxmlformats.org/officeDocument/2006/relationships/hyperlink" Target="https://www.fantasypros.com/nfl/players/anthony-richardson.php" TargetMode="External"/><Relationship Id="rId36" Type="http://schemas.openxmlformats.org/officeDocument/2006/relationships/hyperlink" Target="https://www.fantasypros.com/nfl/players/ladd-mcconkey.php" TargetMode="External"/><Relationship Id="rId175" Type="http://schemas.openxmlformats.org/officeDocument/2006/relationships/hyperlink" Target="https://www.fantasypros.com/nfl/players/jerry-jeudy.php" TargetMode="External"/><Relationship Id="rId296" Type="http://schemas.openxmlformats.org/officeDocument/2006/relationships/hyperlink" Target="https://www.fantasypros.com/nfl/players/garrett-nussmeier.php" TargetMode="External"/><Relationship Id="rId39" Type="http://schemas.openxmlformats.org/officeDocument/2006/relationships/hyperlink" Target="https://www.fantasypros.com/nfl/players/breece-hall.php" TargetMode="External"/><Relationship Id="rId174" Type="http://schemas.openxmlformats.org/officeDocument/2006/relationships/hyperlink" Target="https://www.fantasypros.com/nfl/players/antonio-williams-wr.php" TargetMode="External"/><Relationship Id="rId295" Type="http://schemas.openxmlformats.org/officeDocument/2006/relationships/hyperlink" Target="https://www.fantasypros.com/nfl/players/eric-mcalister.php" TargetMode="External"/><Relationship Id="rId38" Type="http://schemas.openxmlformats.org/officeDocument/2006/relationships/hyperlink" Target="https://www.fantasypros.com/nfl/players/kenneth-walker-rb.php" TargetMode="External"/><Relationship Id="rId173" Type="http://schemas.openxmlformats.org/officeDocument/2006/relationships/hyperlink" Target="https://www.fantasypros.com/nfl/players/david-njoku.php" TargetMode="External"/><Relationship Id="rId294" Type="http://schemas.openxmlformats.org/officeDocument/2006/relationships/hyperlink" Target="https://www.fantasypros.com/nfl/players/aaron-anderson.php" TargetMode="External"/><Relationship Id="rId179" Type="http://schemas.openxmlformats.org/officeDocument/2006/relationships/hyperlink" Target="https://www.fantasypros.com/nfl/players/dylan-sampson.php" TargetMode="External"/><Relationship Id="rId178" Type="http://schemas.openxmlformats.org/officeDocument/2006/relationships/hyperlink" Target="https://www.fantasypros.com/nfl/players/tyjae-spears.php" TargetMode="External"/><Relationship Id="rId299" Type="http://schemas.openxmlformats.org/officeDocument/2006/relationships/hyperlink" Target="https://www.fantasypros.com/nfl/players/drew-allar.php" TargetMode="External"/><Relationship Id="rId177" Type="http://schemas.openxmlformats.org/officeDocument/2006/relationships/hyperlink" Target="https://www.fantasypros.com/nfl/players/sam-darnold.php" TargetMode="External"/><Relationship Id="rId298" Type="http://schemas.openxmlformats.org/officeDocument/2006/relationships/hyperlink" Target="https://www.fantasypros.com/nfl/players/justin-joly.php" TargetMode="External"/><Relationship Id="rId20" Type="http://schemas.openxmlformats.org/officeDocument/2006/relationships/hyperlink" Target="https://www.fantasypros.com/nfl/players/omarion-hampton.php" TargetMode="External"/><Relationship Id="rId22" Type="http://schemas.openxmlformats.org/officeDocument/2006/relationships/hyperlink" Target="https://www.fantasypros.com/nfl/players/jonathan-taylor.php" TargetMode="External"/><Relationship Id="rId21" Type="http://schemas.openxmlformats.org/officeDocument/2006/relationships/hyperlink" Target="https://www.fantasypros.com/nfl/players/drake-london.php" TargetMode="External"/><Relationship Id="rId24" Type="http://schemas.openxmlformats.org/officeDocument/2006/relationships/hyperlink" Target="https://www.fantasypros.com/nfl/players/colston-loveland.php" TargetMode="External"/><Relationship Id="rId23" Type="http://schemas.openxmlformats.org/officeDocument/2006/relationships/hyperlink" Target="https://www.fantasypros.com/nfl/players/tetairoa-mcmillan.php" TargetMode="External"/><Relationship Id="rId26" Type="http://schemas.openxmlformats.org/officeDocument/2006/relationships/hyperlink" Target="https://www.fantasypros.com/nfl/players/jalen-hurts.php" TargetMode="External"/><Relationship Id="rId25" Type="http://schemas.openxmlformats.org/officeDocument/2006/relationships/hyperlink" Target="https://www.fantasypros.com/nfl/players/james-cook.php" TargetMode="External"/><Relationship Id="rId28" Type="http://schemas.openxmlformats.org/officeDocument/2006/relationships/hyperlink" Target="https://www.fantasypros.com/nfl/players/nico-collins.php" TargetMode="External"/><Relationship Id="rId27" Type="http://schemas.openxmlformats.org/officeDocument/2006/relationships/hyperlink" Target="https://www.fantasypros.com/nfl/players/george-pickens.php" TargetMode="External"/><Relationship Id="rId29" Type="http://schemas.openxmlformats.org/officeDocument/2006/relationships/hyperlink" Target="https://www.fantasypros.com/nfl/players/chris-olave.php" TargetMode="External"/><Relationship Id="rId11" Type="http://schemas.openxmlformats.org/officeDocument/2006/relationships/hyperlink" Target="https://www.fantasypros.com/nfl/players/joe-burrow.php" TargetMode="External"/><Relationship Id="rId10" Type="http://schemas.openxmlformats.org/officeDocument/2006/relationships/hyperlink" Target="https://www.fantasypros.com/nfl/players/brock-bowers.php" TargetMode="External"/><Relationship Id="rId13" Type="http://schemas.openxmlformats.org/officeDocument/2006/relationships/hyperlink" Target="https://www.fantasypros.com/nfl/players/justin-jefferson.php" TargetMode="External"/><Relationship Id="rId12" Type="http://schemas.openxmlformats.org/officeDocument/2006/relationships/hyperlink" Target="https://www.fantasypros.com/nfl/players/trey-mcbride.php" TargetMode="External"/><Relationship Id="rId15" Type="http://schemas.openxmlformats.org/officeDocument/2006/relationships/hyperlink" Target="https://www.fantasypros.com/nfl/players/jayden-daniels.php" TargetMode="External"/><Relationship Id="rId198" Type="http://schemas.openxmlformats.org/officeDocument/2006/relationships/hyperlink" Target="https://www.fantasypros.com/nfl/players/cade-otton.php" TargetMode="External"/><Relationship Id="rId14" Type="http://schemas.openxmlformats.org/officeDocument/2006/relationships/hyperlink" Target="https://www.fantasypros.com/nfl/players/ashton-jeanty.php" TargetMode="External"/><Relationship Id="rId197" Type="http://schemas.openxmlformats.org/officeDocument/2006/relationships/hyperlink" Target="https://www.fantasypros.com/nfl/players/bryce-young.php" TargetMode="External"/><Relationship Id="rId17" Type="http://schemas.openxmlformats.org/officeDocument/2006/relationships/hyperlink" Target="https://www.fantasypros.com/nfl/players/lamar-jackson.php" TargetMode="External"/><Relationship Id="rId196" Type="http://schemas.openxmlformats.org/officeDocument/2006/relationships/hyperlink" Target="https://www.fantasypros.com/nfl/players/kimani-vidal.php" TargetMode="External"/><Relationship Id="rId16" Type="http://schemas.openxmlformats.org/officeDocument/2006/relationships/hyperlink" Target="https://www.fantasypros.com/nfl/players/jeremiyah-love.php" TargetMode="External"/><Relationship Id="rId195" Type="http://schemas.openxmlformats.org/officeDocument/2006/relationships/hyperlink" Target="https://www.fantasypros.com/nfl/players/aaron-jones.php" TargetMode="External"/><Relationship Id="rId19" Type="http://schemas.openxmlformats.org/officeDocument/2006/relationships/hyperlink" Target="https://www.fantasypros.com/nfl/players/devon-achane.php" TargetMode="External"/><Relationship Id="rId18" Type="http://schemas.openxmlformats.org/officeDocument/2006/relationships/hyperlink" Target="https://www.fantasypros.com/nfl/players/ceedee-lamb.php" TargetMode="External"/><Relationship Id="rId199" Type="http://schemas.openxmlformats.org/officeDocument/2006/relationships/hyperlink" Target="https://www.fantasypros.com/nfl/players/nathaniel-dell.php" TargetMode="External"/><Relationship Id="rId84" Type="http://schemas.openxmlformats.org/officeDocument/2006/relationships/hyperlink" Target="https://www.fantasypros.com/nfl/players/dandre-swift.php" TargetMode="External"/><Relationship Id="rId83" Type="http://schemas.openxmlformats.org/officeDocument/2006/relationships/hyperlink" Target="https://www.fantasypros.com/nfl/players/wandale-robinson.php" TargetMode="External"/><Relationship Id="rId86" Type="http://schemas.openxmlformats.org/officeDocument/2006/relationships/hyperlink" Target="https://www.fantasypros.com/nfl/players/kenyon-sadiq.php" TargetMode="External"/><Relationship Id="rId85" Type="http://schemas.openxmlformats.org/officeDocument/2006/relationships/hyperlink" Target="https://www.fantasypros.com/nfl/players/dalton-kincaid.php" TargetMode="External"/><Relationship Id="rId88" Type="http://schemas.openxmlformats.org/officeDocument/2006/relationships/hyperlink" Target="https://www.fantasypros.com/nfl/players/dj-moore-wr.php" TargetMode="External"/><Relationship Id="rId150" Type="http://schemas.openxmlformats.org/officeDocument/2006/relationships/hyperlink" Target="https://www.fantasypros.com/nfl/players/gunnar-helm.php" TargetMode="External"/><Relationship Id="rId271" Type="http://schemas.openxmlformats.org/officeDocument/2006/relationships/hyperlink" Target="https://www.fantasypros.com/nfl/players/mike-gesicki.php" TargetMode="External"/><Relationship Id="rId87" Type="http://schemas.openxmlformats.org/officeDocument/2006/relationships/hyperlink" Target="https://www.fantasypros.com/nfl/players/kyle-monangai.php" TargetMode="External"/><Relationship Id="rId270" Type="http://schemas.openxmlformats.org/officeDocument/2006/relationships/hyperlink" Target="https://www.fantasypros.com/nfl/players/isaiah-davis.php" TargetMode="External"/><Relationship Id="rId89" Type="http://schemas.openxmlformats.org/officeDocument/2006/relationships/hyperlink" Target="https://www.fantasypros.com/nfl/players/davante-adams.php" TargetMode="External"/><Relationship Id="rId80" Type="http://schemas.openxmlformats.org/officeDocument/2006/relationships/hyperlink" Target="https://www.fantasypros.com/nfl/players/bhayshul-tuten.php" TargetMode="External"/><Relationship Id="rId82" Type="http://schemas.openxmlformats.org/officeDocument/2006/relationships/hyperlink" Target="https://www.fantasypros.com/nfl/players/christian-watson.php" TargetMode="External"/><Relationship Id="rId81" Type="http://schemas.openxmlformats.org/officeDocument/2006/relationships/hyperlink" Target="https://www.fantasypros.com/nfl/players/jordan-addison.php" TargetMode="External"/><Relationship Id="rId1" Type="http://schemas.openxmlformats.org/officeDocument/2006/relationships/hyperlink" Target="https://www.fantasypros.com/nfl/players/bijan-robinson.php" TargetMode="External"/><Relationship Id="rId2" Type="http://schemas.openxmlformats.org/officeDocument/2006/relationships/hyperlink" Target="https://www.fantasypros.com/nfl/players/jamarr-chase.php" TargetMode="External"/><Relationship Id="rId3" Type="http://schemas.openxmlformats.org/officeDocument/2006/relationships/hyperlink" Target="https://www.fantasypros.com/nfl/players/jahmyr-gibbs.php" TargetMode="External"/><Relationship Id="rId149" Type="http://schemas.openxmlformats.org/officeDocument/2006/relationships/hyperlink" Target="https://www.fantasypros.com/nfl/players/tre-harris.php" TargetMode="External"/><Relationship Id="rId4" Type="http://schemas.openxmlformats.org/officeDocument/2006/relationships/hyperlink" Target="https://www.fantasypros.com/nfl/players/puka-nacua.php" TargetMode="External"/><Relationship Id="rId148" Type="http://schemas.openxmlformats.org/officeDocument/2006/relationships/hyperlink" Target="https://www.fantasypros.com/nfl/players/emmett-johnson.php" TargetMode="External"/><Relationship Id="rId269" Type="http://schemas.openxmlformats.org/officeDocument/2006/relationships/hyperlink" Target="https://www.fantasypros.com/nfl/players/quinn-ewers.php" TargetMode="External"/><Relationship Id="rId9" Type="http://schemas.openxmlformats.org/officeDocument/2006/relationships/hyperlink" Target="https://www.fantasypros.com/nfl/players/drake-maye.php" TargetMode="External"/><Relationship Id="rId143" Type="http://schemas.openxmlformats.org/officeDocument/2006/relationships/hyperlink" Target="https://www.fantasypros.com/nfl/players/zachariah-branch.php" TargetMode="External"/><Relationship Id="rId264" Type="http://schemas.openxmlformats.org/officeDocument/2006/relationships/hyperlink" Target="https://www.fantasypros.com/nfl/players/deion-burks.php" TargetMode="External"/><Relationship Id="rId142" Type="http://schemas.openxmlformats.org/officeDocument/2006/relationships/hyperlink" Target="https://www.fantasypros.com/nfl/players/trey-benson.php" TargetMode="External"/><Relationship Id="rId263" Type="http://schemas.openxmlformats.org/officeDocument/2006/relationships/hyperlink" Target="https://www.fantasypros.com/nfl/players/donte-thornton-jr.php" TargetMode="External"/><Relationship Id="rId141" Type="http://schemas.openxmlformats.org/officeDocument/2006/relationships/hyperlink" Target="https://www.fantasypros.com/nfl/players/brandon-aiyuk.php" TargetMode="External"/><Relationship Id="rId262" Type="http://schemas.openxmlformats.org/officeDocument/2006/relationships/hyperlink" Target="https://www.fantasypros.com/nfl/players/jmari-taylor.php" TargetMode="External"/><Relationship Id="rId140" Type="http://schemas.openxmlformats.org/officeDocument/2006/relationships/hyperlink" Target="https://www.fantasypros.com/nfl/players/jonathon-brooks.php" TargetMode="External"/><Relationship Id="rId261" Type="http://schemas.openxmlformats.org/officeDocument/2006/relationships/hyperlink" Target="https://www.fantasypros.com/nfl/players/rashod-bateman.php" TargetMode="External"/><Relationship Id="rId5" Type="http://schemas.openxmlformats.org/officeDocument/2006/relationships/hyperlink" Target="https://www.fantasypros.com/nfl/players/jaxon-smith-njigba.php" TargetMode="External"/><Relationship Id="rId147" Type="http://schemas.openxmlformats.org/officeDocument/2006/relationships/hyperlink" Target="https://www.fantasypros.com/nfl/players/terrance-ferguson.php" TargetMode="External"/><Relationship Id="rId268" Type="http://schemas.openxmlformats.org/officeDocument/2006/relationships/hyperlink" Target="https://www.fantasypros.com/nfl/players/kaelon-black.php" TargetMode="External"/><Relationship Id="rId6" Type="http://schemas.openxmlformats.org/officeDocument/2006/relationships/hyperlink" Target="https://www.fantasypros.com/nfl/players/josh-allen-qb.php" TargetMode="External"/><Relationship Id="rId146" Type="http://schemas.openxmlformats.org/officeDocument/2006/relationships/hyperlink" Target="https://www.fantasypros.com/nfl/players/tj-hockenson.php" TargetMode="External"/><Relationship Id="rId267" Type="http://schemas.openxmlformats.org/officeDocument/2006/relationships/hyperlink" Target="https://www.fantasypros.com/nfl/players/carson-beck.php" TargetMode="External"/><Relationship Id="rId7" Type="http://schemas.openxmlformats.org/officeDocument/2006/relationships/hyperlink" Target="https://www.fantasypros.com/nfl/players/amonra-stbrown.php" TargetMode="External"/><Relationship Id="rId145" Type="http://schemas.openxmlformats.org/officeDocument/2006/relationships/hyperlink" Target="https://www.fantasypros.com/nfl/players/dallas-goedert.php" TargetMode="External"/><Relationship Id="rId266" Type="http://schemas.openxmlformats.org/officeDocument/2006/relationships/hyperlink" Target="https://www.fantasypros.com/nfl/players/cole-kmet.php" TargetMode="External"/><Relationship Id="rId8" Type="http://schemas.openxmlformats.org/officeDocument/2006/relationships/hyperlink" Target="https://www.fantasypros.com/nfl/players/malik-nabers.php" TargetMode="External"/><Relationship Id="rId144" Type="http://schemas.openxmlformats.org/officeDocument/2006/relationships/hyperlink" Target="https://www.fantasypros.com/nfl/players/jauan-jennings.php" TargetMode="External"/><Relationship Id="rId265" Type="http://schemas.openxmlformats.org/officeDocument/2006/relationships/hyperlink" Target="https://www.fantasypros.com/nfl/players/joe-mixon.php" TargetMode="External"/><Relationship Id="rId73" Type="http://schemas.openxmlformats.org/officeDocument/2006/relationships/hyperlink" Target="https://www.fantasypros.com/nfl/players/derrick-henry.php" TargetMode="External"/><Relationship Id="rId72" Type="http://schemas.openxmlformats.org/officeDocument/2006/relationships/hyperlink" Target="https://www.fantasypros.com/nfl/players/rj-harvey.php" TargetMode="External"/><Relationship Id="rId75" Type="http://schemas.openxmlformats.org/officeDocument/2006/relationships/hyperlink" Target="https://www.fantasypros.com/nfl/players/brock-purdy.php" TargetMode="External"/><Relationship Id="rId74" Type="http://schemas.openxmlformats.org/officeDocument/2006/relationships/hyperlink" Target="https://www.fantasypros.com/nfl/players/oronde-gadsden-ii.php" TargetMode="External"/><Relationship Id="rId77" Type="http://schemas.openxmlformats.org/officeDocument/2006/relationships/hyperlink" Target="https://www.fantasypros.com/nfl/players/alec-pierce.php" TargetMode="External"/><Relationship Id="rId260" Type="http://schemas.openxmlformats.org/officeDocument/2006/relationships/hyperlink" Target="https://www.fantasypros.com/nfl/players/marquise-brown.php" TargetMode="External"/><Relationship Id="rId76" Type="http://schemas.openxmlformats.org/officeDocument/2006/relationships/hyperlink" Target="https://www.fantasypros.com/nfl/players/kevin-concepcion.php" TargetMode="External"/><Relationship Id="rId79" Type="http://schemas.openxmlformats.org/officeDocument/2006/relationships/hyperlink" Target="https://www.fantasypros.com/nfl/players/omar-cooper-jr.php" TargetMode="External"/><Relationship Id="rId78" Type="http://schemas.openxmlformats.org/officeDocument/2006/relationships/hyperlink" Target="https://www.fantasypros.com/nfl/players/michael-wilson.php" TargetMode="External"/><Relationship Id="rId71" Type="http://schemas.openxmlformats.org/officeDocument/2006/relationships/hyperlink" Target="https://www.fantasypros.com/nfl/players/jadarian-price.php" TargetMode="External"/><Relationship Id="rId70" Type="http://schemas.openxmlformats.org/officeDocument/2006/relationships/hyperlink" Target="https://www.fantasypros.com/nfl/players/jaylen-waddle.php" TargetMode="External"/><Relationship Id="rId139" Type="http://schemas.openxmlformats.org/officeDocument/2006/relationships/hyperlink" Target="https://www.fantasypros.com/nfl/players/mark-andrews.php" TargetMode="External"/><Relationship Id="rId138" Type="http://schemas.openxmlformats.org/officeDocument/2006/relationships/hyperlink" Target="https://www.fantasypros.com/nfl/players/elijah-sarratt.php" TargetMode="External"/><Relationship Id="rId259" Type="http://schemas.openxmlformats.org/officeDocument/2006/relationships/hyperlink" Target="https://www.fantasypros.com/nfl/players/dontayvion-wicks.php" TargetMode="External"/><Relationship Id="rId137" Type="http://schemas.openxmlformats.org/officeDocument/2006/relationships/hyperlink" Target="https://www.fantasypros.com/nfl/players/jalen-mcmillan.php" TargetMode="External"/><Relationship Id="rId258" Type="http://schemas.openxmlformats.org/officeDocument/2006/relationships/hyperlink" Target="https://www.fantasypros.com/nfl/players/lequint-allen-jr.php" TargetMode="External"/><Relationship Id="rId132" Type="http://schemas.openxmlformats.org/officeDocument/2006/relationships/hyperlink" Target="https://www.fantasypros.com/nfl/players/jk-dobbins.php" TargetMode="External"/><Relationship Id="rId253" Type="http://schemas.openxmlformats.org/officeDocument/2006/relationships/hyperlink" Target="https://www.fantasypros.com/nfl/players/tyler-shough.php" TargetMode="External"/><Relationship Id="rId131" Type="http://schemas.openxmlformats.org/officeDocument/2006/relationships/hyperlink" Target="https://www.fantasypros.com/nfl/players/woody-marks.php" TargetMode="External"/><Relationship Id="rId252" Type="http://schemas.openxmlformats.org/officeDocument/2006/relationships/hyperlink" Target="https://www.fantasypros.com/nfl/players/calvin-ridley.php" TargetMode="External"/><Relationship Id="rId130" Type="http://schemas.openxmlformats.org/officeDocument/2006/relationships/hyperlink" Target="https://www.fantasypros.com/nfl/players/juwan-johnson.php" TargetMode="External"/><Relationship Id="rId251" Type="http://schemas.openxmlformats.org/officeDocument/2006/relationships/hyperlink" Target="https://www.fantasypros.com/nfl/players/marvin-mims.php" TargetMode="External"/><Relationship Id="rId250" Type="http://schemas.openxmlformats.org/officeDocument/2006/relationships/hyperlink" Target="https://www.fantasypros.com/nfl/players/ryan-flournoy.php" TargetMode="External"/><Relationship Id="rId136" Type="http://schemas.openxmlformats.org/officeDocument/2006/relationships/hyperlink" Target="https://www.fantasypros.com/nfl/players/jacory-croskeymerritt.php" TargetMode="External"/><Relationship Id="rId257" Type="http://schemas.openxmlformats.org/officeDocument/2006/relationships/hyperlink" Target="https://www.fantasypros.com/nfl/players/demond-claiborne.php" TargetMode="External"/><Relationship Id="rId135" Type="http://schemas.openxmlformats.org/officeDocument/2006/relationships/hyperlink" Target="https://www.fantasypros.com/nfl/players/kenneth-gainwell.php" TargetMode="External"/><Relationship Id="rId256" Type="http://schemas.openxmlformats.org/officeDocument/2006/relationships/hyperlink" Target="https://www.fantasypros.com/nfl/players/christian-kirk.php" TargetMode="External"/><Relationship Id="rId134" Type="http://schemas.openxmlformats.org/officeDocument/2006/relationships/hyperlink" Target="https://www.fantasypros.com/nfl/players/khalil-shakir.php" TargetMode="External"/><Relationship Id="rId255" Type="http://schemas.openxmlformats.org/officeDocument/2006/relationships/hyperlink" Target="https://www.fantasypros.com/nfl/players/jam-miller.php" TargetMode="External"/><Relationship Id="rId133" Type="http://schemas.openxmlformats.org/officeDocument/2006/relationships/hyperlink" Target="https://www.fantasypros.com/nfl/players/aj-barner.php" TargetMode="External"/><Relationship Id="rId254" Type="http://schemas.openxmlformats.org/officeDocument/2006/relationships/hyperlink" Target="https://www.fantasypros.com/nfl/players/ben-sinnott.php" TargetMode="External"/><Relationship Id="rId62" Type="http://schemas.openxmlformats.org/officeDocument/2006/relationships/hyperlink" Target="https://www.fantasypros.com/nfl/players/jameson-williams.php" TargetMode="External"/><Relationship Id="rId61" Type="http://schemas.openxmlformats.org/officeDocument/2006/relationships/hyperlink" Target="https://www.fantasypros.com/nfl/players/sam-laporta.php" TargetMode="External"/><Relationship Id="rId64" Type="http://schemas.openxmlformats.org/officeDocument/2006/relationships/hyperlink" Target="https://www.fantasypros.com/nfl/players/josh-jacobs.php" TargetMode="External"/><Relationship Id="rId63" Type="http://schemas.openxmlformats.org/officeDocument/2006/relationships/hyperlink" Target="https://www.fantasypros.com/nfl/players/javonte-williams.php" TargetMode="External"/><Relationship Id="rId66" Type="http://schemas.openxmlformats.org/officeDocument/2006/relationships/hyperlink" Target="https://www.fantasypros.com/nfl/players/travis-etienne.php" TargetMode="External"/><Relationship Id="rId172" Type="http://schemas.openxmlformats.org/officeDocument/2006/relationships/hyperlink" Target="https://www.fantasypros.com/nfl/players/ty-simpson.php" TargetMode="External"/><Relationship Id="rId293" Type="http://schemas.openxmlformats.org/officeDocument/2006/relationships/hyperlink" Target="https://www.fantasypros.com/nfl/players/trebor-pena.php" TargetMode="External"/><Relationship Id="rId65" Type="http://schemas.openxmlformats.org/officeDocument/2006/relationships/hyperlink" Target="https://www.fantasypros.com/nfl/players/trevor-lawrence.php" TargetMode="External"/><Relationship Id="rId171" Type="http://schemas.openxmlformats.org/officeDocument/2006/relationships/hyperlink" Target="https://www.fantasypros.com/nfl/players/chimere-dike.php" TargetMode="External"/><Relationship Id="rId292" Type="http://schemas.openxmlformats.org/officeDocument/2006/relationships/hyperlink" Target="https://www.fantasypros.com/nfl/players/riley-leonard.php" TargetMode="External"/><Relationship Id="rId68" Type="http://schemas.openxmlformats.org/officeDocument/2006/relationships/hyperlink" Target="https://www.fantasypros.com/nfl/players/cam-skattebo.php" TargetMode="External"/><Relationship Id="rId170" Type="http://schemas.openxmlformats.org/officeDocument/2006/relationships/hyperlink" Target="https://www.fantasypros.com/nfl/players/nick-singleton.php" TargetMode="External"/><Relationship Id="rId291" Type="http://schemas.openxmlformats.org/officeDocument/2006/relationships/hyperlink" Target="https://www.fantasypros.com/nfl/players/marcus-mariota.php" TargetMode="External"/><Relationship Id="rId67" Type="http://schemas.openxmlformats.org/officeDocument/2006/relationships/hyperlink" Target="https://www.fantasypros.com/nfl/players/devonta-smith.php" TargetMode="External"/><Relationship Id="rId290" Type="http://schemas.openxmlformats.org/officeDocument/2006/relationships/hyperlink" Target="https://www.fantasypros.com/nfl/players/dane-key.php" TargetMode="External"/><Relationship Id="rId60" Type="http://schemas.openxmlformats.org/officeDocument/2006/relationships/hyperlink" Target="https://www.fantasypros.com/nfl/players/bo-nix.php" TargetMode="External"/><Relationship Id="rId165" Type="http://schemas.openxmlformats.org/officeDocument/2006/relationships/hyperlink" Target="https://www.fantasypros.com/nfl/players/tyrone-tracy-jr.php" TargetMode="External"/><Relationship Id="rId286" Type="http://schemas.openxmlformats.org/officeDocument/2006/relationships/hyperlink" Target="https://www.fantasypros.com/nfl/players/bryce-lance.php" TargetMode="External"/><Relationship Id="rId69" Type="http://schemas.openxmlformats.org/officeDocument/2006/relationships/hyperlink" Target="https://www.fantasypros.com/nfl/players/kyle-pitts.php" TargetMode="External"/><Relationship Id="rId164" Type="http://schemas.openxmlformats.org/officeDocument/2006/relationships/hyperlink" Target="https://www.fantasypros.com/nfl/players/hunter-henry.php" TargetMode="External"/><Relationship Id="rId285" Type="http://schemas.openxmlformats.org/officeDocument/2006/relationships/hyperlink" Target="https://www.fantasypros.com/nfl/players/keenan-allen.php" TargetMode="External"/><Relationship Id="rId163" Type="http://schemas.openxmlformats.org/officeDocument/2006/relationships/hyperlink" Target="https://www.fantasypros.com/nfl/players/dalton-schultz.php" TargetMode="External"/><Relationship Id="rId284" Type="http://schemas.openxmlformats.org/officeDocument/2006/relationships/hyperlink" Target="https://www.fantasypros.com/nfl/players/roman-hemby.php" TargetMode="External"/><Relationship Id="rId162" Type="http://schemas.openxmlformats.org/officeDocument/2006/relationships/hyperlink" Target="https://www.fantasypros.com/nfl/players/theo-johnson.php" TargetMode="External"/><Relationship Id="rId283" Type="http://schemas.openxmlformats.org/officeDocument/2006/relationships/hyperlink" Target="https://www.fantasypros.com/nfl/players/jack-endries.php" TargetMode="External"/><Relationship Id="rId169" Type="http://schemas.openxmlformats.org/officeDocument/2006/relationships/hyperlink" Target="https://www.fantasypros.com/nfl/players/braelon-allen.php" TargetMode="External"/><Relationship Id="rId168" Type="http://schemas.openxmlformats.org/officeDocument/2006/relationships/hyperlink" Target="https://www.fantasypros.com/nfl/players/chigoziem-okonkwo.php" TargetMode="External"/><Relationship Id="rId289" Type="http://schemas.openxmlformats.org/officeDocument/2006/relationships/hyperlink" Target="https://www.fantasypros.com/nfl/players/trevor-etienne.php" TargetMode="External"/><Relationship Id="rId167" Type="http://schemas.openxmlformats.org/officeDocument/2006/relationships/hyperlink" Target="https://www.fantasypros.com/nfl/players/kayshon-boutte.php" TargetMode="External"/><Relationship Id="rId288" Type="http://schemas.openxmlformats.org/officeDocument/2006/relationships/hyperlink" Target="https://www.fantasypros.com/nfl/players/noah-thomas.php" TargetMode="External"/><Relationship Id="rId166" Type="http://schemas.openxmlformats.org/officeDocument/2006/relationships/hyperlink" Target="https://www.fantasypros.com/nfl/players/rachaad-white.php" TargetMode="External"/><Relationship Id="rId287" Type="http://schemas.openxmlformats.org/officeDocument/2006/relationships/hyperlink" Target="https://www.fantasypros.com/nfl/players/demario-douglas.php" TargetMode="External"/><Relationship Id="rId51" Type="http://schemas.openxmlformats.org/officeDocument/2006/relationships/hyperlink" Target="https://www.fantasypros.com/nfl/players/aj-brown.php" TargetMode="External"/><Relationship Id="rId50" Type="http://schemas.openxmlformats.org/officeDocument/2006/relationships/hyperlink" Target="https://www.fantasypros.com/nfl/players/marvin-harrison-jr.php" TargetMode="External"/><Relationship Id="rId53" Type="http://schemas.openxmlformats.org/officeDocument/2006/relationships/hyperlink" Target="https://www.fantasypros.com/nfl/players/justin-herbert.php" TargetMode="External"/><Relationship Id="rId52" Type="http://schemas.openxmlformats.org/officeDocument/2006/relationships/hyperlink" Target="https://www.fantasypros.com/nfl/players/caleb-williams.php" TargetMode="External"/><Relationship Id="rId55" Type="http://schemas.openxmlformats.org/officeDocument/2006/relationships/hyperlink" Target="https://www.fantasypros.com/nfl/players/jaxson-dart.php" TargetMode="External"/><Relationship Id="rId161" Type="http://schemas.openxmlformats.org/officeDocument/2006/relationships/hyperlink" Target="https://www.fantasypros.com/nfl/players/matthew-stafford.php" TargetMode="External"/><Relationship Id="rId282" Type="http://schemas.openxmlformats.org/officeDocument/2006/relationships/hyperlink" Target="https://www.fantasypros.com/nfl/players/cooper-kupp.php" TargetMode="External"/><Relationship Id="rId54" Type="http://schemas.openxmlformats.org/officeDocument/2006/relationships/hyperlink" Target="https://www.fantasypros.com/nfl/players/tee-higgins.php" TargetMode="External"/><Relationship Id="rId160" Type="http://schemas.openxmlformats.org/officeDocument/2006/relationships/hyperlink" Target="https://www.fantasypros.com/nfl/players/daniel-jones.php" TargetMode="External"/><Relationship Id="rId281" Type="http://schemas.openxmlformats.org/officeDocument/2006/relationships/hyperlink" Target="https://www.fantasypros.com/nfl/players/darnell-washington.php" TargetMode="External"/><Relationship Id="rId57" Type="http://schemas.openxmlformats.org/officeDocument/2006/relationships/hyperlink" Target="https://www.fantasypros.com/nfl/players/kyren-williams.php" TargetMode="External"/><Relationship Id="rId280" Type="http://schemas.openxmlformats.org/officeDocument/2006/relationships/hyperlink" Target="https://www.fantasypros.com/nfl/players/eli-heidenreich.php" TargetMode="External"/><Relationship Id="rId56" Type="http://schemas.openxmlformats.org/officeDocument/2006/relationships/hyperlink" Target="https://www.fantasypros.com/nfl/players/brian-thomas-jr.php" TargetMode="External"/><Relationship Id="rId159" Type="http://schemas.openxmlformats.org/officeDocument/2006/relationships/hyperlink" Target="https://www.fantasypros.com/nfl/players/troy-franklin.php" TargetMode="External"/><Relationship Id="rId59" Type="http://schemas.openxmlformats.org/officeDocument/2006/relationships/hyperlink" Target="https://www.fantasypros.com/nfl/players/makai-lemon.php" TargetMode="External"/><Relationship Id="rId154" Type="http://schemas.openxmlformats.org/officeDocument/2006/relationships/hyperlink" Target="https://www.fantasypros.com/nfl/players/travis-kelce.php" TargetMode="External"/><Relationship Id="rId275" Type="http://schemas.openxmlformats.org/officeDocument/2006/relationships/hyperlink" Target="https://www.fantasypros.com/nfl/players/tyquan-thornton.php" TargetMode="External"/><Relationship Id="rId58" Type="http://schemas.openxmlformats.org/officeDocument/2006/relationships/hyperlink" Target="https://www.fantasypros.com/nfl/players/zay-flowers.php" TargetMode="External"/><Relationship Id="rId153" Type="http://schemas.openxmlformats.org/officeDocument/2006/relationships/hyperlink" Target="https://www.fantasypros.com/nfl/players/jordan-mason.php" TargetMode="External"/><Relationship Id="rId274" Type="http://schemas.openxmlformats.org/officeDocument/2006/relationships/hyperlink" Target="https://www.fantasypros.com/nfl/players/cedric-tillman.php" TargetMode="External"/><Relationship Id="rId152" Type="http://schemas.openxmlformats.org/officeDocument/2006/relationships/hyperlink" Target="https://www.fantasypros.com/nfl/players/tony-pollard.php" TargetMode="External"/><Relationship Id="rId273" Type="http://schemas.openxmlformats.org/officeDocument/2006/relationships/hyperlink" Target="https://www.fantasypros.com/nfl/players/deshaun-watson.php" TargetMode="External"/><Relationship Id="rId151" Type="http://schemas.openxmlformats.org/officeDocument/2006/relationships/hyperlink" Target="https://www.fantasypros.com/nfl/players/michael-penix-jr.php" TargetMode="External"/><Relationship Id="rId272" Type="http://schemas.openxmlformats.org/officeDocument/2006/relationships/hyperlink" Target="https://www.fantasypros.com/nfl/players/noah-gray.php" TargetMode="External"/><Relationship Id="rId158" Type="http://schemas.openxmlformats.org/officeDocument/2006/relationships/hyperlink" Target="https://www.fantasypros.com/nfl/players/pat-bryant.php" TargetMode="External"/><Relationship Id="rId279" Type="http://schemas.openxmlformats.org/officeDocument/2006/relationships/hyperlink" Target="https://www.fantasypros.com/nfl/players/jalen-royals.php" TargetMode="External"/><Relationship Id="rId157" Type="http://schemas.openxmlformats.org/officeDocument/2006/relationships/hyperlink" Target="https://www.fantasypros.com/nfl/players/jared-goff.php" TargetMode="External"/><Relationship Id="rId278" Type="http://schemas.openxmlformats.org/officeDocument/2006/relationships/hyperlink" Target="https://www.fantasypros.com/nfl/players/jahan-dotson.php" TargetMode="External"/><Relationship Id="rId156" Type="http://schemas.openxmlformats.org/officeDocument/2006/relationships/hyperlink" Target="https://www.fantasypros.com/nfl/players/jordan-love.php" TargetMode="External"/><Relationship Id="rId277" Type="http://schemas.openxmlformats.org/officeDocument/2006/relationships/hyperlink" Target="https://www.fantasypros.com/nfl/players/shedeur-sanders.php" TargetMode="External"/><Relationship Id="rId155" Type="http://schemas.openxmlformats.org/officeDocument/2006/relationships/hyperlink" Target="https://www.fantasypros.com/nfl/players/rashid-shaheed.php" TargetMode="External"/><Relationship Id="rId276" Type="http://schemas.openxmlformats.org/officeDocument/2006/relationships/hyperlink" Target="https://www.fantasypros.com/nfl/players/kendre-miller.php" TargetMode="External"/><Relationship Id="rId107" Type="http://schemas.openxmlformats.org/officeDocument/2006/relationships/hyperlink" Target="https://www.fantasypros.com/nfl/players/tyler-allgeier.php" TargetMode="External"/><Relationship Id="rId228" Type="http://schemas.openxmlformats.org/officeDocument/2006/relationships/hyperlink" Target="https://www.fantasypros.com/nfl/players/michael-trigg.php" TargetMode="External"/><Relationship Id="rId106" Type="http://schemas.openxmlformats.org/officeDocument/2006/relationships/hyperlink" Target="https://www.fantasypros.com/nfl/players/chuba-hubbard.php" TargetMode="External"/><Relationship Id="rId227" Type="http://schemas.openxmlformats.org/officeDocument/2006/relationships/hyperlink" Target="https://www.fantasypros.com/nfl/players/tory-horton.php" TargetMode="External"/><Relationship Id="rId105" Type="http://schemas.openxmlformats.org/officeDocument/2006/relationships/hyperlink" Target="https://www.fantasypros.com/nfl/players/mike-evans.php" TargetMode="External"/><Relationship Id="rId226" Type="http://schemas.openxmlformats.org/officeDocument/2006/relationships/hyperlink" Target="https://www.fantasypros.com/nfl/players/darnell-mooney.php" TargetMode="External"/><Relationship Id="rId104" Type="http://schemas.openxmlformats.org/officeDocument/2006/relationships/hyperlink" Target="https://www.fantasypros.com/nfl/players/michael-pittman.php" TargetMode="External"/><Relationship Id="rId225" Type="http://schemas.openxmlformats.org/officeDocument/2006/relationships/hyperlink" Target="https://www.fantasypros.com/nfl/players/cj-daniels.php" TargetMode="External"/><Relationship Id="rId109" Type="http://schemas.openxmlformats.org/officeDocument/2006/relationships/hyperlink" Target="https://www.fantasypros.com/nfl/players/courtland-sutton.php" TargetMode="External"/><Relationship Id="rId108" Type="http://schemas.openxmlformats.org/officeDocument/2006/relationships/hyperlink" Target="https://www.fantasypros.com/nfl/players/quentin-johnston.php" TargetMode="External"/><Relationship Id="rId229" Type="http://schemas.openxmlformats.org/officeDocument/2006/relationships/hyperlink" Target="https://www.fantasypros.com/nfl/players/jaydon-blue.php" TargetMode="External"/><Relationship Id="rId220" Type="http://schemas.openxmlformats.org/officeDocument/2006/relationships/hyperlink" Target="https://www.fantasypros.com/nfl/players/adam-randall.php" TargetMode="External"/><Relationship Id="rId103" Type="http://schemas.openxmlformats.org/officeDocument/2006/relationships/hyperlink" Target="https://www.fantasypros.com/nfl/players/jaylen-warren.php" TargetMode="External"/><Relationship Id="rId224" Type="http://schemas.openxmlformats.org/officeDocument/2006/relationships/hyperlink" Target="https://www.fantasypros.com/nfl/players/aaron-rodgers.php" TargetMode="External"/><Relationship Id="rId102" Type="http://schemas.openxmlformats.org/officeDocument/2006/relationships/hyperlink" Target="https://www.fantasypros.com/nfl/players/dk-metcalf.php" TargetMode="External"/><Relationship Id="rId223" Type="http://schemas.openxmlformats.org/officeDocument/2006/relationships/hyperlink" Target="https://www.fantasypros.com/nfl/players/malik-washington.php" TargetMode="External"/><Relationship Id="rId101" Type="http://schemas.openxmlformats.org/officeDocument/2006/relationships/hyperlink" Target="https://www.fantasypros.com/nfl/players/jayden-higgins.php" TargetMode="External"/><Relationship Id="rId222" Type="http://schemas.openxmlformats.org/officeDocument/2006/relationships/hyperlink" Target="https://www.fantasypros.com/nfl/players/tre-tucker.php" TargetMode="External"/><Relationship Id="rId100" Type="http://schemas.openxmlformats.org/officeDocument/2006/relationships/hyperlink" Target="https://www.fantasypros.com/nfl/players/zach-charbonnet.php" TargetMode="External"/><Relationship Id="rId221" Type="http://schemas.openxmlformats.org/officeDocument/2006/relationships/hyperlink" Target="https://www.fantasypros.com/nfl/players/colby-parkinson.php" TargetMode="External"/><Relationship Id="rId217" Type="http://schemas.openxmlformats.org/officeDocument/2006/relationships/hyperlink" Target="https://www.fantasypros.com/nfl/players/sean-tucker.php" TargetMode="External"/><Relationship Id="rId216" Type="http://schemas.openxmlformats.org/officeDocument/2006/relationships/hyperlink" Target="https://www.fantasypros.com/nfl/players/ollie-gordon.php" TargetMode="External"/><Relationship Id="rId215" Type="http://schemas.openxmlformats.org/officeDocument/2006/relationships/hyperlink" Target="https://www.fantasypros.com/nfl/players/brenen-thompson.php" TargetMode="External"/><Relationship Id="rId214" Type="http://schemas.openxmlformats.org/officeDocument/2006/relationships/hyperlink" Target="https://www.fantasypros.com/nfl/players/jack-bech.php" TargetMode="External"/><Relationship Id="rId219" Type="http://schemas.openxmlformats.org/officeDocument/2006/relationships/hyperlink" Target="https://www.fantasypros.com/nfl/players/max-klare.php" TargetMode="External"/><Relationship Id="rId218" Type="http://schemas.openxmlformats.org/officeDocument/2006/relationships/hyperlink" Target="https://www.fantasypros.com/nfl/players/michael-mayer.php" TargetMode="External"/><Relationship Id="rId213" Type="http://schemas.openxmlformats.org/officeDocument/2006/relationships/hyperlink" Target="https://www.fantasypros.com/nfl/players/jalen-milroe.php" TargetMode="External"/><Relationship Id="rId212" Type="http://schemas.openxmlformats.org/officeDocument/2006/relationships/hyperlink" Target="https://www.fantasypros.com/nfl/players/mike-washington-jr.php" TargetMode="External"/><Relationship Id="rId211" Type="http://schemas.openxmlformats.org/officeDocument/2006/relationships/hyperlink" Target="https://www.fantasypros.com/nfl/players/chris-rodriguez-jr.php" TargetMode="External"/><Relationship Id="rId210" Type="http://schemas.openxmlformats.org/officeDocument/2006/relationships/hyperlink" Target="https://www.fantasypros.com/nfl/players/devin-neal.php" TargetMode="External"/><Relationship Id="rId129" Type="http://schemas.openxmlformats.org/officeDocument/2006/relationships/hyperlink" Target="https://www.fantasypros.com/nfl/players/chris-godwin.php" TargetMode="External"/><Relationship Id="rId128" Type="http://schemas.openxmlformats.org/officeDocument/2006/relationships/hyperlink" Target="https://www.fantasypros.com/nfl/players/chris-brazzell-ii.php" TargetMode="External"/><Relationship Id="rId249" Type="http://schemas.openxmlformats.org/officeDocument/2006/relationships/hyperlink" Target="https://www.fantasypros.com/nfl/players/will-howard.php" TargetMode="External"/><Relationship Id="rId127" Type="http://schemas.openxmlformats.org/officeDocument/2006/relationships/hyperlink" Target="https://www.fantasypros.com/nfl/players/jonah-coleman.php" TargetMode="External"/><Relationship Id="rId248" Type="http://schemas.openxmlformats.org/officeDocument/2006/relationships/hyperlink" Target="https://www.fantasypros.com/nfl/players/xavier-legette.php" TargetMode="External"/><Relationship Id="rId126" Type="http://schemas.openxmlformats.org/officeDocument/2006/relationships/hyperlink" Target="https://www.fantasypros.com/nfl/players/josh-downs.php" TargetMode="External"/><Relationship Id="rId247" Type="http://schemas.openxmlformats.org/officeDocument/2006/relationships/hyperlink" Target="https://www.fantasypros.com/nfl/players/najee-harris-rb.php" TargetMode="External"/><Relationship Id="rId121" Type="http://schemas.openxmlformats.org/officeDocument/2006/relationships/hyperlink" Target="https://www.fantasypros.com/nfl/players/germie-bernard.php" TargetMode="External"/><Relationship Id="rId242" Type="http://schemas.openxmlformats.org/officeDocument/2006/relationships/hyperlink" Target="https://www.fantasypros.com/nfl/players/oscar-delp.php" TargetMode="External"/><Relationship Id="rId120" Type="http://schemas.openxmlformats.org/officeDocument/2006/relationships/hyperlink" Target="https://www.fantasypros.com/nfl/players/rhamondre-stevenson.php" TargetMode="External"/><Relationship Id="rId241" Type="http://schemas.openxmlformats.org/officeDocument/2006/relationships/hyperlink" Target="https://www.fantasypros.com/nfl/players/jordan-james.php" TargetMode="External"/><Relationship Id="rId240" Type="http://schemas.openxmlformats.org/officeDocument/2006/relationships/hyperlink" Target="https://www.fantasypros.com/nfl/players/cam-ward.php" TargetMode="External"/><Relationship Id="rId125" Type="http://schemas.openxmlformats.org/officeDocument/2006/relationships/hyperlink" Target="https://www.fantasypros.com/nfl/players/jalen-coker.php" TargetMode="External"/><Relationship Id="rId246" Type="http://schemas.openxmlformats.org/officeDocument/2006/relationships/hyperlink" Target="https://www.fantasypros.com/nfl/players/jatavion-sanders.php" TargetMode="External"/><Relationship Id="rId124" Type="http://schemas.openxmlformats.org/officeDocument/2006/relationships/hyperlink" Target="https://www.fantasypros.com/nfl/players/mason-taylor.php" TargetMode="External"/><Relationship Id="rId245" Type="http://schemas.openxmlformats.org/officeDocument/2006/relationships/hyperlink" Target="https://www.fantasypros.com/nfl/players/devaughn-vele.php" TargetMode="External"/><Relationship Id="rId123" Type="http://schemas.openxmlformats.org/officeDocument/2006/relationships/hyperlink" Target="https://www.fantasypros.com/nfl/players/jayden-reed.php" TargetMode="External"/><Relationship Id="rId244" Type="http://schemas.openxmlformats.org/officeDocument/2006/relationships/hyperlink" Target="https://www.fantasypros.com/nfl/players/kirk-cousins.php" TargetMode="External"/><Relationship Id="rId122" Type="http://schemas.openxmlformats.org/officeDocument/2006/relationships/hyperlink" Target="https://www.fantasypros.com/nfl/players/cj-stroud.php" TargetMode="External"/><Relationship Id="rId243" Type="http://schemas.openxmlformats.org/officeDocument/2006/relationships/hyperlink" Target="https://www.fantasypros.com/nfl/players/jj-mccarthy.php" TargetMode="External"/><Relationship Id="rId95" Type="http://schemas.openxmlformats.org/officeDocument/2006/relationships/hyperlink" Target="https://www.fantasypros.com/nfl/players/parker-washington.php" TargetMode="External"/><Relationship Id="rId94" Type="http://schemas.openxmlformats.org/officeDocument/2006/relationships/hyperlink" Target="https://www.fantasypros.com/nfl/players/baker-mayfield.php" TargetMode="External"/><Relationship Id="rId97" Type="http://schemas.openxmlformats.org/officeDocument/2006/relationships/hyperlink" Target="https://www.fantasypros.com/nfl/players/denzel-boston.php" TargetMode="External"/><Relationship Id="rId96" Type="http://schemas.openxmlformats.org/officeDocument/2006/relationships/hyperlink" Target="https://www.fantasypros.com/nfl/players/travis-hunter.php" TargetMode="External"/><Relationship Id="rId99" Type="http://schemas.openxmlformats.org/officeDocument/2006/relationships/hyperlink" Target="https://www.fantasypros.com/nfl/players/george-kittle.php" TargetMode="External"/><Relationship Id="rId98" Type="http://schemas.openxmlformats.org/officeDocument/2006/relationships/hyperlink" Target="https://www.fantasypros.com/nfl/players/fernando-mendoza.php" TargetMode="External"/><Relationship Id="rId91" Type="http://schemas.openxmlformats.org/officeDocument/2006/relationships/hyperlink" Target="https://www.fantasypros.com/nfl/players/jake-ferguson.php" TargetMode="External"/><Relationship Id="rId90" Type="http://schemas.openxmlformats.org/officeDocument/2006/relationships/hyperlink" Target="https://www.fantasypros.com/nfl/players/terry-mclaurin.php" TargetMode="External"/><Relationship Id="rId93" Type="http://schemas.openxmlformats.org/officeDocument/2006/relationships/hyperlink" Target="https://www.fantasypros.com/nfl/players/brenton-strange.php" TargetMode="External"/><Relationship Id="rId92" Type="http://schemas.openxmlformats.org/officeDocument/2006/relationships/hyperlink" Target="https://www.fantasypros.com/nfl/players/david-montgomery.php" TargetMode="External"/><Relationship Id="rId118" Type="http://schemas.openxmlformats.org/officeDocument/2006/relationships/hyperlink" Target="https://www.fantasypros.com/nfl/players/chris-bell.php" TargetMode="External"/><Relationship Id="rId239" Type="http://schemas.openxmlformats.org/officeDocument/2006/relationships/hyperlink" Target="https://www.fantasypros.com/nfl/players/evan-engram.php" TargetMode="External"/><Relationship Id="rId117" Type="http://schemas.openxmlformats.org/officeDocument/2006/relationships/hyperlink" Target="https://www.fantasypros.com/nfl/players/eli-stowers.php" TargetMode="External"/><Relationship Id="rId238" Type="http://schemas.openxmlformats.org/officeDocument/2006/relationships/hyperlink" Target="https://www.fantasypros.com/nfl/players/dj-giddens.php" TargetMode="External"/><Relationship Id="rId116" Type="http://schemas.openxmlformats.org/officeDocument/2006/relationships/hyperlink" Target="https://www.fantasypros.com/nfl/players/rico-dowdle.php" TargetMode="External"/><Relationship Id="rId237" Type="http://schemas.openxmlformats.org/officeDocument/2006/relationships/hyperlink" Target="https://www.fantasypros.com/nfl/players/brashard-smith.php" TargetMode="External"/><Relationship Id="rId115" Type="http://schemas.openxmlformats.org/officeDocument/2006/relationships/hyperlink" Target="https://www.fantasypros.com/nfl/players/xavier-worthy.php" TargetMode="External"/><Relationship Id="rId236" Type="http://schemas.openxmlformats.org/officeDocument/2006/relationships/hyperlink" Target="https://www.fantasypros.com/nfl/players/tez-johnson.php" TargetMode="External"/><Relationship Id="rId119" Type="http://schemas.openxmlformats.org/officeDocument/2006/relationships/hyperlink" Target="https://www.fantasypros.com/nfl/players/romeo-doubs.php" TargetMode="External"/><Relationship Id="rId110" Type="http://schemas.openxmlformats.org/officeDocument/2006/relationships/hyperlink" Target="https://www.fantasypros.com/nfl/players/matthew-golden.php" TargetMode="External"/><Relationship Id="rId231" Type="http://schemas.openxmlformats.org/officeDocument/2006/relationships/hyperlink" Target="https://www.fantasypros.com/nfl/players/ray-davis.php" TargetMode="External"/><Relationship Id="rId230" Type="http://schemas.openxmlformats.org/officeDocument/2006/relationships/hyperlink" Target="https://www.fantasypros.com/nfl/players/jaylen-wright.php" TargetMode="External"/><Relationship Id="rId114" Type="http://schemas.openxmlformats.org/officeDocument/2006/relationships/hyperlink" Target="https://www.fantasypros.com/nfl/players/jakobi-meyers.php" TargetMode="External"/><Relationship Id="rId235" Type="http://schemas.openxmlformats.org/officeDocument/2006/relationships/hyperlink" Target="https://www.fantasypros.com/nfl/players/kaytron-allen.php" TargetMode="External"/><Relationship Id="rId113" Type="http://schemas.openxmlformats.org/officeDocument/2006/relationships/hyperlink" Target="https://www.fantasypros.com/nfl/players/isaiah-likely.php" TargetMode="External"/><Relationship Id="rId234" Type="http://schemas.openxmlformats.org/officeDocument/2006/relationships/hyperlink" Target="https://www.fantasypros.com/nfl/players/kyler-murray.php" TargetMode="External"/><Relationship Id="rId112" Type="http://schemas.openxmlformats.org/officeDocument/2006/relationships/hyperlink" Target="https://www.fantasypros.com/nfl/players/dak-prescott.php" TargetMode="External"/><Relationship Id="rId233" Type="http://schemas.openxmlformats.org/officeDocument/2006/relationships/hyperlink" Target="https://www.fantasypros.com/nfl/players/isaiah-bond.php" TargetMode="External"/><Relationship Id="rId111" Type="http://schemas.openxmlformats.org/officeDocument/2006/relationships/hyperlink" Target="https://www.fantasypros.com/nfl/players/blake-corum.php" TargetMode="External"/><Relationship Id="rId232" Type="http://schemas.openxmlformats.org/officeDocument/2006/relationships/hyperlink" Target="https://www.fantasypros.com/nfl/players/kevin-coleman-jr.php" TargetMode="External"/><Relationship Id="rId305" Type="http://schemas.openxmlformats.org/officeDocument/2006/relationships/hyperlink" Target="https://www.fantasypros.com/nfl/players/cade-klubnik.php" TargetMode="External"/><Relationship Id="rId304" Type="http://schemas.openxmlformats.org/officeDocument/2006/relationships/hyperlink" Target="https://www.fantasypros.com/nfl/players/davon-booth.php" TargetMode="External"/><Relationship Id="rId303" Type="http://schemas.openxmlformats.org/officeDocument/2006/relationships/hyperlink" Target="https://www.fantasypros.com/nfl/players/bauer-sharp.php" TargetMode="External"/><Relationship Id="rId302" Type="http://schemas.openxmlformats.org/officeDocument/2006/relationships/hyperlink" Target="https://www.fantasypros.com/nfl/players/lake-mcree.php" TargetMode="External"/><Relationship Id="rId309" Type="http://schemas.openxmlformats.org/officeDocument/2006/relationships/hyperlink" Target="https://www.fantasypros.com/nfl/players/jameis-winston.php" TargetMode="External"/><Relationship Id="rId308" Type="http://schemas.openxmlformats.org/officeDocument/2006/relationships/hyperlink" Target="https://www.fantasypros.com/nfl/players/lance-mason.php" TargetMode="External"/><Relationship Id="rId307" Type="http://schemas.openxmlformats.org/officeDocument/2006/relationships/hyperlink" Target="https://www.fantasypros.com/nfl/players/sam-roush.php" TargetMode="External"/><Relationship Id="rId306" Type="http://schemas.openxmlformats.org/officeDocument/2006/relationships/hyperlink" Target="https://www.fantasypros.com/nfl/players/nate-boerkircher.php" TargetMode="External"/><Relationship Id="rId301" Type="http://schemas.openxmlformats.org/officeDocument/2006/relationships/hyperlink" Target="https://www.fantasypros.com/nfl/players/eric-rivers.php" TargetMode="External"/><Relationship Id="rId300" Type="http://schemas.openxmlformats.org/officeDocument/2006/relationships/hyperlink" Target="https://www.fantasypros.com/nfl/players/josh-cameron.php" TargetMode="External"/><Relationship Id="rId206" Type="http://schemas.openxmlformats.org/officeDocument/2006/relationships/hyperlink" Target="https://www.fantasypros.com/nfl/players/keon-coleman.php" TargetMode="External"/><Relationship Id="rId205" Type="http://schemas.openxmlformats.org/officeDocument/2006/relationships/hyperlink" Target="https://www.fantasypros.com/nfl/players/brian-robinson-jr.php" TargetMode="External"/><Relationship Id="rId204" Type="http://schemas.openxmlformats.org/officeDocument/2006/relationships/hyperlink" Target="https://www.fantasypros.com/nfl/players/keaton-mitchell.php" TargetMode="External"/><Relationship Id="rId203" Type="http://schemas.openxmlformats.org/officeDocument/2006/relationships/hyperlink" Target="https://www.fantasypros.com/nfl/players/emanuel-wilson.php" TargetMode="External"/><Relationship Id="rId209" Type="http://schemas.openxmlformats.org/officeDocument/2006/relationships/hyperlink" Target="https://www.fantasypros.com/nfl/players/jalen-nailor.php" TargetMode="External"/><Relationship Id="rId208" Type="http://schemas.openxmlformats.org/officeDocument/2006/relationships/hyperlink" Target="https://www.fantasypros.com/nfl/players/elijah-arroyo.php" TargetMode="External"/><Relationship Id="rId207" Type="http://schemas.openxmlformats.org/officeDocument/2006/relationships/hyperlink" Target="https://www.fantasypros.com/nfl/players/alvin-kamara.php" TargetMode="External"/><Relationship Id="rId202" Type="http://schemas.openxmlformats.org/officeDocument/2006/relationships/hyperlink" Target="https://www.fantasypros.com/nfl/players/skyler-bell.php" TargetMode="External"/><Relationship Id="rId201" Type="http://schemas.openxmlformats.org/officeDocument/2006/relationships/hyperlink" Target="https://www.fantasypros.com/nfl/players/james-conner.php" TargetMode="External"/><Relationship Id="rId200" Type="http://schemas.openxmlformats.org/officeDocument/2006/relationships/hyperlink" Target="https://www.fantasypros.com/nfl/players/kyle-williams-wr-2025.php" TargetMode="External"/><Relationship Id="rId316" Type="http://schemas.openxmlformats.org/officeDocument/2006/relationships/drawing" Target="../drawings/drawing9.xml"/><Relationship Id="rId315" Type="http://schemas.openxmlformats.org/officeDocument/2006/relationships/hyperlink" Target="https://www.fantasypros.com/nfl/players/dj-rogers.php" TargetMode="External"/><Relationship Id="rId314" Type="http://schemas.openxmlformats.org/officeDocument/2006/relationships/hyperlink" Target="https://www.fantasypros.com/nfl/players/dt-sheffield.php" TargetMode="External"/><Relationship Id="rId313" Type="http://schemas.openxmlformats.org/officeDocument/2006/relationships/hyperlink" Target="https://www.fantasypros.com/nfl/players/tyson-bagent.php" TargetMode="External"/><Relationship Id="rId312" Type="http://schemas.openxmlformats.org/officeDocument/2006/relationships/hyperlink" Target="https://www.fantasypros.com/nfl/players/emmanuel-henderson.php" TargetMode="External"/><Relationship Id="rId311" Type="http://schemas.openxmlformats.org/officeDocument/2006/relationships/hyperlink" Target="https://www.fantasypros.com/nfl/players/marlin-klein.php" TargetMode="External"/><Relationship Id="rId310" Type="http://schemas.openxmlformats.org/officeDocument/2006/relationships/hyperlink" Target="https://www.fantasypros.com/nfl/players/joe-milton.php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ftsharks.com/fantasy/points-outlook/a-j-brown/10198" TargetMode="External"/><Relationship Id="rId190" Type="http://schemas.openxmlformats.org/officeDocument/2006/relationships/hyperlink" Target="https://www.draftsharks.com/fantasy/points-outlook/evan-engram/7769" TargetMode="External"/><Relationship Id="rId42" Type="http://schemas.openxmlformats.org/officeDocument/2006/relationships/hyperlink" Target="https://www.draftsharks.com/fantasy/points-outlook/jaylen-waddle/10772" TargetMode="External"/><Relationship Id="rId41" Type="http://schemas.openxmlformats.org/officeDocument/2006/relationships/hyperlink" Target="https://www.draftsharks.com/fantasy/points-outlook/chris-olave/12596" TargetMode="External"/><Relationship Id="rId44" Type="http://schemas.openxmlformats.org/officeDocument/2006/relationships/hyperlink" Target="https://www.draftsharks.com/fantasy/points-outlook/ladd-mcconkey/35015" TargetMode="External"/><Relationship Id="rId194" Type="http://schemas.openxmlformats.org/officeDocument/2006/relationships/hyperlink" Target="https://www.draftsharks.com/fantasy/points-outlook/jalen-nailor/12720" TargetMode="External"/><Relationship Id="rId43" Type="http://schemas.openxmlformats.org/officeDocument/2006/relationships/hyperlink" Target="https://www.draftsharks.com/fantasy/points-outlook/carnell-tate/35950" TargetMode="External"/><Relationship Id="rId193" Type="http://schemas.openxmlformats.org/officeDocument/2006/relationships/hyperlink" Target="https://www.draftsharks.com/fantasy/points-outlook/bryce-young/13540" TargetMode="External"/><Relationship Id="rId46" Type="http://schemas.openxmlformats.org/officeDocument/2006/relationships/hyperlink" Target="https://www.draftsharks.com/fantasy/points-outlook/kyren-williams/12580" TargetMode="External"/><Relationship Id="rId192" Type="http://schemas.openxmlformats.org/officeDocument/2006/relationships/hyperlink" Target="https://www.draftsharks.com/fantasy/points-outlook/deebo-samuel/10205" TargetMode="External"/><Relationship Id="rId45" Type="http://schemas.openxmlformats.org/officeDocument/2006/relationships/hyperlink" Target="https://www.draftsharks.com/fantasy/points-outlook/bucky-irving/34991" TargetMode="External"/><Relationship Id="rId191" Type="http://schemas.openxmlformats.org/officeDocument/2006/relationships/hyperlink" Target="https://www.draftsharks.com/fantasy/points-outlook/oscar-delp/35977" TargetMode="External"/><Relationship Id="rId48" Type="http://schemas.openxmlformats.org/officeDocument/2006/relationships/hyperlink" Target="https://www.draftsharks.com/fantasy/points-outlook/garrett-wilson/12592" TargetMode="External"/><Relationship Id="rId187" Type="http://schemas.openxmlformats.org/officeDocument/2006/relationships/hyperlink" Target="https://www.draftsharks.com/fantasy/points-outlook/bryce-lance/35960" TargetMode="External"/><Relationship Id="rId47" Type="http://schemas.openxmlformats.org/officeDocument/2006/relationships/hyperlink" Target="https://www.draftsharks.com/fantasy/points-outlook/chase-brown/13586" TargetMode="External"/><Relationship Id="rId186" Type="http://schemas.openxmlformats.org/officeDocument/2006/relationships/hyperlink" Target="https://www.draftsharks.com/fantasy/points-outlook/isaac-teslaa/35572" TargetMode="External"/><Relationship Id="rId185" Type="http://schemas.openxmlformats.org/officeDocument/2006/relationships/hyperlink" Target="https://www.draftsharks.com/fantasy/points-outlook/tyjae-spears/13569" TargetMode="External"/><Relationship Id="rId49" Type="http://schemas.openxmlformats.org/officeDocument/2006/relationships/hyperlink" Target="https://www.draftsharks.com/fantasy/points-outlook/devonta-smith/10773" TargetMode="External"/><Relationship Id="rId184" Type="http://schemas.openxmlformats.org/officeDocument/2006/relationships/hyperlink" Target="https://www.draftsharks.com/fantasy/points-outlook/max-klare/35975" TargetMode="External"/><Relationship Id="rId189" Type="http://schemas.openxmlformats.org/officeDocument/2006/relationships/hyperlink" Target="https://www.draftsharks.com/fantasy/points-outlook/marvin-mims-jr-/13554" TargetMode="External"/><Relationship Id="rId188" Type="http://schemas.openxmlformats.org/officeDocument/2006/relationships/hyperlink" Target="https://www.draftsharks.com/fantasy/points-outlook/keon-coleman/35017" TargetMode="External"/><Relationship Id="rId31" Type="http://schemas.openxmlformats.org/officeDocument/2006/relationships/hyperlink" Target="https://www.draftsharks.com/fantasy/points-outlook/emeka-egbuka/35335" TargetMode="External"/><Relationship Id="rId30" Type="http://schemas.openxmlformats.org/officeDocument/2006/relationships/hyperlink" Target="https://www.draftsharks.com/fantasy/points-outlook/jameson-williams/12595" TargetMode="External"/><Relationship Id="rId33" Type="http://schemas.openxmlformats.org/officeDocument/2006/relationships/hyperlink" Target="https://www.draftsharks.com/fantasy/points-outlook/jordyn-tyson/35947" TargetMode="External"/><Relationship Id="rId183" Type="http://schemas.openxmlformats.org/officeDocument/2006/relationships/hyperlink" Target="https://www.draftsharks.com/fantasy/points-outlook/chris-rodriguez/13677" TargetMode="External"/><Relationship Id="rId32" Type="http://schemas.openxmlformats.org/officeDocument/2006/relationships/hyperlink" Target="https://www.draftsharks.com/fantasy/points-outlook/breece-hall/12577" TargetMode="External"/><Relationship Id="rId182" Type="http://schemas.openxmlformats.org/officeDocument/2006/relationships/hyperlink" Target="https://www.draftsharks.com/fantasy/points-outlook/jack-bech/35352" TargetMode="External"/><Relationship Id="rId35" Type="http://schemas.openxmlformats.org/officeDocument/2006/relationships/hyperlink" Target="https://www.draftsharks.com/fantasy/points-outlook/makai-lemon/35948" TargetMode="External"/><Relationship Id="rId181" Type="http://schemas.openxmlformats.org/officeDocument/2006/relationships/hyperlink" Target="https://www.draftsharks.com/fantasy/points-outlook/dontayvion-wicks/13562" TargetMode="External"/><Relationship Id="rId34" Type="http://schemas.openxmlformats.org/officeDocument/2006/relationships/hyperlink" Target="https://www.draftsharks.com/fantasy/points-outlook/tee-higgins/10607" TargetMode="External"/><Relationship Id="rId180" Type="http://schemas.openxmlformats.org/officeDocument/2006/relationships/hyperlink" Target="https://www.draftsharks.com/fantasy/points-outlook/tory-horton/35349" TargetMode="External"/><Relationship Id="rId37" Type="http://schemas.openxmlformats.org/officeDocument/2006/relationships/hyperlink" Target="https://www.draftsharks.com/fantasy/points-outlook/zay-flowers/13550" TargetMode="External"/><Relationship Id="rId176" Type="http://schemas.openxmlformats.org/officeDocument/2006/relationships/hyperlink" Target="https://www.draftsharks.com/fantasy/points-outlook/elic-ayomanor/35338" TargetMode="External"/><Relationship Id="rId297" Type="http://schemas.openxmlformats.org/officeDocument/2006/relationships/hyperlink" Target="https://www.draftsharks.com/fantasy/points-outlook/joe-milton-iii/35126" TargetMode="External"/><Relationship Id="rId36" Type="http://schemas.openxmlformats.org/officeDocument/2006/relationships/hyperlink" Target="https://www.draftsharks.com/fantasy/points-outlook/jayden-daniels/34982" TargetMode="External"/><Relationship Id="rId175" Type="http://schemas.openxmlformats.org/officeDocument/2006/relationships/hyperlink" Target="https://www.draftsharks.com/fantasy/points-outlook/jauan-jennings/12430" TargetMode="External"/><Relationship Id="rId296" Type="http://schemas.openxmlformats.org/officeDocument/2006/relationships/hyperlink" Target="https://www.draftsharks.com/fantasy/points-outlook/tyson-bagent/14149" TargetMode="External"/><Relationship Id="rId39" Type="http://schemas.openxmlformats.org/officeDocument/2006/relationships/hyperlink" Target="https://www.draftsharks.com/fantasy/points-outlook/rashee-rice/13553" TargetMode="External"/><Relationship Id="rId174" Type="http://schemas.openxmlformats.org/officeDocument/2006/relationships/hyperlink" Target="https://www.draftsharks.com/fantasy/points-outlook/stefon-diggs/7280" TargetMode="External"/><Relationship Id="rId295" Type="http://schemas.openxmlformats.org/officeDocument/2006/relationships/hyperlink" Target="https://www.draftsharks.com/fantasy/points-outlook/jameis-winston/7203" TargetMode="External"/><Relationship Id="rId38" Type="http://schemas.openxmlformats.org/officeDocument/2006/relationships/hyperlink" Target="https://www.draftsharks.com/fantasy/points-outlook/josh-jacobs/10195" TargetMode="External"/><Relationship Id="rId173" Type="http://schemas.openxmlformats.org/officeDocument/2006/relationships/hyperlink" Target="https://www.draftsharks.com/fantasy/points-outlook/chris-bell/35952" TargetMode="External"/><Relationship Id="rId294" Type="http://schemas.openxmlformats.org/officeDocument/2006/relationships/hyperlink" Target="https://www.draftsharks.com/fantasy/points-outlook/riley-leonard/35316" TargetMode="External"/><Relationship Id="rId179" Type="http://schemas.openxmlformats.org/officeDocument/2006/relationships/hyperlink" Target="https://www.draftsharks.com/fantasy/points-outlook/brenen-thompson/36028" TargetMode="External"/><Relationship Id="rId178" Type="http://schemas.openxmlformats.org/officeDocument/2006/relationships/hyperlink" Target="https://www.draftsharks.com/fantasy/points-outlook/adonai-mitchell/35018" TargetMode="External"/><Relationship Id="rId299" Type="http://schemas.openxmlformats.org/officeDocument/2006/relationships/hyperlink" Target="https://www.draftsharks.com/fantasy/points-outlook/will-howard/35527" TargetMode="External"/><Relationship Id="rId177" Type="http://schemas.openxmlformats.org/officeDocument/2006/relationships/hyperlink" Target="https://www.draftsharks.com/fantasy/points-outlook/brandon-aiyuk/10582" TargetMode="External"/><Relationship Id="rId298" Type="http://schemas.openxmlformats.org/officeDocument/2006/relationships/hyperlink" Target="https://www.draftsharks.com/fantasy/points-outlook/quinn-ewers/35314" TargetMode="External"/><Relationship Id="rId20" Type="http://schemas.openxmlformats.org/officeDocument/2006/relationships/hyperlink" Target="https://www.draftsharks.com/fantasy/points-outlook/tetairoa-mcmillan/35333" TargetMode="External"/><Relationship Id="rId22" Type="http://schemas.openxmlformats.org/officeDocument/2006/relationships/hyperlink" Target="https://www.draftsharks.com/fantasy/points-outlook/brock-bowers/35006" TargetMode="External"/><Relationship Id="rId21" Type="http://schemas.openxmlformats.org/officeDocument/2006/relationships/hyperlink" Target="https://www.draftsharks.com/fantasy/points-outlook/trey-mcbride/12587" TargetMode="External"/><Relationship Id="rId24" Type="http://schemas.openxmlformats.org/officeDocument/2006/relationships/hyperlink" Target="https://www.draftsharks.com/fantasy/points-outlook/quinshon-judkins/35320" TargetMode="External"/><Relationship Id="rId23" Type="http://schemas.openxmlformats.org/officeDocument/2006/relationships/hyperlink" Target="https://www.draftsharks.com/fantasy/points-outlook/josh-allen/9962" TargetMode="External"/><Relationship Id="rId26" Type="http://schemas.openxmlformats.org/officeDocument/2006/relationships/hyperlink" Target="https://www.draftsharks.com/fantasy/points-outlook/saquon-barkley/9994" TargetMode="External"/><Relationship Id="rId25" Type="http://schemas.openxmlformats.org/officeDocument/2006/relationships/hyperlink" Target="https://www.draftsharks.com/fantasy/points-outlook/treveyon-henderson/35323" TargetMode="External"/><Relationship Id="rId28" Type="http://schemas.openxmlformats.org/officeDocument/2006/relationships/hyperlink" Target="https://www.draftsharks.com/fantasy/points-outlook/colston-loveland/35360" TargetMode="External"/><Relationship Id="rId27" Type="http://schemas.openxmlformats.org/officeDocument/2006/relationships/hyperlink" Target="https://www.draftsharks.com/fantasy/points-outlook/drake-maye/15318" TargetMode="External"/><Relationship Id="rId29" Type="http://schemas.openxmlformats.org/officeDocument/2006/relationships/hyperlink" Target="https://www.draftsharks.com/fantasy/points-outlook/christian-mccaffrey/7750" TargetMode="External"/><Relationship Id="rId11" Type="http://schemas.openxmlformats.org/officeDocument/2006/relationships/hyperlink" Target="https://www.draftsharks.com/fantasy/points-outlook/ceedee-lamb/10590" TargetMode="External"/><Relationship Id="rId10" Type="http://schemas.openxmlformats.org/officeDocument/2006/relationships/hyperlink" Target="https://www.draftsharks.com/fantasy/points-outlook/puka-nacua/13680" TargetMode="External"/><Relationship Id="rId13" Type="http://schemas.openxmlformats.org/officeDocument/2006/relationships/hyperlink" Target="https://www.draftsharks.com/fantasy/points-outlook/amon-ra-st-brown/10783" TargetMode="External"/><Relationship Id="rId12" Type="http://schemas.openxmlformats.org/officeDocument/2006/relationships/hyperlink" Target="https://www.draftsharks.com/fantasy/points-outlook/malik-nabers/34977" TargetMode="External"/><Relationship Id="rId15" Type="http://schemas.openxmlformats.org/officeDocument/2006/relationships/hyperlink" Target="https://www.draftsharks.com/fantasy/points-outlook/devon-achane/13563" TargetMode="External"/><Relationship Id="rId198" Type="http://schemas.openxmlformats.org/officeDocument/2006/relationships/hyperlink" Target="https://www.draftsharks.com/fantasy/points-outlook/nicholas-singleton/35929" TargetMode="External"/><Relationship Id="rId14" Type="http://schemas.openxmlformats.org/officeDocument/2006/relationships/hyperlink" Target="https://www.draftsharks.com/fantasy/points-outlook/drake-london/12594" TargetMode="External"/><Relationship Id="rId197" Type="http://schemas.openxmlformats.org/officeDocument/2006/relationships/hyperlink" Target="https://www.draftsharks.com/fantasy/points-outlook/darnell-washington/13574" TargetMode="External"/><Relationship Id="rId17" Type="http://schemas.openxmlformats.org/officeDocument/2006/relationships/hyperlink" Target="https://www.draftsharks.com/fantasy/points-outlook/james-cook/12585" TargetMode="External"/><Relationship Id="rId196" Type="http://schemas.openxmlformats.org/officeDocument/2006/relationships/hyperlink" Target="https://www.draftsharks.com/fantasy/points-outlook/colby-parkinson/10622" TargetMode="External"/><Relationship Id="rId16" Type="http://schemas.openxmlformats.org/officeDocument/2006/relationships/hyperlink" Target="https://www.draftsharks.com/fantasy/points-outlook/nico-collins/10796" TargetMode="External"/><Relationship Id="rId195" Type="http://schemas.openxmlformats.org/officeDocument/2006/relationships/hyperlink" Target="https://www.draftsharks.com/fantasy/points-outlook/mike-gesicki/10008" TargetMode="External"/><Relationship Id="rId19" Type="http://schemas.openxmlformats.org/officeDocument/2006/relationships/hyperlink" Target="https://www.draftsharks.com/fantasy/points-outlook/kenneth-walker-iii/12579" TargetMode="External"/><Relationship Id="rId18" Type="http://schemas.openxmlformats.org/officeDocument/2006/relationships/hyperlink" Target="https://www.draftsharks.com/fantasy/points-outlook/george-pickens/12599" TargetMode="External"/><Relationship Id="rId199" Type="http://schemas.openxmlformats.org/officeDocument/2006/relationships/hyperlink" Target="https://www.draftsharks.com/fantasy/points-outlook/rashod-bateman/10776" TargetMode="External"/><Relationship Id="rId84" Type="http://schemas.openxmlformats.org/officeDocument/2006/relationships/hyperlink" Target="https://www.draftsharks.com/fantasy/points-outlook/kenyon-sadiq/35973" TargetMode="External"/><Relationship Id="rId83" Type="http://schemas.openxmlformats.org/officeDocument/2006/relationships/hyperlink" Target="https://www.draftsharks.com/fantasy/points-outlook/davante-adams/6973" TargetMode="External"/><Relationship Id="rId86" Type="http://schemas.openxmlformats.org/officeDocument/2006/relationships/hyperlink" Target="https://www.draftsharks.com/fantasy/points-outlook/matthew-golden/35515" TargetMode="External"/><Relationship Id="rId85" Type="http://schemas.openxmlformats.org/officeDocument/2006/relationships/hyperlink" Target="https://www.draftsharks.com/fantasy/points-outlook/travis-etienne/10757" TargetMode="External"/><Relationship Id="rId88" Type="http://schemas.openxmlformats.org/officeDocument/2006/relationships/hyperlink" Target="https://www.draftsharks.com/fantasy/points-outlook/quentin-johnston/13545" TargetMode="External"/><Relationship Id="rId150" Type="http://schemas.openxmlformats.org/officeDocument/2006/relationships/hyperlink" Target="https://www.draftsharks.com/fantasy/points-outlook/troy-franklin/34981" TargetMode="External"/><Relationship Id="rId271" Type="http://schemas.openxmlformats.org/officeDocument/2006/relationships/hyperlink" Target="https://www.draftsharks.com/fantasy/points-outlook/trevor-etienne/35525" TargetMode="External"/><Relationship Id="rId87" Type="http://schemas.openxmlformats.org/officeDocument/2006/relationships/hyperlink" Target="https://www.draftsharks.com/fantasy/points-outlook/omar-cooper-jr-/35970" TargetMode="External"/><Relationship Id="rId270" Type="http://schemas.openxmlformats.org/officeDocument/2006/relationships/hyperlink" Target="https://www.draftsharks.com/fantasy/points-outlook/ray-davis/34993" TargetMode="External"/><Relationship Id="rId89" Type="http://schemas.openxmlformats.org/officeDocument/2006/relationships/hyperlink" Target="https://www.draftsharks.com/fantasy/points-outlook/michael-pittman-jr-/10584" TargetMode="External"/><Relationship Id="rId80" Type="http://schemas.openxmlformats.org/officeDocument/2006/relationships/hyperlink" Target="https://www.draftsharks.com/fantasy/points-outlook/michael-wilson/13558" TargetMode="External"/><Relationship Id="rId82" Type="http://schemas.openxmlformats.org/officeDocument/2006/relationships/hyperlink" Target="https://www.draftsharks.com/fantasy/points-outlook/jayden-higgins/35345" TargetMode="External"/><Relationship Id="rId81" Type="http://schemas.openxmlformats.org/officeDocument/2006/relationships/hyperlink" Target="https://www.draftsharks.com/fantasy/points-outlook/trevor-lawrence/10748" TargetMode="External"/><Relationship Id="rId1" Type="http://schemas.openxmlformats.org/officeDocument/2006/relationships/hyperlink" Target="https://www.draftsharks.com/fantasy/points-outlook/bijan-robinson/13541" TargetMode="External"/><Relationship Id="rId2" Type="http://schemas.openxmlformats.org/officeDocument/2006/relationships/hyperlink" Target="https://www.draftsharks.com/fantasy/points-outlook/jamarr-chase/10771" TargetMode="External"/><Relationship Id="rId3" Type="http://schemas.openxmlformats.org/officeDocument/2006/relationships/hyperlink" Target="https://www.draftsharks.com/fantasy/points-outlook/jahmyr-gibbs/13542" TargetMode="External"/><Relationship Id="rId149" Type="http://schemas.openxmlformats.org/officeDocument/2006/relationships/hyperlink" Target="https://www.draftsharks.com/fantasy/points-outlook/pat-freiermuth/10749" TargetMode="External"/><Relationship Id="rId4" Type="http://schemas.openxmlformats.org/officeDocument/2006/relationships/hyperlink" Target="https://www.draftsharks.com/fantasy/points-outlook/jeremiyah-love/35925" TargetMode="External"/><Relationship Id="rId148" Type="http://schemas.openxmlformats.org/officeDocument/2006/relationships/hyperlink" Target="https://www.draftsharks.com/fantasy/points-outlook/c-j-stroud/13539" TargetMode="External"/><Relationship Id="rId269" Type="http://schemas.openxmlformats.org/officeDocument/2006/relationships/hyperlink" Target="https://www.draftsharks.com/fantasy/points-outlook/najee-harris/10758" TargetMode="External"/><Relationship Id="rId9" Type="http://schemas.openxmlformats.org/officeDocument/2006/relationships/hyperlink" Target="https://www.draftsharks.com/fantasy/points-outlook/omarion-hampton/35318" TargetMode="External"/><Relationship Id="rId143" Type="http://schemas.openxmlformats.org/officeDocument/2006/relationships/hyperlink" Target="https://www.draftsharks.com/fantasy/points-outlook/gunnar-helm/35365" TargetMode="External"/><Relationship Id="rId264" Type="http://schemas.openxmlformats.org/officeDocument/2006/relationships/hyperlink" Target="https://www.draftsharks.com/fantasy/points-outlook/jahan-dotson/12597" TargetMode="External"/><Relationship Id="rId142" Type="http://schemas.openxmlformats.org/officeDocument/2006/relationships/hyperlink" Target="https://www.draftsharks.com/fantasy/points-outlook/aj-barner/35009" TargetMode="External"/><Relationship Id="rId263" Type="http://schemas.openxmlformats.org/officeDocument/2006/relationships/hyperlink" Target="https://www.draftsharks.com/fantasy/points-outlook/lequint-allen/35514" TargetMode="External"/><Relationship Id="rId141" Type="http://schemas.openxmlformats.org/officeDocument/2006/relationships/hyperlink" Target="https://www.draftsharks.com/fantasy/points-outlook/jaylen-warren/13199" TargetMode="External"/><Relationship Id="rId262" Type="http://schemas.openxmlformats.org/officeDocument/2006/relationships/hyperlink" Target="https://www.draftsharks.com/fantasy/points-outlook/alvin-kamara/7751" TargetMode="External"/><Relationship Id="rId140" Type="http://schemas.openxmlformats.org/officeDocument/2006/relationships/hyperlink" Target="https://www.draftsharks.com/fantasy/points-outlook/hunter-henry/7470" TargetMode="External"/><Relationship Id="rId261" Type="http://schemas.openxmlformats.org/officeDocument/2006/relationships/hyperlink" Target="https://www.draftsharks.com/fantasy/points-outlook/cooper-kupp/7761" TargetMode="External"/><Relationship Id="rId5" Type="http://schemas.openxmlformats.org/officeDocument/2006/relationships/hyperlink" Target="https://www.draftsharks.com/fantasy/points-outlook/jonathan-taylor/10500" TargetMode="External"/><Relationship Id="rId147" Type="http://schemas.openxmlformats.org/officeDocument/2006/relationships/hyperlink" Target="https://www.draftsharks.com/fantasy/points-outlook/chigoziem-okonkwo/12711" TargetMode="External"/><Relationship Id="rId268" Type="http://schemas.openxmlformats.org/officeDocument/2006/relationships/hyperlink" Target="https://www.draftsharks.com/fantasy/points-outlook/james-conner/7778" TargetMode="External"/><Relationship Id="rId6" Type="http://schemas.openxmlformats.org/officeDocument/2006/relationships/hyperlink" Target="https://www.draftsharks.com/fantasy/points-outlook/justin-jefferson/10586" TargetMode="External"/><Relationship Id="rId146" Type="http://schemas.openxmlformats.org/officeDocument/2006/relationships/hyperlink" Target="https://www.draftsharks.com/fantasy/points-outlook/zach-charbonnet/13564" TargetMode="External"/><Relationship Id="rId267" Type="http://schemas.openxmlformats.org/officeDocument/2006/relationships/hyperlink" Target="https://www.draftsharks.com/fantasy/points-outlook/dj-giddens/35528" TargetMode="External"/><Relationship Id="rId7" Type="http://schemas.openxmlformats.org/officeDocument/2006/relationships/hyperlink" Target="https://www.draftsharks.com/fantasy/points-outlook/ashton-jeanty/35317" TargetMode="External"/><Relationship Id="rId145" Type="http://schemas.openxmlformats.org/officeDocument/2006/relationships/hyperlink" Target="https://www.draftsharks.com/fantasy/points-outlook/fernando-mendoza/35915" TargetMode="External"/><Relationship Id="rId266" Type="http://schemas.openxmlformats.org/officeDocument/2006/relationships/hyperlink" Target="https://www.draftsharks.com/fantasy/points-outlook/kendre-miller/13570" TargetMode="External"/><Relationship Id="rId8" Type="http://schemas.openxmlformats.org/officeDocument/2006/relationships/hyperlink" Target="https://www.draftsharks.com/fantasy/points-outlook/jaxon-smith-njigba/13547" TargetMode="External"/><Relationship Id="rId144" Type="http://schemas.openxmlformats.org/officeDocument/2006/relationships/hyperlink" Target="https://www.draftsharks.com/fantasy/points-outlook/rico-dowdle/12103" TargetMode="External"/><Relationship Id="rId265" Type="http://schemas.openxmlformats.org/officeDocument/2006/relationships/hyperlink" Target="https://www.draftsharks.com/fantasy/points-outlook/christian-kirk/9969" TargetMode="External"/><Relationship Id="rId73" Type="http://schemas.openxmlformats.org/officeDocument/2006/relationships/hyperlink" Target="https://www.draftsharks.com/fantasy/points-outlook/d-j-moore/9970" TargetMode="External"/><Relationship Id="rId72" Type="http://schemas.openxmlformats.org/officeDocument/2006/relationships/hyperlink" Target="https://www.draftsharks.com/fantasy/points-outlook/mike-evans/6938" TargetMode="External"/><Relationship Id="rId75" Type="http://schemas.openxmlformats.org/officeDocument/2006/relationships/hyperlink" Target="https://www.draftsharks.com/fantasy/points-outlook/alec-pierce/12605" TargetMode="External"/><Relationship Id="rId74" Type="http://schemas.openxmlformats.org/officeDocument/2006/relationships/hyperlink" Target="https://www.draftsharks.com/fantasy/points-outlook/sam-laporta/13576" TargetMode="External"/><Relationship Id="rId77" Type="http://schemas.openxmlformats.org/officeDocument/2006/relationships/hyperlink" Target="https://www.draftsharks.com/fantasy/points-outlook/javonte-williams/10759" TargetMode="External"/><Relationship Id="rId260" Type="http://schemas.openxmlformats.org/officeDocument/2006/relationships/hyperlink" Target="https://www.draftsharks.com/fantasy/points-outlook/devaughn-vele/35134" TargetMode="External"/><Relationship Id="rId76" Type="http://schemas.openxmlformats.org/officeDocument/2006/relationships/hyperlink" Target="https://www.draftsharks.com/fantasy/points-outlook/courtland-sutton/9968" TargetMode="External"/><Relationship Id="rId79" Type="http://schemas.openxmlformats.org/officeDocument/2006/relationships/hyperlink" Target="https://www.draftsharks.com/fantasy/points-outlook/parker-washington/13551" TargetMode="External"/><Relationship Id="rId78" Type="http://schemas.openxmlformats.org/officeDocument/2006/relationships/hyperlink" Target="https://www.draftsharks.com/fantasy/points-outlook/xavier-worthy/35021" TargetMode="External"/><Relationship Id="rId71" Type="http://schemas.openxmlformats.org/officeDocument/2006/relationships/hyperlink" Target="https://www.draftsharks.com/fantasy/points-outlook/jalen-hurts/10490" TargetMode="External"/><Relationship Id="rId70" Type="http://schemas.openxmlformats.org/officeDocument/2006/relationships/hyperlink" Target="https://www.draftsharks.com/fantasy/points-outlook/justin-herbert/10488" TargetMode="External"/><Relationship Id="rId139" Type="http://schemas.openxmlformats.org/officeDocument/2006/relationships/hyperlink" Target="https://www.draftsharks.com/fantasy/points-outlook/elijah-sarratt/35954" TargetMode="External"/><Relationship Id="rId138" Type="http://schemas.openxmlformats.org/officeDocument/2006/relationships/hyperlink" Target="https://www.draftsharks.com/fantasy/points-outlook/travis-kelce/6709" TargetMode="External"/><Relationship Id="rId259" Type="http://schemas.openxmlformats.org/officeDocument/2006/relationships/hyperlink" Target="https://www.draftsharks.com/fantasy/points-outlook/demond-claiborne/35933" TargetMode="External"/><Relationship Id="rId137" Type="http://schemas.openxmlformats.org/officeDocument/2006/relationships/hyperlink" Target="https://www.draftsharks.com/fantasy/points-outlook/josh-downs/13548" TargetMode="External"/><Relationship Id="rId258" Type="http://schemas.openxmlformats.org/officeDocument/2006/relationships/hyperlink" Target="https://www.draftsharks.com/fantasy/points-outlook/tyquan-thornton/12679" TargetMode="External"/><Relationship Id="rId132" Type="http://schemas.openxmlformats.org/officeDocument/2006/relationships/hyperlink" Target="https://www.draftsharks.com/fantasy/points-outlook/jacory-croskey-merritt/35720" TargetMode="External"/><Relationship Id="rId253" Type="http://schemas.openxmlformats.org/officeDocument/2006/relationships/hyperlink" Target="https://www.draftsharks.com/fantasy/points-outlook/ty-simpson/35918" TargetMode="External"/><Relationship Id="rId131" Type="http://schemas.openxmlformats.org/officeDocument/2006/relationships/hyperlink" Target="https://www.draftsharks.com/fantasy/points-outlook/tre-harris/35339" TargetMode="External"/><Relationship Id="rId252" Type="http://schemas.openxmlformats.org/officeDocument/2006/relationships/hyperlink" Target="https://www.draftsharks.com/fantasy/points-outlook/sean-tucker/13568" TargetMode="External"/><Relationship Id="rId130" Type="http://schemas.openxmlformats.org/officeDocument/2006/relationships/hyperlink" Target="https://www.draftsharks.com/fantasy/points-outlook/travis-hunter/35371" TargetMode="External"/><Relationship Id="rId251" Type="http://schemas.openxmlformats.org/officeDocument/2006/relationships/hyperlink" Target="https://www.draftsharks.com/fantasy/points-outlook/calvin-ridley/9966" TargetMode="External"/><Relationship Id="rId250" Type="http://schemas.openxmlformats.org/officeDocument/2006/relationships/hyperlink" Target="https://www.draftsharks.com/fantasy/points-outlook/deion-burks/35964" TargetMode="External"/><Relationship Id="rId136" Type="http://schemas.openxmlformats.org/officeDocument/2006/relationships/hyperlink" Target="https://www.draftsharks.com/fantasy/points-outlook/wandale-robinson/12600" TargetMode="External"/><Relationship Id="rId257" Type="http://schemas.openxmlformats.org/officeDocument/2006/relationships/hyperlink" Target="https://www.draftsharks.com/fantasy/points-outlook/jake-tonges/35877" TargetMode="External"/><Relationship Id="rId135" Type="http://schemas.openxmlformats.org/officeDocument/2006/relationships/hyperlink" Target="https://www.draftsharks.com/fantasy/points-outlook/jordan-love/10489" TargetMode="External"/><Relationship Id="rId256" Type="http://schemas.openxmlformats.org/officeDocument/2006/relationships/hyperlink" Target="https://www.draftsharks.com/fantasy/points-outlook/dylan-sampson/35390" TargetMode="External"/><Relationship Id="rId134" Type="http://schemas.openxmlformats.org/officeDocument/2006/relationships/hyperlink" Target="https://www.draftsharks.com/fantasy/points-outlook/dallas-goedert/9997" TargetMode="External"/><Relationship Id="rId255" Type="http://schemas.openxmlformats.org/officeDocument/2006/relationships/hyperlink" Target="https://www.draftsharks.com/fantasy/points-outlook/jordan-james/35329" TargetMode="External"/><Relationship Id="rId133" Type="http://schemas.openxmlformats.org/officeDocument/2006/relationships/hyperlink" Target="https://www.draftsharks.com/fantasy/points-outlook/elijah-arroyo/35366" TargetMode="External"/><Relationship Id="rId254" Type="http://schemas.openxmlformats.org/officeDocument/2006/relationships/hyperlink" Target="https://www.draftsharks.com/fantasy/points-outlook/kimani-vidal/34998" TargetMode="External"/><Relationship Id="rId62" Type="http://schemas.openxmlformats.org/officeDocument/2006/relationships/hyperlink" Target="https://www.draftsharks.com/fantasy/points-outlook/caleb-williams/34974" TargetMode="External"/><Relationship Id="rId61" Type="http://schemas.openxmlformats.org/officeDocument/2006/relationships/hyperlink" Target="https://www.draftsharks.com/fantasy/points-outlook/brian-thomas-jr-/35014" TargetMode="External"/><Relationship Id="rId64" Type="http://schemas.openxmlformats.org/officeDocument/2006/relationships/hyperlink" Target="https://www.draftsharks.com/fantasy/points-outlook/d-k-metcalf/10197" TargetMode="External"/><Relationship Id="rId63" Type="http://schemas.openxmlformats.org/officeDocument/2006/relationships/hyperlink" Target="https://www.draftsharks.com/fantasy/points-outlook/patrick-mahomes/7746" TargetMode="External"/><Relationship Id="rId66" Type="http://schemas.openxmlformats.org/officeDocument/2006/relationships/hyperlink" Target="https://www.draftsharks.com/fantasy/points-outlook/jordan-addison/13546" TargetMode="External"/><Relationship Id="rId172" Type="http://schemas.openxmlformats.org/officeDocument/2006/relationships/hyperlink" Target="https://www.draftsharks.com/fantasy/points-outlook/jerry-jeudy/10598" TargetMode="External"/><Relationship Id="rId293" Type="http://schemas.openxmlformats.org/officeDocument/2006/relationships/hyperlink" Target="https://www.draftsharks.com/fantasy/points-outlook/marcus-mariota/7204" TargetMode="External"/><Relationship Id="rId65" Type="http://schemas.openxmlformats.org/officeDocument/2006/relationships/hyperlink" Target="https://www.draftsharks.com/fantasy/points-outlook/cameron-skattebo/35382" TargetMode="External"/><Relationship Id="rId171" Type="http://schemas.openxmlformats.org/officeDocument/2006/relationships/hyperlink" Target="https://www.draftsharks.com/fantasy/points-outlook/david-njoku/7770" TargetMode="External"/><Relationship Id="rId292" Type="http://schemas.openxmlformats.org/officeDocument/2006/relationships/hyperlink" Target="https://www.draftsharks.com/fantasy/points-outlook/garrett-nussmeier/35921" TargetMode="External"/><Relationship Id="rId68" Type="http://schemas.openxmlformats.org/officeDocument/2006/relationships/hyperlink" Target="https://www.draftsharks.com/fantasy/points-outlook/kyle-pitts/10747" TargetMode="External"/><Relationship Id="rId170" Type="http://schemas.openxmlformats.org/officeDocument/2006/relationships/hyperlink" Target="https://www.draftsharks.com/fantasy/points-outlook/sam-darnold/9963" TargetMode="External"/><Relationship Id="rId291" Type="http://schemas.openxmlformats.org/officeDocument/2006/relationships/hyperlink" Target="https://www.draftsharks.com/fantasy/points-outlook/aaron-rodgers/2636" TargetMode="External"/><Relationship Id="rId67" Type="http://schemas.openxmlformats.org/officeDocument/2006/relationships/hyperlink" Target="https://www.draftsharks.com/fantasy/points-outlook/terry-mclaurin/10269" TargetMode="External"/><Relationship Id="rId290" Type="http://schemas.openxmlformats.org/officeDocument/2006/relationships/hyperlink" Target="https://www.draftsharks.com/fantasy/points-outlook/kirk-cousins/5105" TargetMode="External"/><Relationship Id="rId60" Type="http://schemas.openxmlformats.org/officeDocument/2006/relationships/hyperlink" Target="https://www.draftsharks.com/fantasy/points-outlook/kc-concepcion/35951" TargetMode="External"/><Relationship Id="rId165" Type="http://schemas.openxmlformats.org/officeDocument/2006/relationships/hyperlink" Target="https://www.draftsharks.com/fantasy/points-outlook/kayshon-boutte/13582" TargetMode="External"/><Relationship Id="rId286" Type="http://schemas.openxmlformats.org/officeDocument/2006/relationships/hyperlink" Target="https://www.draftsharks.com/fantasy/points-outlook/carson-beck/35924" TargetMode="External"/><Relationship Id="rId69" Type="http://schemas.openxmlformats.org/officeDocument/2006/relationships/hyperlink" Target="https://www.draftsharks.com/fantasy/points-outlook/marvin-harrison-jr-/34975" TargetMode="External"/><Relationship Id="rId164" Type="http://schemas.openxmlformats.org/officeDocument/2006/relationships/hyperlink" Target="https://www.draftsharks.com/fantasy/points-outlook/braelon-allen/34996" TargetMode="External"/><Relationship Id="rId285" Type="http://schemas.openxmlformats.org/officeDocument/2006/relationships/hyperlink" Target="https://www.draftsharks.com/fantasy/points-outlook/drew-allar/36021" TargetMode="External"/><Relationship Id="rId163" Type="http://schemas.openxmlformats.org/officeDocument/2006/relationships/hyperlink" Target="https://www.draftsharks.com/fantasy/points-outlook/zachariah-branch/35993" TargetMode="External"/><Relationship Id="rId284" Type="http://schemas.openxmlformats.org/officeDocument/2006/relationships/hyperlink" Target="https://www.draftsharks.com/fantasy/points-outlook/deshaun-watson/7744" TargetMode="External"/><Relationship Id="rId162" Type="http://schemas.openxmlformats.org/officeDocument/2006/relationships/hyperlink" Target="https://www.draftsharks.com/fantasy/points-outlook/tre-tucker/13739" TargetMode="External"/><Relationship Id="rId283" Type="http://schemas.openxmlformats.org/officeDocument/2006/relationships/hyperlink" Target="https://www.draftsharks.com/fantasy/points-outlook/j-j-mccarthy/34985" TargetMode="External"/><Relationship Id="rId169" Type="http://schemas.openxmlformats.org/officeDocument/2006/relationships/hyperlink" Target="https://www.draftsharks.com/fantasy/points-outlook/cameron-ward/35310" TargetMode="External"/><Relationship Id="rId168" Type="http://schemas.openxmlformats.org/officeDocument/2006/relationships/hyperlink" Target="https://www.draftsharks.com/fantasy/points-outlook/theo-johnson/35010" TargetMode="External"/><Relationship Id="rId289" Type="http://schemas.openxmlformats.org/officeDocument/2006/relationships/hyperlink" Target="https://www.draftsharks.com/fantasy/points-outlook/jalen-milroe/35311" TargetMode="External"/><Relationship Id="rId167" Type="http://schemas.openxmlformats.org/officeDocument/2006/relationships/hyperlink" Target="https://www.draftsharks.com/fantasy/points-outlook/t-j-hockenson/10223" TargetMode="External"/><Relationship Id="rId288" Type="http://schemas.openxmlformats.org/officeDocument/2006/relationships/hyperlink" Target="https://www.draftsharks.com/fantasy/points-outlook/cade-klubnik/35923" TargetMode="External"/><Relationship Id="rId166" Type="http://schemas.openxmlformats.org/officeDocument/2006/relationships/hyperlink" Target="https://www.draftsharks.com/fantasy/points-outlook/cade-otton/12705" TargetMode="External"/><Relationship Id="rId287" Type="http://schemas.openxmlformats.org/officeDocument/2006/relationships/hyperlink" Target="https://www.draftsharks.com/fantasy/points-outlook/anthony-richardson/13544" TargetMode="External"/><Relationship Id="rId51" Type="http://schemas.openxmlformats.org/officeDocument/2006/relationships/hyperlink" Target="https://www.draftsharks.com/fantasy/points-outlook/luther-burden-iii/35334" TargetMode="External"/><Relationship Id="rId50" Type="http://schemas.openxmlformats.org/officeDocument/2006/relationships/hyperlink" Target="https://www.draftsharks.com/fantasy/points-outlook/jadarian-price/35926" TargetMode="External"/><Relationship Id="rId53" Type="http://schemas.openxmlformats.org/officeDocument/2006/relationships/hyperlink" Target="https://www.draftsharks.com/fantasy/points-outlook/christian-watson/12607" TargetMode="External"/><Relationship Id="rId52" Type="http://schemas.openxmlformats.org/officeDocument/2006/relationships/hyperlink" Target="https://www.draftsharks.com/fantasy/points-outlook/tyler-warren/35359" TargetMode="External"/><Relationship Id="rId55" Type="http://schemas.openxmlformats.org/officeDocument/2006/relationships/hyperlink" Target="https://www.draftsharks.com/fantasy/points-outlook/harold-fannin-jr-/35361" TargetMode="External"/><Relationship Id="rId161" Type="http://schemas.openxmlformats.org/officeDocument/2006/relationships/hyperlink" Target="https://www.draftsharks.com/fantasy/points-outlook/kenneth-gainwell/10761" TargetMode="External"/><Relationship Id="rId282" Type="http://schemas.openxmlformats.org/officeDocument/2006/relationships/hyperlink" Target="https://www.draftsharks.com/fantasy/points-outlook/roman-hemby/35941" TargetMode="External"/><Relationship Id="rId54" Type="http://schemas.openxmlformats.org/officeDocument/2006/relationships/hyperlink" Target="https://www.draftsharks.com/fantasy/points-outlook/tucker-kraft/13575" TargetMode="External"/><Relationship Id="rId160" Type="http://schemas.openxmlformats.org/officeDocument/2006/relationships/hyperlink" Target="https://www.draftsharks.com/fantasy/points-outlook/tyler-shough/35510" TargetMode="External"/><Relationship Id="rId281" Type="http://schemas.openxmlformats.org/officeDocument/2006/relationships/hyperlink" Target="https://www.draftsharks.com/fantasy/points-outlook/jmari-taylor/36002" TargetMode="External"/><Relationship Id="rId57" Type="http://schemas.openxmlformats.org/officeDocument/2006/relationships/hyperlink" Target="https://www.draftsharks.com/fantasy/points-outlook/rome-odunze/34980" TargetMode="External"/><Relationship Id="rId280" Type="http://schemas.openxmlformats.org/officeDocument/2006/relationships/hyperlink" Target="https://www.draftsharks.com/fantasy/points-outlook/michael-penix-jr-/34983" TargetMode="External"/><Relationship Id="rId56" Type="http://schemas.openxmlformats.org/officeDocument/2006/relationships/hyperlink" Target="https://www.draftsharks.com/fantasy/points-outlook/lamar-jackson/9964" TargetMode="External"/><Relationship Id="rId159" Type="http://schemas.openxmlformats.org/officeDocument/2006/relationships/hyperlink" Target="https://www.draftsharks.com/fantasy/points-outlook/ted-hurst/35963" TargetMode="External"/><Relationship Id="rId59" Type="http://schemas.openxmlformats.org/officeDocument/2006/relationships/hyperlink" Target="https://www.draftsharks.com/fantasy/points-outlook/joe-burrow/10482" TargetMode="External"/><Relationship Id="rId154" Type="http://schemas.openxmlformats.org/officeDocument/2006/relationships/hyperlink" Target="https://www.draftsharks.com/fantasy/points-outlook/chris-brazzell-ii/35956" TargetMode="External"/><Relationship Id="rId275" Type="http://schemas.openxmlformats.org/officeDocument/2006/relationships/hyperlink" Target="https://www.draftsharks.com/fantasy/points-outlook/tua-tagovailoa/10483" TargetMode="External"/><Relationship Id="rId58" Type="http://schemas.openxmlformats.org/officeDocument/2006/relationships/hyperlink" Target="https://www.draftsharks.com/fantasy/points-outlook/derrick-henry/7461" TargetMode="External"/><Relationship Id="rId153" Type="http://schemas.openxmlformats.org/officeDocument/2006/relationships/hyperlink" Target="https://www.draftsharks.com/fantasy/points-outlook/michael-mayer/13571" TargetMode="External"/><Relationship Id="rId274" Type="http://schemas.openxmlformats.org/officeDocument/2006/relationships/hyperlink" Target="https://www.draftsharks.com/fantasy/points-outlook/jamarion-miller/35996" TargetMode="External"/><Relationship Id="rId152" Type="http://schemas.openxmlformats.org/officeDocument/2006/relationships/hyperlink" Target="https://www.draftsharks.com/fantasy/points-outlook/kyler-murray/10217" TargetMode="External"/><Relationship Id="rId273" Type="http://schemas.openxmlformats.org/officeDocument/2006/relationships/hyperlink" Target="https://www.draftsharks.com/fantasy/points-outlook/michael-trigg/35979" TargetMode="External"/><Relationship Id="rId151" Type="http://schemas.openxmlformats.org/officeDocument/2006/relationships/hyperlink" Target="https://www.draftsharks.com/fantasy/points-outlook/baker-mayfield/9960" TargetMode="External"/><Relationship Id="rId272" Type="http://schemas.openxmlformats.org/officeDocument/2006/relationships/hyperlink" Target="https://www.draftsharks.com/fantasy/points-outlook/brashard-smith/35522" TargetMode="External"/><Relationship Id="rId158" Type="http://schemas.openxmlformats.org/officeDocument/2006/relationships/hyperlink" Target="https://www.draftsharks.com/fantasy/points-outlook/woody-marks/35328" TargetMode="External"/><Relationship Id="rId279" Type="http://schemas.openxmlformats.org/officeDocument/2006/relationships/hyperlink" Target="https://www.draftsharks.com/fantasy/points-outlook/joe-mixon/7774" TargetMode="External"/><Relationship Id="rId157" Type="http://schemas.openxmlformats.org/officeDocument/2006/relationships/hyperlink" Target="https://www.draftsharks.com/fantasy/points-outlook/jonathon-brooks/34987" TargetMode="External"/><Relationship Id="rId278" Type="http://schemas.openxmlformats.org/officeDocument/2006/relationships/hyperlink" Target="https://www.draftsharks.com/fantasy/points-outlook/noah-gray/10886" TargetMode="External"/><Relationship Id="rId156" Type="http://schemas.openxmlformats.org/officeDocument/2006/relationships/hyperlink" Target="https://www.draftsharks.com/fantasy/points-outlook/jared-goff/7449" TargetMode="External"/><Relationship Id="rId277" Type="http://schemas.openxmlformats.org/officeDocument/2006/relationships/hyperlink" Target="https://www.draftsharks.com/fantasy/points-outlook/shedeur-sanders/35309" TargetMode="External"/><Relationship Id="rId155" Type="http://schemas.openxmlformats.org/officeDocument/2006/relationships/hyperlink" Target="https://www.draftsharks.com/fantasy/points-outlook/dalton-schultz/10059" TargetMode="External"/><Relationship Id="rId276" Type="http://schemas.openxmlformats.org/officeDocument/2006/relationships/hyperlink" Target="https://www.draftsharks.com/fantasy/points-outlook/eli-heidenreich/36038" TargetMode="External"/><Relationship Id="rId107" Type="http://schemas.openxmlformats.org/officeDocument/2006/relationships/hyperlink" Target="https://www.draftsharks.com/fantasy/points-outlook/dezhaun-stribling/36057" TargetMode="External"/><Relationship Id="rId228" Type="http://schemas.openxmlformats.org/officeDocument/2006/relationships/hyperlink" Target="https://www.draftsharks.com/fantasy/points-outlook/cedric-tillman/13555" TargetMode="External"/><Relationship Id="rId106" Type="http://schemas.openxmlformats.org/officeDocument/2006/relationships/hyperlink" Target="https://www.draftsharks.com/fantasy/points-outlook/denzel-boston/35949" TargetMode="External"/><Relationship Id="rId227" Type="http://schemas.openxmlformats.org/officeDocument/2006/relationships/hyperlink" Target="https://www.draftsharks.com/fantasy/points-outlook/isaiah-davis/35005" TargetMode="External"/><Relationship Id="rId105" Type="http://schemas.openxmlformats.org/officeDocument/2006/relationships/hyperlink" Target="https://www.draftsharks.com/fantasy/points-outlook/chris-godwin/7783" TargetMode="External"/><Relationship Id="rId226" Type="http://schemas.openxmlformats.org/officeDocument/2006/relationships/hyperlink" Target="https://www.draftsharks.com/fantasy/points-outlook/malachi-fields/35961" TargetMode="External"/><Relationship Id="rId104" Type="http://schemas.openxmlformats.org/officeDocument/2006/relationships/hyperlink" Target="https://www.draftsharks.com/fantasy/points-outlook/rashid-shaheed/13347" TargetMode="External"/><Relationship Id="rId225" Type="http://schemas.openxmlformats.org/officeDocument/2006/relationships/hyperlink" Target="https://www.draftsharks.com/fantasy/points-outlook/emmett-johnson/35932" TargetMode="External"/><Relationship Id="rId109" Type="http://schemas.openxmlformats.org/officeDocument/2006/relationships/hyperlink" Target="https://www.draftsharks.com/fantasy/points-outlook/jordan-mason/13153" TargetMode="External"/><Relationship Id="rId108" Type="http://schemas.openxmlformats.org/officeDocument/2006/relationships/hyperlink" Target="https://www.draftsharks.com/fantasy/points-outlook/khalil-shakir/12603" TargetMode="External"/><Relationship Id="rId229" Type="http://schemas.openxmlformats.org/officeDocument/2006/relationships/hyperlink" Target="https://www.draftsharks.com/fantasy/points-outlook/darnell-mooney/10628" TargetMode="External"/><Relationship Id="rId220" Type="http://schemas.openxmlformats.org/officeDocument/2006/relationships/hyperlink" Target="https://www.draftsharks.com/fantasy/points-outlook/marquise-brown/10204" TargetMode="External"/><Relationship Id="rId103" Type="http://schemas.openxmlformats.org/officeDocument/2006/relationships/hyperlink" Target="https://www.draftsharks.com/fantasy/points-outlook/bo-nix/34984" TargetMode="External"/><Relationship Id="rId224" Type="http://schemas.openxmlformats.org/officeDocument/2006/relationships/hyperlink" Target="https://www.draftsharks.com/fantasy/points-outlook/trey-benson/34989" TargetMode="External"/><Relationship Id="rId102" Type="http://schemas.openxmlformats.org/officeDocument/2006/relationships/hyperlink" Target="https://www.draftsharks.com/fantasy/points-outlook/jake-ferguson/12708" TargetMode="External"/><Relationship Id="rId223" Type="http://schemas.openxmlformats.org/officeDocument/2006/relationships/hyperlink" Target="https://www.draftsharks.com/fantasy/points-outlook/keaton-mitchell/13674" TargetMode="External"/><Relationship Id="rId101" Type="http://schemas.openxmlformats.org/officeDocument/2006/relationships/hyperlink" Target="https://www.draftsharks.com/fantasy/points-outlook/dandre-swift/10476" TargetMode="External"/><Relationship Id="rId222" Type="http://schemas.openxmlformats.org/officeDocument/2006/relationships/hyperlink" Target="https://www.draftsharks.com/fantasy/points-outlook/mason-taylor/35362" TargetMode="External"/><Relationship Id="rId100" Type="http://schemas.openxmlformats.org/officeDocument/2006/relationships/hyperlink" Target="https://www.draftsharks.com/fantasy/points-outlook/george-kittle/9540" TargetMode="External"/><Relationship Id="rId221" Type="http://schemas.openxmlformats.org/officeDocument/2006/relationships/hyperlink" Target="https://www.draftsharks.com/fantasy/points-outlook/jaylen-wright/34988" TargetMode="External"/><Relationship Id="rId217" Type="http://schemas.openxmlformats.org/officeDocument/2006/relationships/hyperlink" Target="https://www.draftsharks.com/fantasy/points-outlook/isiah-pacheco/12735" TargetMode="External"/><Relationship Id="rId216" Type="http://schemas.openxmlformats.org/officeDocument/2006/relationships/hyperlink" Target="https://www.draftsharks.com/fantasy/points-outlook/mike-washington-jr-/35935" TargetMode="External"/><Relationship Id="rId215" Type="http://schemas.openxmlformats.org/officeDocument/2006/relationships/hyperlink" Target="https://www.draftsharks.com/fantasy/points-outlook/chimere-dike/35563" TargetMode="External"/><Relationship Id="rId214" Type="http://schemas.openxmlformats.org/officeDocument/2006/relationships/hyperlink" Target="https://www.draftsharks.com/fantasy/points-outlook/ryan-flournoy/35132" TargetMode="External"/><Relationship Id="rId219" Type="http://schemas.openxmlformats.org/officeDocument/2006/relationships/hyperlink" Target="https://www.draftsharks.com/fantasy/points-outlook/jatavion-sanders/35007" TargetMode="External"/><Relationship Id="rId218" Type="http://schemas.openxmlformats.org/officeDocument/2006/relationships/hyperlink" Target="https://www.draftsharks.com/fantasy/points-outlook/cole-kmet/10485" TargetMode="External"/><Relationship Id="rId213" Type="http://schemas.openxmlformats.org/officeDocument/2006/relationships/hyperlink" Target="https://www.draftsharks.com/fantasy/points-outlook/kevin-coleman-jr-/36008" TargetMode="External"/><Relationship Id="rId212" Type="http://schemas.openxmlformats.org/officeDocument/2006/relationships/hyperlink" Target="https://www.draftsharks.com/fantasy/points-outlook/kaytron-allen/35930" TargetMode="External"/><Relationship Id="rId211" Type="http://schemas.openxmlformats.org/officeDocument/2006/relationships/hyperlink" Target="https://www.draftsharks.com/fantasy/points-outlook/jalen-royals/35340" TargetMode="External"/><Relationship Id="rId210" Type="http://schemas.openxmlformats.org/officeDocument/2006/relationships/hyperlink" Target="https://www.draftsharks.com/fantasy/points-outlook/ollie-gordon-ii/35321" TargetMode="External"/><Relationship Id="rId129" Type="http://schemas.openxmlformats.org/officeDocument/2006/relationships/hyperlink" Target="https://www.draftsharks.com/fantasy/points-outlook/tony-pollard/10305" TargetMode="External"/><Relationship Id="rId128" Type="http://schemas.openxmlformats.org/officeDocument/2006/relationships/hyperlink" Target="https://www.draftsharks.com/fantasy/points-outlook/rj-harvey/35325" TargetMode="External"/><Relationship Id="rId249" Type="http://schemas.openxmlformats.org/officeDocument/2006/relationships/hyperlink" Target="https://www.draftsharks.com/fantasy/points-outlook/jaydon-blue/35533" TargetMode="External"/><Relationship Id="rId127" Type="http://schemas.openxmlformats.org/officeDocument/2006/relationships/hyperlink" Target="https://www.draftsharks.com/fantasy/points-outlook/brenton-strange/13686" TargetMode="External"/><Relationship Id="rId248" Type="http://schemas.openxmlformats.org/officeDocument/2006/relationships/hyperlink" Target="https://www.draftsharks.com/fantasy/points-outlook/ben-sinnott/35012" TargetMode="External"/><Relationship Id="rId126" Type="http://schemas.openxmlformats.org/officeDocument/2006/relationships/hyperlink" Target="https://www.draftsharks.com/fantasy/points-outlook/chuba-hubbard/10766" TargetMode="External"/><Relationship Id="rId247" Type="http://schemas.openxmlformats.org/officeDocument/2006/relationships/hyperlink" Target="https://www.draftsharks.com/fantasy/points-outlook/devin-neal/35392" TargetMode="External"/><Relationship Id="rId121" Type="http://schemas.openxmlformats.org/officeDocument/2006/relationships/hyperlink" Target="https://www.draftsharks.com/fantasy/points-outlook/germie-bernard/35953" TargetMode="External"/><Relationship Id="rId242" Type="http://schemas.openxmlformats.org/officeDocument/2006/relationships/hyperlink" Target="https://www.draftsharks.com/fantasy/points-outlook/donte-thornton-jr-/35544" TargetMode="External"/><Relationship Id="rId120" Type="http://schemas.openxmlformats.org/officeDocument/2006/relationships/hyperlink" Target="https://www.draftsharks.com/fantasy/points-outlook/jalen-coker/35137" TargetMode="External"/><Relationship Id="rId241" Type="http://schemas.openxmlformats.org/officeDocument/2006/relationships/hyperlink" Target="https://www.draftsharks.com/fantasy/points-outlook/keenan-allen/6678" TargetMode="External"/><Relationship Id="rId240" Type="http://schemas.openxmlformats.org/officeDocument/2006/relationships/hyperlink" Target="https://www.draftsharks.com/fantasy/points-outlook/daniel-jones/10225" TargetMode="External"/><Relationship Id="rId125" Type="http://schemas.openxmlformats.org/officeDocument/2006/relationships/hyperlink" Target="https://www.draftsharks.com/fantasy/points-outlook/jaylin-noel/35357" TargetMode="External"/><Relationship Id="rId246" Type="http://schemas.openxmlformats.org/officeDocument/2006/relationships/hyperlink" Target="https://www.draftsharks.com/fantasy/points-outlook/adam-randall/35991" TargetMode="External"/><Relationship Id="rId124" Type="http://schemas.openxmlformats.org/officeDocument/2006/relationships/hyperlink" Target="https://www.draftsharks.com/fantasy/points-outlook/j-k-dobbins/10478" TargetMode="External"/><Relationship Id="rId245" Type="http://schemas.openxmlformats.org/officeDocument/2006/relationships/hyperlink" Target="https://www.draftsharks.com/fantasy/points-outlook/kaleb-johnson/35319" TargetMode="External"/><Relationship Id="rId123" Type="http://schemas.openxmlformats.org/officeDocument/2006/relationships/hyperlink" Target="https://www.draftsharks.com/fantasy/points-outlook/jakobi-lane/35955" TargetMode="External"/><Relationship Id="rId244" Type="http://schemas.openxmlformats.org/officeDocument/2006/relationships/hyperlink" Target="https://www.draftsharks.com/fantasy/points-outlook/tez-johnson/35342" TargetMode="External"/><Relationship Id="rId122" Type="http://schemas.openxmlformats.org/officeDocument/2006/relationships/hyperlink" Target="https://www.draftsharks.com/fantasy/points-outlook/terrance-ferguson/35364" TargetMode="External"/><Relationship Id="rId243" Type="http://schemas.openxmlformats.org/officeDocument/2006/relationships/hyperlink" Target="https://www.draftsharks.com/fantasy/points-outlook/cj-daniels/36018" TargetMode="External"/><Relationship Id="rId95" Type="http://schemas.openxmlformats.org/officeDocument/2006/relationships/hyperlink" Target="https://www.draftsharks.com/fantasy/points-outlook/oronde-gadsden-ii/35532" TargetMode="External"/><Relationship Id="rId94" Type="http://schemas.openxmlformats.org/officeDocument/2006/relationships/hyperlink" Target="https://www.draftsharks.com/fantasy/points-outlook/jaxson-dart/35312" TargetMode="External"/><Relationship Id="rId97" Type="http://schemas.openxmlformats.org/officeDocument/2006/relationships/hyperlink" Target="https://www.draftsharks.com/fantasy/points-outlook/david-montgomery/10194" TargetMode="External"/><Relationship Id="rId96" Type="http://schemas.openxmlformats.org/officeDocument/2006/relationships/hyperlink" Target="https://www.draftsharks.com/fantasy/points-outlook/eli-stowers/35974" TargetMode="External"/><Relationship Id="rId99" Type="http://schemas.openxmlformats.org/officeDocument/2006/relationships/hyperlink" Target="https://www.draftsharks.com/fantasy/points-outlook/dalton-kincaid/13573" TargetMode="External"/><Relationship Id="rId98" Type="http://schemas.openxmlformats.org/officeDocument/2006/relationships/hyperlink" Target="https://www.draftsharks.com/fantasy/points-outlook/jakobi-meyers/10364" TargetMode="External"/><Relationship Id="rId91" Type="http://schemas.openxmlformats.org/officeDocument/2006/relationships/hyperlink" Target="https://www.draftsharks.com/fantasy/points-outlook/brock-purdy/12737" TargetMode="External"/><Relationship Id="rId90" Type="http://schemas.openxmlformats.org/officeDocument/2006/relationships/hyperlink" Target="https://www.draftsharks.com/fantasy/points-outlook/jayden-reed/13557" TargetMode="External"/><Relationship Id="rId93" Type="http://schemas.openxmlformats.org/officeDocument/2006/relationships/hyperlink" Target="https://www.draftsharks.com/fantasy/points-outlook/bhayshul-tuten/35322" TargetMode="External"/><Relationship Id="rId92" Type="http://schemas.openxmlformats.org/officeDocument/2006/relationships/hyperlink" Target="https://www.draftsharks.com/fantasy/points-outlook/romeo-doubs/12606" TargetMode="External"/><Relationship Id="rId118" Type="http://schemas.openxmlformats.org/officeDocument/2006/relationships/hyperlink" Target="https://www.draftsharks.com/fantasy/points-outlook/juwan-johnson/12426" TargetMode="External"/><Relationship Id="rId239" Type="http://schemas.openxmlformats.org/officeDocument/2006/relationships/hyperlink" Target="https://www.draftsharks.com/fantasy/points-outlook/emanuel-wilson/14231" TargetMode="External"/><Relationship Id="rId117" Type="http://schemas.openxmlformats.org/officeDocument/2006/relationships/hyperlink" Target="https://www.draftsharks.com/fantasy/points-outlook/ricky-pearsall/35023" TargetMode="External"/><Relationship Id="rId238" Type="http://schemas.openxmlformats.org/officeDocument/2006/relationships/hyperlink" Target="https://www.draftsharks.com/fantasy/points-outlook/jack-endries/35976" TargetMode="External"/><Relationship Id="rId116" Type="http://schemas.openxmlformats.org/officeDocument/2006/relationships/hyperlink" Target="https://www.draftsharks.com/fantasy/points-outlook/blake-corum/34990" TargetMode="External"/><Relationship Id="rId237" Type="http://schemas.openxmlformats.org/officeDocument/2006/relationships/hyperlink" Target="https://www.draftsharks.com/fantasy/points-outlook/nathaniel-dell/13552" TargetMode="External"/><Relationship Id="rId115" Type="http://schemas.openxmlformats.org/officeDocument/2006/relationships/hyperlink" Target="https://www.draftsharks.com/fantasy/points-outlook/mark-andrews/10009" TargetMode="External"/><Relationship Id="rId236" Type="http://schemas.openxmlformats.org/officeDocument/2006/relationships/hyperlink" Target="https://www.draftsharks.com/fantasy/points-outlook/rachaad-white/12583" TargetMode="External"/><Relationship Id="rId119" Type="http://schemas.openxmlformats.org/officeDocument/2006/relationships/hyperlink" Target="https://www.draftsharks.com/fantasy/points-outlook/dak-prescott/7453" TargetMode="External"/><Relationship Id="rId110" Type="http://schemas.openxmlformats.org/officeDocument/2006/relationships/hyperlink" Target="https://www.draftsharks.com/fantasy/points-outlook/rhamondre-stevenson/10763" TargetMode="External"/><Relationship Id="rId231" Type="http://schemas.openxmlformats.org/officeDocument/2006/relationships/hyperlink" Target="https://www.draftsharks.com/fantasy/points-outlook/demario-douglas/13766" TargetMode="External"/><Relationship Id="rId230" Type="http://schemas.openxmlformats.org/officeDocument/2006/relationships/hyperlink" Target="https://www.draftsharks.com/fantasy/points-outlook/pat-bryant/35355" TargetMode="External"/><Relationship Id="rId114" Type="http://schemas.openxmlformats.org/officeDocument/2006/relationships/hyperlink" Target="https://www.draftsharks.com/fantasy/points-outlook/kyle-monangai/35326" TargetMode="External"/><Relationship Id="rId235" Type="http://schemas.openxmlformats.org/officeDocument/2006/relationships/hyperlink" Target="https://www.draftsharks.com/fantasy/points-outlook/xavier-legette/35020" TargetMode="External"/><Relationship Id="rId113" Type="http://schemas.openxmlformats.org/officeDocument/2006/relationships/hyperlink" Target="https://www.draftsharks.com/fantasy/points-outlook/antonio-williams/35957" TargetMode="External"/><Relationship Id="rId234" Type="http://schemas.openxmlformats.org/officeDocument/2006/relationships/hyperlink" Target="https://www.draftsharks.com/fantasy/points-outlook/isaiah-bond/35337" TargetMode="External"/><Relationship Id="rId112" Type="http://schemas.openxmlformats.org/officeDocument/2006/relationships/hyperlink" Target="https://www.draftsharks.com/fantasy/points-outlook/jalen-mcmillan/35026" TargetMode="External"/><Relationship Id="rId233" Type="http://schemas.openxmlformats.org/officeDocument/2006/relationships/hyperlink" Target="https://www.draftsharks.com/fantasy/points-outlook/kyle-williams/35557" TargetMode="External"/><Relationship Id="rId111" Type="http://schemas.openxmlformats.org/officeDocument/2006/relationships/hyperlink" Target="https://www.draftsharks.com/fantasy/points-outlook/isaiah-likely/12589" TargetMode="External"/><Relationship Id="rId232" Type="http://schemas.openxmlformats.org/officeDocument/2006/relationships/hyperlink" Target="https://www.draftsharks.com/fantasy/points-outlook/malik-washington/35045" TargetMode="External"/><Relationship Id="rId300" Type="http://schemas.openxmlformats.org/officeDocument/2006/relationships/drawing" Target="../drawings/drawing10.xml"/><Relationship Id="rId206" Type="http://schemas.openxmlformats.org/officeDocument/2006/relationships/hyperlink" Target="https://www.draftsharks.com/fantasy/points-outlook/jonah-coleman/35927" TargetMode="External"/><Relationship Id="rId205" Type="http://schemas.openxmlformats.org/officeDocument/2006/relationships/hyperlink" Target="https://www.draftsharks.com/fantasy/points-outlook/tyrone-tracy-jr-/34997" TargetMode="External"/><Relationship Id="rId204" Type="http://schemas.openxmlformats.org/officeDocument/2006/relationships/hyperlink" Target="https://www.draftsharks.com/fantasy/points-outlook/tank-bigsby/13565" TargetMode="External"/><Relationship Id="rId203" Type="http://schemas.openxmlformats.org/officeDocument/2006/relationships/hyperlink" Target="https://www.draftsharks.com/fantasy/points-outlook/matthew-stafford/2" TargetMode="External"/><Relationship Id="rId209" Type="http://schemas.openxmlformats.org/officeDocument/2006/relationships/hyperlink" Target="https://www.draftsharks.com/fantasy/points-outlook/kaelon-black/36026" TargetMode="External"/><Relationship Id="rId208" Type="http://schemas.openxmlformats.org/officeDocument/2006/relationships/hyperlink" Target="https://www.draftsharks.com/fantasy/points-outlook/tyreek-hill/7572" TargetMode="External"/><Relationship Id="rId207" Type="http://schemas.openxmlformats.org/officeDocument/2006/relationships/hyperlink" Target="https://www.draftsharks.com/fantasy/points-outlook/skyler-bell/35965" TargetMode="External"/><Relationship Id="rId202" Type="http://schemas.openxmlformats.org/officeDocument/2006/relationships/hyperlink" Target="https://www.draftsharks.com/fantasy/points-outlook/aaron-jones/9550" TargetMode="External"/><Relationship Id="rId201" Type="http://schemas.openxmlformats.org/officeDocument/2006/relationships/hyperlink" Target="https://www.draftsharks.com/fantasy/points-outlook/brian-robinson-jr-/12581" TargetMode="External"/><Relationship Id="rId200" Type="http://schemas.openxmlformats.org/officeDocument/2006/relationships/hyperlink" Target="https://www.draftsharks.com/fantasy/points-outlook/tyler-allgeier/12582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ftsharks.com/fantasy/points-outlook/christian-mccaffrey/7750" TargetMode="External"/><Relationship Id="rId190" Type="http://schemas.openxmlformats.org/officeDocument/2006/relationships/hyperlink" Target="https://www.draftsharks.com/fantasy/points-outlook/tre-tucker/13739" TargetMode="External"/><Relationship Id="rId42" Type="http://schemas.openxmlformats.org/officeDocument/2006/relationships/hyperlink" Target="https://www.draftsharks.com/fantasy/points-outlook/colston-loveland/35360" TargetMode="External"/><Relationship Id="rId41" Type="http://schemas.openxmlformats.org/officeDocument/2006/relationships/hyperlink" Target="https://www.draftsharks.com/fantasy/points-outlook/chris-olave/12596" TargetMode="External"/><Relationship Id="rId44" Type="http://schemas.openxmlformats.org/officeDocument/2006/relationships/hyperlink" Target="https://www.draftsharks.com/fantasy/points-outlook/c-j-stroud/13539" TargetMode="External"/><Relationship Id="rId194" Type="http://schemas.openxmlformats.org/officeDocument/2006/relationships/hyperlink" Target="https://www.draftsharks.com/fantasy/points-outlook/jaydon-blue/35533" TargetMode="External"/><Relationship Id="rId43" Type="http://schemas.openxmlformats.org/officeDocument/2006/relationships/hyperlink" Target="https://www.draftsharks.com/fantasy/points-outlook/jordan-love/10489" TargetMode="External"/><Relationship Id="rId193" Type="http://schemas.openxmlformats.org/officeDocument/2006/relationships/hyperlink" Target="https://www.draftsharks.com/fantasy/points-outlook/mike-washington-jr-/35935" TargetMode="External"/><Relationship Id="rId46" Type="http://schemas.openxmlformats.org/officeDocument/2006/relationships/hyperlink" Target="https://www.draftsharks.com/fantasy/points-outlook/fernando-mendoza/35915" TargetMode="External"/><Relationship Id="rId192" Type="http://schemas.openxmlformats.org/officeDocument/2006/relationships/hyperlink" Target="https://www.draftsharks.com/fantasy/points-outlook/michael-mayer/13571" TargetMode="External"/><Relationship Id="rId45" Type="http://schemas.openxmlformats.org/officeDocument/2006/relationships/hyperlink" Target="https://www.draftsharks.com/fantasy/points-outlook/zay-flowers/13550" TargetMode="External"/><Relationship Id="rId191" Type="http://schemas.openxmlformats.org/officeDocument/2006/relationships/hyperlink" Target="https://www.draftsharks.com/fantasy/points-outlook/brian-robinson-jr-/12581" TargetMode="External"/><Relationship Id="rId48" Type="http://schemas.openxmlformats.org/officeDocument/2006/relationships/hyperlink" Target="https://www.draftsharks.com/fantasy/points-outlook/garrett-wilson/12592" TargetMode="External"/><Relationship Id="rId187" Type="http://schemas.openxmlformats.org/officeDocument/2006/relationships/hyperlink" Target="https://www.draftsharks.com/fantasy/points-outlook/stefon-diggs/7280" TargetMode="External"/><Relationship Id="rId47" Type="http://schemas.openxmlformats.org/officeDocument/2006/relationships/hyperlink" Target="https://www.draftsharks.com/fantasy/points-outlook/saquon-barkley/9994" TargetMode="External"/><Relationship Id="rId186" Type="http://schemas.openxmlformats.org/officeDocument/2006/relationships/hyperlink" Target="https://www.draftsharks.com/fantasy/points-outlook/zachariah-branch/35993" TargetMode="External"/><Relationship Id="rId185" Type="http://schemas.openxmlformats.org/officeDocument/2006/relationships/hyperlink" Target="https://www.draftsharks.com/fantasy/points-outlook/nicholas-singleton/35929" TargetMode="External"/><Relationship Id="rId49" Type="http://schemas.openxmlformats.org/officeDocument/2006/relationships/hyperlink" Target="https://www.draftsharks.com/fantasy/points-outlook/baker-mayfield/9960" TargetMode="External"/><Relationship Id="rId184" Type="http://schemas.openxmlformats.org/officeDocument/2006/relationships/hyperlink" Target="https://www.draftsharks.com/fantasy/points-outlook/jack-bech/35352" TargetMode="External"/><Relationship Id="rId189" Type="http://schemas.openxmlformats.org/officeDocument/2006/relationships/hyperlink" Target="https://www.draftsharks.com/fantasy/points-outlook/skyler-bell/35965" TargetMode="External"/><Relationship Id="rId188" Type="http://schemas.openxmlformats.org/officeDocument/2006/relationships/hyperlink" Target="https://www.draftsharks.com/fantasy/points-outlook/cade-otton/12705" TargetMode="External"/><Relationship Id="rId31" Type="http://schemas.openxmlformats.org/officeDocument/2006/relationships/hyperlink" Target="https://www.draftsharks.com/fantasy/points-outlook/jaxson-dart/35312" TargetMode="External"/><Relationship Id="rId30" Type="http://schemas.openxmlformats.org/officeDocument/2006/relationships/hyperlink" Target="https://www.draftsharks.com/fantasy/points-outlook/bo-nix/34984" TargetMode="External"/><Relationship Id="rId33" Type="http://schemas.openxmlformats.org/officeDocument/2006/relationships/hyperlink" Target="https://www.draftsharks.com/fantasy/points-outlook/james-cook/12585" TargetMode="External"/><Relationship Id="rId183" Type="http://schemas.openxmlformats.org/officeDocument/2006/relationships/hyperlink" Target="https://www.draftsharks.com/fantasy/points-outlook/tyler-allgeier/12582" TargetMode="External"/><Relationship Id="rId32" Type="http://schemas.openxmlformats.org/officeDocument/2006/relationships/hyperlink" Target="https://www.draftsharks.com/fantasy/points-outlook/tetairoa-mcmillan/35333" TargetMode="External"/><Relationship Id="rId182" Type="http://schemas.openxmlformats.org/officeDocument/2006/relationships/hyperlink" Target="https://www.draftsharks.com/fantasy/points-outlook/chris-bell/35952" TargetMode="External"/><Relationship Id="rId35" Type="http://schemas.openxmlformats.org/officeDocument/2006/relationships/hyperlink" Target="https://www.draftsharks.com/fantasy/points-outlook/emeka-egbuka/35335" TargetMode="External"/><Relationship Id="rId181" Type="http://schemas.openxmlformats.org/officeDocument/2006/relationships/hyperlink" Target="https://www.draftsharks.com/fantasy/points-outlook/elic-ayomanor/35338" TargetMode="External"/><Relationship Id="rId34" Type="http://schemas.openxmlformats.org/officeDocument/2006/relationships/hyperlink" Target="https://www.draftsharks.com/fantasy/points-outlook/george-pickens/12599" TargetMode="External"/><Relationship Id="rId180" Type="http://schemas.openxmlformats.org/officeDocument/2006/relationships/hyperlink" Target="https://www.draftsharks.com/fantasy/points-outlook/rachaad-white/12583" TargetMode="External"/><Relationship Id="rId37" Type="http://schemas.openxmlformats.org/officeDocument/2006/relationships/hyperlink" Target="https://www.draftsharks.com/fantasy/points-outlook/treveyon-henderson/35323" TargetMode="External"/><Relationship Id="rId176" Type="http://schemas.openxmlformats.org/officeDocument/2006/relationships/hyperlink" Target="https://www.draftsharks.com/fantasy/points-outlook/pat-freiermuth/10749" TargetMode="External"/><Relationship Id="rId297" Type="http://schemas.openxmlformats.org/officeDocument/2006/relationships/hyperlink" Target="https://www.draftsharks.com/fantasy/points-outlook/quinn-ewers/35314" TargetMode="External"/><Relationship Id="rId36" Type="http://schemas.openxmlformats.org/officeDocument/2006/relationships/hyperlink" Target="https://www.draftsharks.com/fantasy/points-outlook/dak-prescott/7453" TargetMode="External"/><Relationship Id="rId175" Type="http://schemas.openxmlformats.org/officeDocument/2006/relationships/hyperlink" Target="https://www.draftsharks.com/fantasy/points-outlook/deshaun-watson/7744" TargetMode="External"/><Relationship Id="rId296" Type="http://schemas.openxmlformats.org/officeDocument/2006/relationships/hyperlink" Target="https://www.draftsharks.com/fantasy/points-outlook/joe-milton-iii/35126" TargetMode="External"/><Relationship Id="rId39" Type="http://schemas.openxmlformats.org/officeDocument/2006/relationships/hyperlink" Target="https://www.draftsharks.com/fantasy/points-outlook/breece-hall/12577" TargetMode="External"/><Relationship Id="rId174" Type="http://schemas.openxmlformats.org/officeDocument/2006/relationships/hyperlink" Target="https://www.draftsharks.com/fantasy/points-outlook/troy-franklin/34981" TargetMode="External"/><Relationship Id="rId295" Type="http://schemas.openxmlformats.org/officeDocument/2006/relationships/hyperlink" Target="https://www.draftsharks.com/fantasy/points-outlook/tyson-bagent/14149" TargetMode="External"/><Relationship Id="rId38" Type="http://schemas.openxmlformats.org/officeDocument/2006/relationships/hyperlink" Target="https://www.draftsharks.com/fantasy/points-outlook/kenneth-walker-iii/12579" TargetMode="External"/><Relationship Id="rId173" Type="http://schemas.openxmlformats.org/officeDocument/2006/relationships/hyperlink" Target="https://www.draftsharks.com/fantasy/points-outlook/kayshon-boutte/13582" TargetMode="External"/><Relationship Id="rId294" Type="http://schemas.openxmlformats.org/officeDocument/2006/relationships/hyperlink" Target="https://www.draftsharks.com/fantasy/points-outlook/mac-jones/10756" TargetMode="External"/><Relationship Id="rId179" Type="http://schemas.openxmlformats.org/officeDocument/2006/relationships/hyperlink" Target="https://www.draftsharks.com/fantasy/points-outlook/jerry-jeudy/10598" TargetMode="External"/><Relationship Id="rId178" Type="http://schemas.openxmlformats.org/officeDocument/2006/relationships/hyperlink" Target="https://www.draftsharks.com/fantasy/points-outlook/chris-rodriguez/13677" TargetMode="External"/><Relationship Id="rId299" Type="http://schemas.openxmlformats.org/officeDocument/2006/relationships/hyperlink" Target="https://www.draftsharks.com/fantasy/points-outlook/noah-gray/10886" TargetMode="External"/><Relationship Id="rId177" Type="http://schemas.openxmlformats.org/officeDocument/2006/relationships/hyperlink" Target="https://www.draftsharks.com/fantasy/points-outlook/dalton-schultz/10059" TargetMode="External"/><Relationship Id="rId298" Type="http://schemas.openxmlformats.org/officeDocument/2006/relationships/hyperlink" Target="https://www.draftsharks.com/fantasy/points-outlook/will-howard/35527" TargetMode="External"/><Relationship Id="rId20" Type="http://schemas.openxmlformats.org/officeDocument/2006/relationships/hyperlink" Target="https://www.draftsharks.com/fantasy/points-outlook/justin-herbert/10488" TargetMode="External"/><Relationship Id="rId22" Type="http://schemas.openxmlformats.org/officeDocument/2006/relationships/hyperlink" Target="https://www.draftsharks.com/fantasy/points-outlook/devon-achane/13563" TargetMode="External"/><Relationship Id="rId21" Type="http://schemas.openxmlformats.org/officeDocument/2006/relationships/hyperlink" Target="https://www.draftsharks.com/fantasy/points-outlook/jonathan-taylor/10500" TargetMode="External"/><Relationship Id="rId24" Type="http://schemas.openxmlformats.org/officeDocument/2006/relationships/hyperlink" Target="https://www.draftsharks.com/fantasy/points-outlook/omarion-hampton/35318" TargetMode="External"/><Relationship Id="rId23" Type="http://schemas.openxmlformats.org/officeDocument/2006/relationships/hyperlink" Target="https://www.draftsharks.com/fantasy/points-outlook/drake-london/12594" TargetMode="External"/><Relationship Id="rId26" Type="http://schemas.openxmlformats.org/officeDocument/2006/relationships/hyperlink" Target="https://www.draftsharks.com/fantasy/points-outlook/nico-collins/10796" TargetMode="External"/><Relationship Id="rId25" Type="http://schemas.openxmlformats.org/officeDocument/2006/relationships/hyperlink" Target="https://www.draftsharks.com/fantasy/points-outlook/trevor-lawrence/10748" TargetMode="External"/><Relationship Id="rId28" Type="http://schemas.openxmlformats.org/officeDocument/2006/relationships/hyperlink" Target="https://www.draftsharks.com/fantasy/points-outlook/brock-purdy/12737" TargetMode="External"/><Relationship Id="rId27" Type="http://schemas.openxmlformats.org/officeDocument/2006/relationships/hyperlink" Target="https://www.draftsharks.com/fantasy/points-outlook/brock-bowers/35006" TargetMode="External"/><Relationship Id="rId29" Type="http://schemas.openxmlformats.org/officeDocument/2006/relationships/hyperlink" Target="https://www.draftsharks.com/fantasy/points-outlook/trey-mcbride/12587" TargetMode="External"/><Relationship Id="rId11" Type="http://schemas.openxmlformats.org/officeDocument/2006/relationships/hyperlink" Target="https://www.draftsharks.com/fantasy/points-outlook/caleb-williams/34974" TargetMode="External"/><Relationship Id="rId10" Type="http://schemas.openxmlformats.org/officeDocument/2006/relationships/hyperlink" Target="https://www.draftsharks.com/fantasy/points-outlook/joe-burrow/10482" TargetMode="External"/><Relationship Id="rId13" Type="http://schemas.openxmlformats.org/officeDocument/2006/relationships/hyperlink" Target="https://www.draftsharks.com/fantasy/points-outlook/jeremiyah-love/35925" TargetMode="External"/><Relationship Id="rId12" Type="http://schemas.openxmlformats.org/officeDocument/2006/relationships/hyperlink" Target="https://www.draftsharks.com/fantasy/points-outlook/patrick-mahomes/7746" TargetMode="External"/><Relationship Id="rId15" Type="http://schemas.openxmlformats.org/officeDocument/2006/relationships/hyperlink" Target="https://www.draftsharks.com/fantasy/points-outlook/ceedee-lamb/10590" TargetMode="External"/><Relationship Id="rId198" Type="http://schemas.openxmlformats.org/officeDocument/2006/relationships/hyperlink" Target="https://www.draftsharks.com/fantasy/points-outlook/dontayvion-wicks/13562" TargetMode="External"/><Relationship Id="rId14" Type="http://schemas.openxmlformats.org/officeDocument/2006/relationships/hyperlink" Target="https://www.draftsharks.com/fantasy/points-outlook/amon-ra-st-brown/10783" TargetMode="External"/><Relationship Id="rId197" Type="http://schemas.openxmlformats.org/officeDocument/2006/relationships/hyperlink" Target="https://www.draftsharks.com/fantasy/points-outlook/jauan-jennings/12430" TargetMode="External"/><Relationship Id="rId17" Type="http://schemas.openxmlformats.org/officeDocument/2006/relationships/hyperlink" Target="https://www.draftsharks.com/fantasy/points-outlook/malik-nabers/34977" TargetMode="External"/><Relationship Id="rId196" Type="http://schemas.openxmlformats.org/officeDocument/2006/relationships/hyperlink" Target="https://www.draftsharks.com/fantasy/points-outlook/t-j-hockenson/10223" TargetMode="External"/><Relationship Id="rId16" Type="http://schemas.openxmlformats.org/officeDocument/2006/relationships/hyperlink" Target="https://www.draftsharks.com/fantasy/points-outlook/justin-jefferson/10586" TargetMode="External"/><Relationship Id="rId195" Type="http://schemas.openxmlformats.org/officeDocument/2006/relationships/hyperlink" Target="https://www.draftsharks.com/fantasy/points-outlook/chris-brazzell-ii/35956" TargetMode="External"/><Relationship Id="rId19" Type="http://schemas.openxmlformats.org/officeDocument/2006/relationships/hyperlink" Target="https://www.draftsharks.com/fantasy/points-outlook/jalen-hurts/10490" TargetMode="External"/><Relationship Id="rId18" Type="http://schemas.openxmlformats.org/officeDocument/2006/relationships/hyperlink" Target="https://www.draftsharks.com/fantasy/points-outlook/ashton-jeanty/35317" TargetMode="External"/><Relationship Id="rId199" Type="http://schemas.openxmlformats.org/officeDocument/2006/relationships/hyperlink" Target="https://www.draftsharks.com/fantasy/points-outlook/keaton-mitchell/13674" TargetMode="External"/><Relationship Id="rId84" Type="http://schemas.openxmlformats.org/officeDocument/2006/relationships/hyperlink" Target="https://www.draftsharks.com/fantasy/points-outlook/derrick-henry/7461" TargetMode="External"/><Relationship Id="rId83" Type="http://schemas.openxmlformats.org/officeDocument/2006/relationships/hyperlink" Target="https://www.draftsharks.com/fantasy/points-outlook/kc-concepcion/35951" TargetMode="External"/><Relationship Id="rId86" Type="http://schemas.openxmlformats.org/officeDocument/2006/relationships/hyperlink" Target="https://www.draftsharks.com/fantasy/points-outlook/brian-thomas-jr-/35014" TargetMode="External"/><Relationship Id="rId85" Type="http://schemas.openxmlformats.org/officeDocument/2006/relationships/hyperlink" Target="https://www.draftsharks.com/fantasy/points-outlook/terry-mclaurin/10269" TargetMode="External"/><Relationship Id="rId88" Type="http://schemas.openxmlformats.org/officeDocument/2006/relationships/hyperlink" Target="https://www.draftsharks.com/fantasy/points-outlook/jordan-addison/13546" TargetMode="External"/><Relationship Id="rId150" Type="http://schemas.openxmlformats.org/officeDocument/2006/relationships/hyperlink" Target="https://www.draftsharks.com/fantasy/points-outlook/isaiah-likely/12589" TargetMode="External"/><Relationship Id="rId271" Type="http://schemas.openxmlformats.org/officeDocument/2006/relationships/hyperlink" Target="https://www.draftsharks.com/fantasy/points-outlook/jamarion-miller/35996" TargetMode="External"/><Relationship Id="rId87" Type="http://schemas.openxmlformats.org/officeDocument/2006/relationships/hyperlink" Target="https://www.draftsharks.com/fantasy/points-outlook/javonte-williams/10759" TargetMode="External"/><Relationship Id="rId270" Type="http://schemas.openxmlformats.org/officeDocument/2006/relationships/hyperlink" Target="https://www.draftsharks.com/fantasy/points-outlook/ray-davis/34993" TargetMode="External"/><Relationship Id="rId89" Type="http://schemas.openxmlformats.org/officeDocument/2006/relationships/hyperlink" Target="https://www.draftsharks.com/fantasy/points-outlook/kyle-pitts/10747" TargetMode="External"/><Relationship Id="rId80" Type="http://schemas.openxmlformats.org/officeDocument/2006/relationships/hyperlink" Target="https://www.draftsharks.com/fantasy/points-outlook/cameron-skattebo/35382" TargetMode="External"/><Relationship Id="rId82" Type="http://schemas.openxmlformats.org/officeDocument/2006/relationships/hyperlink" Target="https://www.draftsharks.com/fantasy/points-outlook/ty-simpson/35918" TargetMode="External"/><Relationship Id="rId81" Type="http://schemas.openxmlformats.org/officeDocument/2006/relationships/hyperlink" Target="https://www.draftsharks.com/fantasy/points-outlook/christian-watson/12607" TargetMode="External"/><Relationship Id="rId1" Type="http://schemas.openxmlformats.org/officeDocument/2006/relationships/hyperlink" Target="https://www.draftsharks.com/fantasy/points-outlook/josh-allen/9962" TargetMode="External"/><Relationship Id="rId2" Type="http://schemas.openxmlformats.org/officeDocument/2006/relationships/hyperlink" Target="https://www.draftsharks.com/fantasy/points-outlook/drake-maye/15318" TargetMode="External"/><Relationship Id="rId3" Type="http://schemas.openxmlformats.org/officeDocument/2006/relationships/hyperlink" Target="https://www.draftsharks.com/fantasy/points-outlook/jayden-daniels/34982" TargetMode="External"/><Relationship Id="rId149" Type="http://schemas.openxmlformats.org/officeDocument/2006/relationships/hyperlink" Target="https://www.draftsharks.com/fantasy/points-outlook/tre-harris/35339" TargetMode="External"/><Relationship Id="rId4" Type="http://schemas.openxmlformats.org/officeDocument/2006/relationships/hyperlink" Target="https://www.draftsharks.com/fantasy/points-outlook/lamar-jackson/9964" TargetMode="External"/><Relationship Id="rId148" Type="http://schemas.openxmlformats.org/officeDocument/2006/relationships/hyperlink" Target="https://www.draftsharks.com/fantasy/points-outlook/braelon-allen/34996" TargetMode="External"/><Relationship Id="rId269" Type="http://schemas.openxmlformats.org/officeDocument/2006/relationships/hyperlink" Target="https://www.draftsharks.com/fantasy/points-outlook/jatavion-sanders/35007" TargetMode="External"/><Relationship Id="rId9" Type="http://schemas.openxmlformats.org/officeDocument/2006/relationships/hyperlink" Target="https://www.draftsharks.com/fantasy/points-outlook/puka-nacua/13680" TargetMode="External"/><Relationship Id="rId143" Type="http://schemas.openxmlformats.org/officeDocument/2006/relationships/hyperlink" Target="https://www.draftsharks.com/fantasy/points-outlook/rico-dowdle/12103" TargetMode="External"/><Relationship Id="rId264" Type="http://schemas.openxmlformats.org/officeDocument/2006/relationships/hyperlink" Target="https://www.draftsharks.com/fantasy/points-outlook/keenan-allen/6678" TargetMode="External"/><Relationship Id="rId142" Type="http://schemas.openxmlformats.org/officeDocument/2006/relationships/hyperlink" Target="https://www.draftsharks.com/fantasy/points-outlook/dezhaun-stribling/36057" TargetMode="External"/><Relationship Id="rId263" Type="http://schemas.openxmlformats.org/officeDocument/2006/relationships/hyperlink" Target="https://www.draftsharks.com/fantasy/points-outlook/chimere-dike/35563" TargetMode="External"/><Relationship Id="rId141" Type="http://schemas.openxmlformats.org/officeDocument/2006/relationships/hyperlink" Target="https://www.draftsharks.com/fantasy/points-outlook/rashid-shaheed/13347" TargetMode="External"/><Relationship Id="rId262" Type="http://schemas.openxmlformats.org/officeDocument/2006/relationships/hyperlink" Target="https://www.draftsharks.com/fantasy/points-outlook/darnell-mooney/10628" TargetMode="External"/><Relationship Id="rId140" Type="http://schemas.openxmlformats.org/officeDocument/2006/relationships/hyperlink" Target="https://www.draftsharks.com/fantasy/points-outlook/kenneth-gainwell/10761" TargetMode="External"/><Relationship Id="rId261" Type="http://schemas.openxmlformats.org/officeDocument/2006/relationships/hyperlink" Target="https://www.draftsharks.com/fantasy/points-outlook/cedric-tillman/13555" TargetMode="External"/><Relationship Id="rId5" Type="http://schemas.openxmlformats.org/officeDocument/2006/relationships/hyperlink" Target="https://www.draftsharks.com/fantasy/points-outlook/jamarr-chase/10771" TargetMode="External"/><Relationship Id="rId147" Type="http://schemas.openxmlformats.org/officeDocument/2006/relationships/hyperlink" Target="https://www.draftsharks.com/fantasy/points-outlook/jalen-coker/35137" TargetMode="External"/><Relationship Id="rId268" Type="http://schemas.openxmlformats.org/officeDocument/2006/relationships/hyperlink" Target="https://www.draftsharks.com/fantasy/points-outlook/dj-giddens/35528" TargetMode="External"/><Relationship Id="rId6" Type="http://schemas.openxmlformats.org/officeDocument/2006/relationships/hyperlink" Target="https://www.draftsharks.com/fantasy/points-outlook/bijan-robinson/13541" TargetMode="External"/><Relationship Id="rId146" Type="http://schemas.openxmlformats.org/officeDocument/2006/relationships/hyperlink" Target="https://www.draftsharks.com/fantasy/points-outlook/germie-bernard/35953" TargetMode="External"/><Relationship Id="rId267" Type="http://schemas.openxmlformats.org/officeDocument/2006/relationships/hyperlink" Target="https://www.draftsharks.com/fantasy/points-outlook/najee-harris/10758" TargetMode="External"/><Relationship Id="rId7" Type="http://schemas.openxmlformats.org/officeDocument/2006/relationships/hyperlink" Target="https://www.draftsharks.com/fantasy/points-outlook/jaxon-smith-njigba/13547" TargetMode="External"/><Relationship Id="rId145" Type="http://schemas.openxmlformats.org/officeDocument/2006/relationships/hyperlink" Target="https://www.draftsharks.com/fantasy/points-outlook/jonathon-brooks/34987" TargetMode="External"/><Relationship Id="rId266" Type="http://schemas.openxmlformats.org/officeDocument/2006/relationships/hyperlink" Target="https://www.draftsharks.com/fantasy/points-outlook/xavier-legette/35020" TargetMode="External"/><Relationship Id="rId8" Type="http://schemas.openxmlformats.org/officeDocument/2006/relationships/hyperlink" Target="https://www.draftsharks.com/fantasy/points-outlook/jahmyr-gibbs/13542" TargetMode="External"/><Relationship Id="rId144" Type="http://schemas.openxmlformats.org/officeDocument/2006/relationships/hyperlink" Target="https://www.draftsharks.com/fantasy/points-outlook/george-kittle/9540" TargetMode="External"/><Relationship Id="rId265" Type="http://schemas.openxmlformats.org/officeDocument/2006/relationships/hyperlink" Target="https://www.draftsharks.com/fantasy/points-outlook/kirk-cousins/5105" TargetMode="External"/><Relationship Id="rId73" Type="http://schemas.openxmlformats.org/officeDocument/2006/relationships/hyperlink" Target="https://www.draftsharks.com/fantasy/points-outlook/malik-willis/12572" TargetMode="External"/><Relationship Id="rId72" Type="http://schemas.openxmlformats.org/officeDocument/2006/relationships/hyperlink" Target="https://www.draftsharks.com/fantasy/points-outlook/harold-fannin-jr-/35361" TargetMode="External"/><Relationship Id="rId75" Type="http://schemas.openxmlformats.org/officeDocument/2006/relationships/hyperlink" Target="https://www.draftsharks.com/fantasy/points-outlook/rome-odunze/34980" TargetMode="External"/><Relationship Id="rId74" Type="http://schemas.openxmlformats.org/officeDocument/2006/relationships/hyperlink" Target="https://www.draftsharks.com/fantasy/points-outlook/bryce-young/13540" TargetMode="External"/><Relationship Id="rId77" Type="http://schemas.openxmlformats.org/officeDocument/2006/relationships/hyperlink" Target="https://www.draftsharks.com/fantasy/points-outlook/jadarian-price/35926" TargetMode="External"/><Relationship Id="rId260" Type="http://schemas.openxmlformats.org/officeDocument/2006/relationships/hyperlink" Target="https://www.draftsharks.com/fantasy/points-outlook/james-conner/7778" TargetMode="External"/><Relationship Id="rId76" Type="http://schemas.openxmlformats.org/officeDocument/2006/relationships/hyperlink" Target="https://www.draftsharks.com/fantasy/points-outlook/matthew-stafford/2" TargetMode="External"/><Relationship Id="rId79" Type="http://schemas.openxmlformats.org/officeDocument/2006/relationships/hyperlink" Target="https://www.draftsharks.com/fantasy/points-outlook/daniel-jones/10225" TargetMode="External"/><Relationship Id="rId78" Type="http://schemas.openxmlformats.org/officeDocument/2006/relationships/hyperlink" Target="https://www.draftsharks.com/fantasy/points-outlook/tucker-kraft/13575" TargetMode="External"/><Relationship Id="rId71" Type="http://schemas.openxmlformats.org/officeDocument/2006/relationships/hyperlink" Target="https://www.draftsharks.com/fantasy/points-outlook/tyler-warren/35359" TargetMode="External"/><Relationship Id="rId70" Type="http://schemas.openxmlformats.org/officeDocument/2006/relationships/hyperlink" Target="https://www.draftsharks.com/fantasy/points-outlook/kyren-williams/12580" TargetMode="External"/><Relationship Id="rId139" Type="http://schemas.openxmlformats.org/officeDocument/2006/relationships/hyperlink" Target="https://www.draftsharks.com/fantasy/points-outlook/eli-stowers/35974" TargetMode="External"/><Relationship Id="rId138" Type="http://schemas.openxmlformats.org/officeDocument/2006/relationships/hyperlink" Target="https://www.draftsharks.com/fantasy/points-outlook/tyjae-spears/13569" TargetMode="External"/><Relationship Id="rId259" Type="http://schemas.openxmlformats.org/officeDocument/2006/relationships/hyperlink" Target="https://www.draftsharks.com/fantasy/points-outlook/kevin-coleman-jr-/36008" TargetMode="External"/><Relationship Id="rId137" Type="http://schemas.openxmlformats.org/officeDocument/2006/relationships/hyperlink" Target="https://www.draftsharks.com/fantasy/points-outlook/kyle-monangai/35326" TargetMode="External"/><Relationship Id="rId258" Type="http://schemas.openxmlformats.org/officeDocument/2006/relationships/hyperlink" Target="https://www.draftsharks.com/fantasy/points-outlook/pat-bryant/35355" TargetMode="External"/><Relationship Id="rId132" Type="http://schemas.openxmlformats.org/officeDocument/2006/relationships/hyperlink" Target="https://www.draftsharks.com/fantasy/points-outlook/denzel-boston/35949" TargetMode="External"/><Relationship Id="rId253" Type="http://schemas.openxmlformats.org/officeDocument/2006/relationships/hyperlink" Target="https://www.draftsharks.com/fantasy/points-outlook/kyle-williams/35557" TargetMode="External"/><Relationship Id="rId131" Type="http://schemas.openxmlformats.org/officeDocument/2006/relationships/hyperlink" Target="https://www.draftsharks.com/fantasy/points-outlook/jacory-croskey-merritt/35720" TargetMode="External"/><Relationship Id="rId252" Type="http://schemas.openxmlformats.org/officeDocument/2006/relationships/hyperlink" Target="https://www.draftsharks.com/fantasy/points-outlook/ryan-flournoy/35132" TargetMode="External"/><Relationship Id="rId130" Type="http://schemas.openxmlformats.org/officeDocument/2006/relationships/hyperlink" Target="https://www.draftsharks.com/fantasy/points-outlook/quentin-johnston/13545" TargetMode="External"/><Relationship Id="rId251" Type="http://schemas.openxmlformats.org/officeDocument/2006/relationships/hyperlink" Target="https://www.draftsharks.com/fantasy/points-outlook/sean-tucker/13568" TargetMode="External"/><Relationship Id="rId250" Type="http://schemas.openxmlformats.org/officeDocument/2006/relationships/hyperlink" Target="https://www.draftsharks.com/fantasy/points-outlook/mike-gesicki/10008" TargetMode="External"/><Relationship Id="rId136" Type="http://schemas.openxmlformats.org/officeDocument/2006/relationships/hyperlink" Target="https://www.draftsharks.com/fantasy/points-outlook/jordan-mason/13153" TargetMode="External"/><Relationship Id="rId257" Type="http://schemas.openxmlformats.org/officeDocument/2006/relationships/hyperlink" Target="https://www.draftsharks.com/fantasy/points-outlook/isaiah-bond/35337" TargetMode="External"/><Relationship Id="rId135" Type="http://schemas.openxmlformats.org/officeDocument/2006/relationships/hyperlink" Target="https://www.draftsharks.com/fantasy/points-outlook/j-k-dobbins/10478" TargetMode="External"/><Relationship Id="rId256" Type="http://schemas.openxmlformats.org/officeDocument/2006/relationships/hyperlink" Target="https://www.draftsharks.com/fantasy/points-outlook/brashard-smith/35522" TargetMode="External"/><Relationship Id="rId134" Type="http://schemas.openxmlformats.org/officeDocument/2006/relationships/hyperlink" Target="https://www.draftsharks.com/fantasy/points-outlook/blake-corum/34990" TargetMode="External"/><Relationship Id="rId255" Type="http://schemas.openxmlformats.org/officeDocument/2006/relationships/hyperlink" Target="https://www.draftsharks.com/fantasy/points-outlook/darnell-washington/13574" TargetMode="External"/><Relationship Id="rId133" Type="http://schemas.openxmlformats.org/officeDocument/2006/relationships/hyperlink" Target="https://www.draftsharks.com/fantasy/points-outlook/jake-ferguson/12708" TargetMode="External"/><Relationship Id="rId254" Type="http://schemas.openxmlformats.org/officeDocument/2006/relationships/hyperlink" Target="https://www.draftsharks.com/fantasy/points-outlook/nathaniel-dell/13552" TargetMode="External"/><Relationship Id="rId62" Type="http://schemas.openxmlformats.org/officeDocument/2006/relationships/hyperlink" Target="https://www.draftsharks.com/fantasy/points-outlook/a-j-brown/10198" TargetMode="External"/><Relationship Id="rId61" Type="http://schemas.openxmlformats.org/officeDocument/2006/relationships/hyperlink" Target="https://www.draftsharks.com/fantasy/points-outlook/josh-jacobs/10195" TargetMode="External"/><Relationship Id="rId64" Type="http://schemas.openxmlformats.org/officeDocument/2006/relationships/hyperlink" Target="https://www.draftsharks.com/fantasy/points-outlook/cameron-ward/35310" TargetMode="External"/><Relationship Id="rId63" Type="http://schemas.openxmlformats.org/officeDocument/2006/relationships/hyperlink" Target="https://www.draftsharks.com/fantasy/points-outlook/devonta-smith/10773" TargetMode="External"/><Relationship Id="rId66" Type="http://schemas.openxmlformats.org/officeDocument/2006/relationships/hyperlink" Target="https://www.draftsharks.com/fantasy/points-outlook/sam-darnold/9963" TargetMode="External"/><Relationship Id="rId172" Type="http://schemas.openxmlformats.org/officeDocument/2006/relationships/hyperlink" Target="https://www.draftsharks.com/fantasy/points-outlook/travis-hunter/35371" TargetMode="External"/><Relationship Id="rId293" Type="http://schemas.openxmlformats.org/officeDocument/2006/relationships/hyperlink" Target="https://www.draftsharks.com/fantasy/points-outlook/justin-fields/10754" TargetMode="External"/><Relationship Id="rId65" Type="http://schemas.openxmlformats.org/officeDocument/2006/relationships/hyperlink" Target="https://www.draftsharks.com/fantasy/points-outlook/luther-burden-iii/35334" TargetMode="External"/><Relationship Id="rId171" Type="http://schemas.openxmlformats.org/officeDocument/2006/relationships/hyperlink" Target="https://www.draftsharks.com/fantasy/points-outlook/gunnar-helm/35365" TargetMode="External"/><Relationship Id="rId292" Type="http://schemas.openxmlformats.org/officeDocument/2006/relationships/hyperlink" Target="https://www.draftsharks.com/fantasy/points-outlook/jameis-winston/7203" TargetMode="External"/><Relationship Id="rId68" Type="http://schemas.openxmlformats.org/officeDocument/2006/relationships/hyperlink" Target="https://www.draftsharks.com/fantasy/points-outlook/bucky-irving/34991" TargetMode="External"/><Relationship Id="rId170" Type="http://schemas.openxmlformats.org/officeDocument/2006/relationships/hyperlink" Target="https://www.draftsharks.com/fantasy/points-outlook/tyrone-tracy-jr-/34997" TargetMode="External"/><Relationship Id="rId291" Type="http://schemas.openxmlformats.org/officeDocument/2006/relationships/hyperlink" Target="https://www.draftsharks.com/fantasy/points-outlook/michael-trigg/35979" TargetMode="External"/><Relationship Id="rId67" Type="http://schemas.openxmlformats.org/officeDocument/2006/relationships/hyperlink" Target="https://www.draftsharks.com/fantasy/points-outlook/jaylen-waddle/10772" TargetMode="External"/><Relationship Id="rId290" Type="http://schemas.openxmlformats.org/officeDocument/2006/relationships/hyperlink" Target="https://www.draftsharks.com/fantasy/points-outlook/jmari-taylor/36002" TargetMode="External"/><Relationship Id="rId60" Type="http://schemas.openxmlformats.org/officeDocument/2006/relationships/hyperlink" Target="https://www.draftsharks.com/fantasy/points-outlook/makai-lemon/35948" TargetMode="External"/><Relationship Id="rId165" Type="http://schemas.openxmlformats.org/officeDocument/2006/relationships/hyperlink" Target="https://www.draftsharks.com/fantasy/points-outlook/aj-barner/35009" TargetMode="External"/><Relationship Id="rId286" Type="http://schemas.openxmlformats.org/officeDocument/2006/relationships/hyperlink" Target="https://www.draftsharks.com/fantasy/points-outlook/christian-kirk/9969" TargetMode="External"/><Relationship Id="rId69" Type="http://schemas.openxmlformats.org/officeDocument/2006/relationships/hyperlink" Target="https://www.draftsharks.com/fantasy/points-outlook/jameson-williams/12595" TargetMode="External"/><Relationship Id="rId164" Type="http://schemas.openxmlformats.org/officeDocument/2006/relationships/hyperlink" Target="https://www.draftsharks.com/fantasy/points-outlook/travis-kelce/6709" TargetMode="External"/><Relationship Id="rId285" Type="http://schemas.openxmlformats.org/officeDocument/2006/relationships/hyperlink" Target="https://www.draftsharks.com/fantasy/points-outlook/cooper-kupp/7761" TargetMode="External"/><Relationship Id="rId163" Type="http://schemas.openxmlformats.org/officeDocument/2006/relationships/hyperlink" Target="https://www.draftsharks.com/fantasy/points-outlook/ted-hurst/35963" TargetMode="External"/><Relationship Id="rId284" Type="http://schemas.openxmlformats.org/officeDocument/2006/relationships/hyperlink" Target="https://www.draftsharks.com/fantasy/points-outlook/jake-tonges/35877" TargetMode="External"/><Relationship Id="rId162" Type="http://schemas.openxmlformats.org/officeDocument/2006/relationships/hyperlink" Target="https://www.draftsharks.com/fantasy/points-outlook/jonah-coleman/35927" TargetMode="External"/><Relationship Id="rId283" Type="http://schemas.openxmlformats.org/officeDocument/2006/relationships/hyperlink" Target="https://www.draftsharks.com/fantasy/points-outlook/marcus-mariota/7204" TargetMode="External"/><Relationship Id="rId169" Type="http://schemas.openxmlformats.org/officeDocument/2006/relationships/hyperlink" Target="https://www.draftsharks.com/fantasy/points-outlook/aaron-jones/9550" TargetMode="External"/><Relationship Id="rId168" Type="http://schemas.openxmlformats.org/officeDocument/2006/relationships/hyperlink" Target="https://www.draftsharks.com/fantasy/points-outlook/ricky-pearsall/35023" TargetMode="External"/><Relationship Id="rId289" Type="http://schemas.openxmlformats.org/officeDocument/2006/relationships/hyperlink" Target="https://www.draftsharks.com/fantasy/points-outlook/riley-leonard/35316" TargetMode="External"/><Relationship Id="rId167" Type="http://schemas.openxmlformats.org/officeDocument/2006/relationships/hyperlink" Target="https://www.draftsharks.com/fantasy/points-outlook/chigoziem-okonkwo/12711" TargetMode="External"/><Relationship Id="rId288" Type="http://schemas.openxmlformats.org/officeDocument/2006/relationships/hyperlink" Target="https://www.draftsharks.com/fantasy/points-outlook/jahan-dotson/12597" TargetMode="External"/><Relationship Id="rId166" Type="http://schemas.openxmlformats.org/officeDocument/2006/relationships/hyperlink" Target="https://www.draftsharks.com/fantasy/points-outlook/hunter-henry/7470" TargetMode="External"/><Relationship Id="rId287" Type="http://schemas.openxmlformats.org/officeDocument/2006/relationships/hyperlink" Target="https://www.draftsharks.com/fantasy/points-outlook/ben-sinnott/35012" TargetMode="External"/><Relationship Id="rId51" Type="http://schemas.openxmlformats.org/officeDocument/2006/relationships/hyperlink" Target="https://www.draftsharks.com/fantasy/points-outlook/ladd-mcconkey/35015" TargetMode="External"/><Relationship Id="rId50" Type="http://schemas.openxmlformats.org/officeDocument/2006/relationships/hyperlink" Target="https://www.draftsharks.com/fantasy/points-outlook/kyler-murray/10217" TargetMode="External"/><Relationship Id="rId53" Type="http://schemas.openxmlformats.org/officeDocument/2006/relationships/hyperlink" Target="https://www.draftsharks.com/fantasy/points-outlook/quinshon-judkins/35320" TargetMode="External"/><Relationship Id="rId52" Type="http://schemas.openxmlformats.org/officeDocument/2006/relationships/hyperlink" Target="https://www.draftsharks.com/fantasy/points-outlook/rashee-rice/13553" TargetMode="External"/><Relationship Id="rId55" Type="http://schemas.openxmlformats.org/officeDocument/2006/relationships/hyperlink" Target="https://www.draftsharks.com/fantasy/points-outlook/jared-goff/7449" TargetMode="External"/><Relationship Id="rId161" Type="http://schemas.openxmlformats.org/officeDocument/2006/relationships/hyperlink" Target="https://www.draftsharks.com/fantasy/points-outlook/elijah-arroyo/35366" TargetMode="External"/><Relationship Id="rId282" Type="http://schemas.openxmlformats.org/officeDocument/2006/relationships/hyperlink" Target="https://www.draftsharks.com/fantasy/points-outlook/tyquan-thornton/12679" TargetMode="External"/><Relationship Id="rId54" Type="http://schemas.openxmlformats.org/officeDocument/2006/relationships/hyperlink" Target="https://www.draftsharks.com/fantasy/points-outlook/tee-higgins/10607" TargetMode="External"/><Relationship Id="rId160" Type="http://schemas.openxmlformats.org/officeDocument/2006/relationships/hyperlink" Target="https://www.draftsharks.com/fantasy/points-outlook/jakobi-lane/35955" TargetMode="External"/><Relationship Id="rId281" Type="http://schemas.openxmlformats.org/officeDocument/2006/relationships/hyperlink" Target="https://www.draftsharks.com/fantasy/points-outlook/joe-mixon/7774" TargetMode="External"/><Relationship Id="rId57" Type="http://schemas.openxmlformats.org/officeDocument/2006/relationships/hyperlink" Target="https://www.draftsharks.com/fantasy/points-outlook/jordyn-tyson/35947" TargetMode="External"/><Relationship Id="rId280" Type="http://schemas.openxmlformats.org/officeDocument/2006/relationships/hyperlink" Target="https://www.draftsharks.com/fantasy/points-outlook/garrett-nussmeier/35921" TargetMode="External"/><Relationship Id="rId56" Type="http://schemas.openxmlformats.org/officeDocument/2006/relationships/hyperlink" Target="https://www.draftsharks.com/fantasy/points-outlook/carnell-tate/35950" TargetMode="External"/><Relationship Id="rId159" Type="http://schemas.openxmlformats.org/officeDocument/2006/relationships/hyperlink" Target="https://www.draftsharks.com/fantasy/points-outlook/jaylin-noel/35357" TargetMode="External"/><Relationship Id="rId59" Type="http://schemas.openxmlformats.org/officeDocument/2006/relationships/hyperlink" Target="https://www.draftsharks.com/fantasy/points-outlook/tyler-shough/35510" TargetMode="External"/><Relationship Id="rId154" Type="http://schemas.openxmlformats.org/officeDocument/2006/relationships/hyperlink" Target="https://www.draftsharks.com/fantasy/points-outlook/jacoby-brissett/7555" TargetMode="External"/><Relationship Id="rId275" Type="http://schemas.openxmlformats.org/officeDocument/2006/relationships/hyperlink" Target="https://www.draftsharks.com/fantasy/points-outlook/deion-burks/35964" TargetMode="External"/><Relationship Id="rId58" Type="http://schemas.openxmlformats.org/officeDocument/2006/relationships/hyperlink" Target="https://www.draftsharks.com/fantasy/points-outlook/chase-brown/13586" TargetMode="External"/><Relationship Id="rId153" Type="http://schemas.openxmlformats.org/officeDocument/2006/relationships/hyperlink" Target="https://www.draftsharks.com/fantasy/points-outlook/brenton-strange/13686" TargetMode="External"/><Relationship Id="rId274" Type="http://schemas.openxmlformats.org/officeDocument/2006/relationships/hyperlink" Target="https://www.draftsharks.com/fantasy/points-outlook/aaron-rodgers/2636" TargetMode="External"/><Relationship Id="rId152" Type="http://schemas.openxmlformats.org/officeDocument/2006/relationships/hyperlink" Target="https://www.draftsharks.com/fantasy/points-outlook/antonio-williams/35957" TargetMode="External"/><Relationship Id="rId273" Type="http://schemas.openxmlformats.org/officeDocument/2006/relationships/hyperlink" Target="https://www.draftsharks.com/fantasy/points-outlook/cole-kmet/10485" TargetMode="External"/><Relationship Id="rId151" Type="http://schemas.openxmlformats.org/officeDocument/2006/relationships/hyperlink" Target="https://www.draftsharks.com/fantasy/points-outlook/jalen-mcmillan/35026" TargetMode="External"/><Relationship Id="rId272" Type="http://schemas.openxmlformats.org/officeDocument/2006/relationships/hyperlink" Target="https://www.draftsharks.com/fantasy/points-outlook/marquise-brown/10204" TargetMode="External"/><Relationship Id="rId158" Type="http://schemas.openxmlformats.org/officeDocument/2006/relationships/hyperlink" Target="https://www.draftsharks.com/fantasy/points-outlook/terrance-ferguson/35364" TargetMode="External"/><Relationship Id="rId279" Type="http://schemas.openxmlformats.org/officeDocument/2006/relationships/hyperlink" Target="https://www.draftsharks.com/fantasy/points-outlook/calvin-ridley/9966" TargetMode="External"/><Relationship Id="rId157" Type="http://schemas.openxmlformats.org/officeDocument/2006/relationships/hyperlink" Target="https://www.draftsharks.com/fantasy/points-outlook/juwan-johnson/12426" TargetMode="External"/><Relationship Id="rId278" Type="http://schemas.openxmlformats.org/officeDocument/2006/relationships/hyperlink" Target="https://www.draftsharks.com/fantasy/points-outlook/devaughn-vele/35134" TargetMode="External"/><Relationship Id="rId156" Type="http://schemas.openxmlformats.org/officeDocument/2006/relationships/hyperlink" Target="https://www.draftsharks.com/fantasy/points-outlook/dallas-goedert/9997" TargetMode="External"/><Relationship Id="rId277" Type="http://schemas.openxmlformats.org/officeDocument/2006/relationships/hyperlink" Target="https://www.draftsharks.com/fantasy/points-outlook/tez-johnson/35342" TargetMode="External"/><Relationship Id="rId155" Type="http://schemas.openxmlformats.org/officeDocument/2006/relationships/hyperlink" Target="https://www.draftsharks.com/fantasy/points-outlook/mark-andrews/10009" TargetMode="External"/><Relationship Id="rId276" Type="http://schemas.openxmlformats.org/officeDocument/2006/relationships/hyperlink" Target="https://www.draftsharks.com/fantasy/points-outlook/donte-thornton-jr-/35544" TargetMode="External"/><Relationship Id="rId107" Type="http://schemas.openxmlformats.org/officeDocument/2006/relationships/hyperlink" Target="https://www.draftsharks.com/fantasy/points-outlook/michael-penix-jr-/34983" TargetMode="External"/><Relationship Id="rId228" Type="http://schemas.openxmlformats.org/officeDocument/2006/relationships/hyperlink" Target="https://www.draftsharks.com/fantasy/points-outlook/marvin-mims-jr-/13554" TargetMode="External"/><Relationship Id="rId106" Type="http://schemas.openxmlformats.org/officeDocument/2006/relationships/hyperlink" Target="https://www.draftsharks.com/fantasy/points-outlook/sam-laporta/13576" TargetMode="External"/><Relationship Id="rId227" Type="http://schemas.openxmlformats.org/officeDocument/2006/relationships/hyperlink" Target="https://www.draftsharks.com/fantasy/points-outlook/kaelon-black/36026" TargetMode="External"/><Relationship Id="rId105" Type="http://schemas.openxmlformats.org/officeDocument/2006/relationships/hyperlink" Target="https://www.draftsharks.com/fantasy/points-outlook/courtland-sutton/9968" TargetMode="External"/><Relationship Id="rId226" Type="http://schemas.openxmlformats.org/officeDocument/2006/relationships/hyperlink" Target="https://www.draftsharks.com/fantasy/points-outlook/jalen-nailor/12720" TargetMode="External"/><Relationship Id="rId104" Type="http://schemas.openxmlformats.org/officeDocument/2006/relationships/hyperlink" Target="https://www.draftsharks.com/fantasy/points-outlook/kenyon-sadiq/35973" TargetMode="External"/><Relationship Id="rId225" Type="http://schemas.openxmlformats.org/officeDocument/2006/relationships/hyperlink" Target="https://www.draftsharks.com/fantasy/points-outlook/jalen-milroe/35311" TargetMode="External"/><Relationship Id="rId109" Type="http://schemas.openxmlformats.org/officeDocument/2006/relationships/hyperlink" Target="https://www.draftsharks.com/fantasy/points-outlook/wandale-robinson/12600" TargetMode="External"/><Relationship Id="rId108" Type="http://schemas.openxmlformats.org/officeDocument/2006/relationships/hyperlink" Target="https://www.draftsharks.com/fantasy/points-outlook/khalil-shakir/12603" TargetMode="External"/><Relationship Id="rId229" Type="http://schemas.openxmlformats.org/officeDocument/2006/relationships/hyperlink" Target="https://www.draftsharks.com/fantasy/points-outlook/keon-coleman/35017" TargetMode="External"/><Relationship Id="rId220" Type="http://schemas.openxmlformats.org/officeDocument/2006/relationships/hyperlink" Target="https://www.draftsharks.com/fantasy/points-outlook/trey-benson/34989" TargetMode="External"/><Relationship Id="rId103" Type="http://schemas.openxmlformats.org/officeDocument/2006/relationships/hyperlink" Target="https://www.draftsharks.com/fantasy/points-outlook/jayden-higgins/35345" TargetMode="External"/><Relationship Id="rId224" Type="http://schemas.openxmlformats.org/officeDocument/2006/relationships/hyperlink" Target="https://www.draftsharks.com/fantasy/points-outlook/deebo-samuel/10205" TargetMode="External"/><Relationship Id="rId102" Type="http://schemas.openxmlformats.org/officeDocument/2006/relationships/hyperlink" Target="https://www.draftsharks.com/fantasy/points-outlook/michael-pittman-jr-/10584" TargetMode="External"/><Relationship Id="rId223" Type="http://schemas.openxmlformats.org/officeDocument/2006/relationships/hyperlink" Target="https://www.draftsharks.com/fantasy/points-outlook/adam-randall/35991" TargetMode="External"/><Relationship Id="rId101" Type="http://schemas.openxmlformats.org/officeDocument/2006/relationships/hyperlink" Target="https://www.draftsharks.com/fantasy/points-outlook/alec-pierce/12605" TargetMode="External"/><Relationship Id="rId222" Type="http://schemas.openxmlformats.org/officeDocument/2006/relationships/hyperlink" Target="https://www.draftsharks.com/fantasy/points-outlook/jaylen-wright/34988" TargetMode="External"/><Relationship Id="rId100" Type="http://schemas.openxmlformats.org/officeDocument/2006/relationships/hyperlink" Target="https://www.draftsharks.com/fantasy/points-outlook/mike-evans/6938" TargetMode="External"/><Relationship Id="rId221" Type="http://schemas.openxmlformats.org/officeDocument/2006/relationships/hyperlink" Target="https://www.draftsharks.com/fantasy/points-outlook/cade-klubnik/35923" TargetMode="External"/><Relationship Id="rId217" Type="http://schemas.openxmlformats.org/officeDocument/2006/relationships/hyperlink" Target="https://www.draftsharks.com/fantasy/points-outlook/brandon-aiyuk/10582" TargetMode="External"/><Relationship Id="rId216" Type="http://schemas.openxmlformats.org/officeDocument/2006/relationships/hyperlink" Target="https://www.draftsharks.com/fantasy/points-outlook/elijah-sarratt/35954" TargetMode="External"/><Relationship Id="rId215" Type="http://schemas.openxmlformats.org/officeDocument/2006/relationships/hyperlink" Target="https://www.draftsharks.com/fantasy/points-outlook/lequint-allen/35514" TargetMode="External"/><Relationship Id="rId214" Type="http://schemas.openxmlformats.org/officeDocument/2006/relationships/hyperlink" Target="https://www.draftsharks.com/fantasy/points-outlook/ollie-gordon-ii/35321" TargetMode="External"/><Relationship Id="rId219" Type="http://schemas.openxmlformats.org/officeDocument/2006/relationships/hyperlink" Target="https://www.draftsharks.com/fantasy/points-outlook/isaac-teslaa/35572" TargetMode="External"/><Relationship Id="rId218" Type="http://schemas.openxmlformats.org/officeDocument/2006/relationships/hyperlink" Target="https://www.draftsharks.com/fantasy/points-outlook/theo-johnson/35010" TargetMode="External"/><Relationship Id="rId213" Type="http://schemas.openxmlformats.org/officeDocument/2006/relationships/hyperlink" Target="https://www.draftsharks.com/fantasy/points-outlook/tory-horton/35349" TargetMode="External"/><Relationship Id="rId212" Type="http://schemas.openxmlformats.org/officeDocument/2006/relationships/hyperlink" Target="https://www.draftsharks.com/fantasy/points-outlook/adonai-mitchell/35018" TargetMode="External"/><Relationship Id="rId211" Type="http://schemas.openxmlformats.org/officeDocument/2006/relationships/hyperlink" Target="https://www.draftsharks.com/fantasy/points-outlook/isaiah-davis/35005" TargetMode="External"/><Relationship Id="rId210" Type="http://schemas.openxmlformats.org/officeDocument/2006/relationships/hyperlink" Target="https://www.draftsharks.com/fantasy/points-outlook/tank-bigsby/13565" TargetMode="External"/><Relationship Id="rId129" Type="http://schemas.openxmlformats.org/officeDocument/2006/relationships/hyperlink" Target="https://www.draftsharks.com/fantasy/points-outlook/oronde-gadsden-ii/35532" TargetMode="External"/><Relationship Id="rId128" Type="http://schemas.openxmlformats.org/officeDocument/2006/relationships/hyperlink" Target="https://www.draftsharks.com/fantasy/points-outlook/woody-marks/35328" TargetMode="External"/><Relationship Id="rId249" Type="http://schemas.openxmlformats.org/officeDocument/2006/relationships/hyperlink" Target="https://www.draftsharks.com/fantasy/points-outlook/trevor-etienne/35525" TargetMode="External"/><Relationship Id="rId127" Type="http://schemas.openxmlformats.org/officeDocument/2006/relationships/hyperlink" Target="https://www.draftsharks.com/fantasy/points-outlook/j-j-mccarthy/34985" TargetMode="External"/><Relationship Id="rId248" Type="http://schemas.openxmlformats.org/officeDocument/2006/relationships/hyperlink" Target="https://www.draftsharks.com/fantasy/points-outlook/kendre-miller/13570" TargetMode="External"/><Relationship Id="rId126" Type="http://schemas.openxmlformats.org/officeDocument/2006/relationships/hyperlink" Target="https://www.draftsharks.com/fantasy/points-outlook/chris-godwin/7783" TargetMode="External"/><Relationship Id="rId247" Type="http://schemas.openxmlformats.org/officeDocument/2006/relationships/hyperlink" Target="https://www.draftsharks.com/fantasy/points-outlook/jalen-royals/35340" TargetMode="External"/><Relationship Id="rId121" Type="http://schemas.openxmlformats.org/officeDocument/2006/relationships/hyperlink" Target="https://www.draftsharks.com/fantasy/points-outlook/jakobi-meyers/10364" TargetMode="External"/><Relationship Id="rId242" Type="http://schemas.openxmlformats.org/officeDocument/2006/relationships/hyperlink" Target="https://www.draftsharks.com/fantasy/points-outlook/alvin-kamara/7751" TargetMode="External"/><Relationship Id="rId120" Type="http://schemas.openxmlformats.org/officeDocument/2006/relationships/hyperlink" Target="https://www.draftsharks.com/fantasy/points-outlook/jayden-reed/13557" TargetMode="External"/><Relationship Id="rId241" Type="http://schemas.openxmlformats.org/officeDocument/2006/relationships/hyperlink" Target="https://www.draftsharks.com/fantasy/points-outlook/colby-parkinson/10622" TargetMode="External"/><Relationship Id="rId240" Type="http://schemas.openxmlformats.org/officeDocument/2006/relationships/hyperlink" Target="https://www.draftsharks.com/fantasy/points-outlook/evan-engram/7769" TargetMode="External"/><Relationship Id="rId125" Type="http://schemas.openxmlformats.org/officeDocument/2006/relationships/hyperlink" Target="https://www.draftsharks.com/fantasy/points-outlook/dalton-kincaid/13573" TargetMode="External"/><Relationship Id="rId246" Type="http://schemas.openxmlformats.org/officeDocument/2006/relationships/hyperlink" Target="https://www.draftsharks.com/fantasy/points-outlook/demario-douglas/13766" TargetMode="External"/><Relationship Id="rId124" Type="http://schemas.openxmlformats.org/officeDocument/2006/relationships/hyperlink" Target="https://www.draftsharks.com/fantasy/points-outlook/josh-downs/13548" TargetMode="External"/><Relationship Id="rId245" Type="http://schemas.openxmlformats.org/officeDocument/2006/relationships/hyperlink" Target="https://www.draftsharks.com/fantasy/points-outlook/rashod-bateman/10776" TargetMode="External"/><Relationship Id="rId123" Type="http://schemas.openxmlformats.org/officeDocument/2006/relationships/hyperlink" Target="https://www.draftsharks.com/fantasy/points-outlook/tony-pollard/10305" TargetMode="External"/><Relationship Id="rId244" Type="http://schemas.openxmlformats.org/officeDocument/2006/relationships/hyperlink" Target="https://www.draftsharks.com/fantasy/points-outlook/tyreek-hill/7572" TargetMode="External"/><Relationship Id="rId122" Type="http://schemas.openxmlformats.org/officeDocument/2006/relationships/hyperlink" Target="https://www.draftsharks.com/fantasy/points-outlook/zach-charbonnet/13564" TargetMode="External"/><Relationship Id="rId243" Type="http://schemas.openxmlformats.org/officeDocument/2006/relationships/hyperlink" Target="https://www.draftsharks.com/fantasy/points-outlook/malik-washington/35045" TargetMode="External"/><Relationship Id="rId95" Type="http://schemas.openxmlformats.org/officeDocument/2006/relationships/hyperlink" Target="https://www.draftsharks.com/fantasy/points-outlook/d-j-moore/9970" TargetMode="External"/><Relationship Id="rId94" Type="http://schemas.openxmlformats.org/officeDocument/2006/relationships/hyperlink" Target="https://www.draftsharks.com/fantasy/points-outlook/parker-washington/13551" TargetMode="External"/><Relationship Id="rId97" Type="http://schemas.openxmlformats.org/officeDocument/2006/relationships/hyperlink" Target="https://www.draftsharks.com/fantasy/points-outlook/michael-wilson/13558" TargetMode="External"/><Relationship Id="rId96" Type="http://schemas.openxmlformats.org/officeDocument/2006/relationships/hyperlink" Target="https://www.draftsharks.com/fantasy/points-outlook/d-k-metcalf/10197" TargetMode="External"/><Relationship Id="rId99" Type="http://schemas.openxmlformats.org/officeDocument/2006/relationships/hyperlink" Target="https://www.draftsharks.com/fantasy/points-outlook/xavier-worthy/35021" TargetMode="External"/><Relationship Id="rId98" Type="http://schemas.openxmlformats.org/officeDocument/2006/relationships/hyperlink" Target="https://www.draftsharks.com/fantasy/points-outlook/davante-adams/6973" TargetMode="External"/><Relationship Id="rId91" Type="http://schemas.openxmlformats.org/officeDocument/2006/relationships/hyperlink" Target="https://www.draftsharks.com/fantasy/points-outlook/marvin-harrison-jr-/34975" TargetMode="External"/><Relationship Id="rId90" Type="http://schemas.openxmlformats.org/officeDocument/2006/relationships/hyperlink" Target="https://www.draftsharks.com/fantasy/points-outlook/tua-tagovailoa/10483" TargetMode="External"/><Relationship Id="rId93" Type="http://schemas.openxmlformats.org/officeDocument/2006/relationships/hyperlink" Target="https://www.draftsharks.com/fantasy/points-outlook/shedeur-sanders/35309" TargetMode="External"/><Relationship Id="rId92" Type="http://schemas.openxmlformats.org/officeDocument/2006/relationships/hyperlink" Target="https://www.draftsharks.com/fantasy/points-outlook/travis-etienne/10757" TargetMode="External"/><Relationship Id="rId118" Type="http://schemas.openxmlformats.org/officeDocument/2006/relationships/hyperlink" Target="https://www.draftsharks.com/fantasy/points-outlook/romeo-doubs/12606" TargetMode="External"/><Relationship Id="rId239" Type="http://schemas.openxmlformats.org/officeDocument/2006/relationships/hyperlink" Target="https://www.draftsharks.com/fantasy/points-outlook/mason-taylor/35362" TargetMode="External"/><Relationship Id="rId117" Type="http://schemas.openxmlformats.org/officeDocument/2006/relationships/hyperlink" Target="https://www.draftsharks.com/fantasy/points-outlook/david-montgomery/10194" TargetMode="External"/><Relationship Id="rId238" Type="http://schemas.openxmlformats.org/officeDocument/2006/relationships/hyperlink" Target="https://www.draftsharks.com/fantasy/points-outlook/kaleb-johnson/35319" TargetMode="External"/><Relationship Id="rId116" Type="http://schemas.openxmlformats.org/officeDocument/2006/relationships/hyperlink" Target="https://www.draftsharks.com/fantasy/points-outlook/rhamondre-stevenson/10763" TargetMode="External"/><Relationship Id="rId237" Type="http://schemas.openxmlformats.org/officeDocument/2006/relationships/hyperlink" Target="https://www.draftsharks.com/fantasy/points-outlook/max-klare/35975" TargetMode="External"/><Relationship Id="rId115" Type="http://schemas.openxmlformats.org/officeDocument/2006/relationships/hyperlink" Target="https://www.draftsharks.com/fantasy/points-outlook/omar-cooper-jr-/35970" TargetMode="External"/><Relationship Id="rId236" Type="http://schemas.openxmlformats.org/officeDocument/2006/relationships/hyperlink" Target="https://www.draftsharks.com/fantasy/points-outlook/kimani-vidal/34998" TargetMode="External"/><Relationship Id="rId119" Type="http://schemas.openxmlformats.org/officeDocument/2006/relationships/hyperlink" Target="https://www.draftsharks.com/fantasy/points-outlook/chuba-hubbard/10766" TargetMode="External"/><Relationship Id="rId110" Type="http://schemas.openxmlformats.org/officeDocument/2006/relationships/hyperlink" Target="https://www.draftsharks.com/fantasy/points-outlook/bhayshul-tuten/35322" TargetMode="External"/><Relationship Id="rId231" Type="http://schemas.openxmlformats.org/officeDocument/2006/relationships/hyperlink" Target="https://www.draftsharks.com/fantasy/points-outlook/jordan-james/35329" TargetMode="External"/><Relationship Id="rId230" Type="http://schemas.openxmlformats.org/officeDocument/2006/relationships/hyperlink" Target="https://www.draftsharks.com/fantasy/points-outlook/malachi-fields/35961" TargetMode="External"/><Relationship Id="rId114" Type="http://schemas.openxmlformats.org/officeDocument/2006/relationships/hyperlink" Target="https://www.draftsharks.com/fantasy/points-outlook/jaylen-warren/13199" TargetMode="External"/><Relationship Id="rId235" Type="http://schemas.openxmlformats.org/officeDocument/2006/relationships/hyperlink" Target="https://www.draftsharks.com/fantasy/points-outlook/oscar-delp/35977" TargetMode="External"/><Relationship Id="rId113" Type="http://schemas.openxmlformats.org/officeDocument/2006/relationships/hyperlink" Target="https://www.draftsharks.com/fantasy/points-outlook/matthew-golden/35515" TargetMode="External"/><Relationship Id="rId234" Type="http://schemas.openxmlformats.org/officeDocument/2006/relationships/hyperlink" Target="https://www.draftsharks.com/fantasy/points-outlook/devin-neal/35392" TargetMode="External"/><Relationship Id="rId112" Type="http://schemas.openxmlformats.org/officeDocument/2006/relationships/hyperlink" Target="https://www.draftsharks.com/fantasy/points-outlook/dandre-swift/10476" TargetMode="External"/><Relationship Id="rId233" Type="http://schemas.openxmlformats.org/officeDocument/2006/relationships/hyperlink" Target="https://www.draftsharks.com/fantasy/points-outlook/emanuel-wilson/14231" TargetMode="External"/><Relationship Id="rId111" Type="http://schemas.openxmlformats.org/officeDocument/2006/relationships/hyperlink" Target="https://www.draftsharks.com/fantasy/points-outlook/rj-harvey/35325" TargetMode="External"/><Relationship Id="rId232" Type="http://schemas.openxmlformats.org/officeDocument/2006/relationships/hyperlink" Target="https://www.draftsharks.com/fantasy/points-outlook/demond-claiborne/35933" TargetMode="External"/><Relationship Id="rId300" Type="http://schemas.openxmlformats.org/officeDocument/2006/relationships/drawing" Target="../drawings/drawing11.xml"/><Relationship Id="rId206" Type="http://schemas.openxmlformats.org/officeDocument/2006/relationships/hyperlink" Target="https://www.draftsharks.com/fantasy/points-outlook/carson-beck/35924" TargetMode="External"/><Relationship Id="rId205" Type="http://schemas.openxmlformats.org/officeDocument/2006/relationships/hyperlink" Target="https://www.draftsharks.com/fantasy/points-outlook/kaytron-allen/35930" TargetMode="External"/><Relationship Id="rId204" Type="http://schemas.openxmlformats.org/officeDocument/2006/relationships/hyperlink" Target="https://www.draftsharks.com/fantasy/points-outlook/anthony-richardson/13544" TargetMode="External"/><Relationship Id="rId203" Type="http://schemas.openxmlformats.org/officeDocument/2006/relationships/hyperlink" Target="https://www.draftsharks.com/fantasy/points-outlook/geno-smith/6653" TargetMode="External"/><Relationship Id="rId209" Type="http://schemas.openxmlformats.org/officeDocument/2006/relationships/hyperlink" Target="https://www.draftsharks.com/fantasy/points-outlook/brenen-thompson/36028" TargetMode="External"/><Relationship Id="rId208" Type="http://schemas.openxmlformats.org/officeDocument/2006/relationships/hyperlink" Target="https://www.draftsharks.com/fantasy/points-outlook/dylan-sampson/35390" TargetMode="External"/><Relationship Id="rId207" Type="http://schemas.openxmlformats.org/officeDocument/2006/relationships/hyperlink" Target="https://www.draftsharks.com/fantasy/points-outlook/isiah-pacheco/12735" TargetMode="External"/><Relationship Id="rId202" Type="http://schemas.openxmlformats.org/officeDocument/2006/relationships/hyperlink" Target="https://www.draftsharks.com/fantasy/points-outlook/drew-allar/36021" TargetMode="External"/><Relationship Id="rId201" Type="http://schemas.openxmlformats.org/officeDocument/2006/relationships/hyperlink" Target="https://www.draftsharks.com/fantasy/points-outlook/david-njoku/7770" TargetMode="External"/><Relationship Id="rId200" Type="http://schemas.openxmlformats.org/officeDocument/2006/relationships/hyperlink" Target="https://www.draftsharks.com/fantasy/points-outlook/emmett-johnson/35932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>
      <c r="A2" s="4">
        <v>1.0</v>
      </c>
      <c r="B2" s="5" t="s">
        <v>5</v>
      </c>
      <c r="C2" s="6" t="s">
        <v>6</v>
      </c>
      <c r="D2" s="6">
        <v>1.0</v>
      </c>
      <c r="E2" s="7" t="s">
        <v>7</v>
      </c>
    </row>
    <row r="3">
      <c r="A3" s="4">
        <v>2.0</v>
      </c>
      <c r="B3" s="5" t="s">
        <v>8</v>
      </c>
      <c r="C3" s="6" t="s">
        <v>9</v>
      </c>
      <c r="D3" s="6">
        <v>2.2</v>
      </c>
      <c r="E3" s="7" t="s">
        <v>10</v>
      </c>
    </row>
    <row r="4">
      <c r="A4" s="4">
        <v>3.0</v>
      </c>
      <c r="B4" s="5" t="s">
        <v>11</v>
      </c>
      <c r="C4" s="6" t="s">
        <v>12</v>
      </c>
      <c r="D4" s="6">
        <v>3.8</v>
      </c>
      <c r="E4" s="7" t="s">
        <v>13</v>
      </c>
    </row>
    <row r="5">
      <c r="A5" s="4">
        <v>4.0</v>
      </c>
      <c r="B5" s="5" t="s">
        <v>14</v>
      </c>
      <c r="C5" s="6" t="s">
        <v>15</v>
      </c>
      <c r="D5" s="6">
        <v>4.0</v>
      </c>
      <c r="E5" s="7" t="s">
        <v>16</v>
      </c>
    </row>
    <row r="6">
      <c r="A6" s="4">
        <v>5.0</v>
      </c>
      <c r="B6" s="5" t="s">
        <v>17</v>
      </c>
      <c r="C6" s="6" t="s">
        <v>18</v>
      </c>
      <c r="D6" s="6">
        <v>4.8</v>
      </c>
      <c r="E6" s="7" t="s">
        <v>19</v>
      </c>
    </row>
    <row r="7">
      <c r="A7" s="4">
        <v>6.0</v>
      </c>
      <c r="B7" s="5" t="s">
        <v>20</v>
      </c>
      <c r="C7" s="6" t="s">
        <v>21</v>
      </c>
      <c r="D7" s="6">
        <v>6.2</v>
      </c>
      <c r="E7" s="7" t="s">
        <v>22</v>
      </c>
    </row>
    <row r="8">
      <c r="A8" s="4">
        <v>7.0</v>
      </c>
      <c r="B8" s="5" t="s">
        <v>23</v>
      </c>
      <c r="C8" s="6" t="s">
        <v>24</v>
      </c>
      <c r="D8" s="6">
        <v>8.3</v>
      </c>
      <c r="E8" s="7" t="s">
        <v>25</v>
      </c>
    </row>
    <row r="9">
      <c r="A9" s="4">
        <v>8.0</v>
      </c>
      <c r="B9" s="5" t="s">
        <v>26</v>
      </c>
      <c r="C9" s="6" t="s">
        <v>27</v>
      </c>
      <c r="D9" s="6">
        <v>9.0</v>
      </c>
      <c r="E9" s="7" t="s">
        <v>28</v>
      </c>
    </row>
    <row r="10">
      <c r="A10" s="4">
        <v>9.0</v>
      </c>
      <c r="B10" s="5" t="s">
        <v>29</v>
      </c>
      <c r="C10" s="6" t="s">
        <v>30</v>
      </c>
      <c r="D10" s="6">
        <v>9.8</v>
      </c>
      <c r="E10" s="7" t="s">
        <v>31</v>
      </c>
    </row>
    <row r="11">
      <c r="A11" s="4">
        <v>10.0</v>
      </c>
      <c r="B11" s="5" t="s">
        <v>32</v>
      </c>
      <c r="C11" s="6" t="s">
        <v>33</v>
      </c>
      <c r="D11" s="6">
        <v>10.2</v>
      </c>
      <c r="E11" s="7" t="s">
        <v>34</v>
      </c>
    </row>
    <row r="12">
      <c r="A12" s="4">
        <v>11.0</v>
      </c>
      <c r="B12" s="5" t="s">
        <v>35</v>
      </c>
      <c r="C12" s="6" t="s">
        <v>36</v>
      </c>
      <c r="D12" s="6">
        <v>10.3</v>
      </c>
      <c r="E12" s="7" t="s">
        <v>37</v>
      </c>
    </row>
    <row r="13">
      <c r="A13" s="4">
        <v>12.0</v>
      </c>
      <c r="B13" s="5" t="s">
        <v>38</v>
      </c>
      <c r="C13" s="6" t="s">
        <v>39</v>
      </c>
      <c r="D13" s="6">
        <v>15.8</v>
      </c>
      <c r="E13" s="7" t="s">
        <v>40</v>
      </c>
    </row>
    <row r="14">
      <c r="A14" s="4">
        <v>13.0</v>
      </c>
      <c r="B14" s="5" t="s">
        <v>41</v>
      </c>
      <c r="C14" s="6" t="s">
        <v>42</v>
      </c>
      <c r="D14" s="6">
        <v>16.0</v>
      </c>
      <c r="E14" s="7" t="s">
        <v>43</v>
      </c>
    </row>
    <row r="15">
      <c r="A15" s="4">
        <v>14.0</v>
      </c>
      <c r="B15" s="5" t="s">
        <v>44</v>
      </c>
      <c r="C15" s="6" t="s">
        <v>45</v>
      </c>
      <c r="D15" s="6">
        <v>16.0</v>
      </c>
      <c r="E15" s="7" t="s">
        <v>46</v>
      </c>
    </row>
    <row r="16">
      <c r="A16" s="4">
        <v>15.0</v>
      </c>
      <c r="B16" s="5" t="s">
        <v>47</v>
      </c>
      <c r="C16" s="6" t="s">
        <v>48</v>
      </c>
      <c r="D16" s="6">
        <v>16.5</v>
      </c>
      <c r="E16" s="7" t="s">
        <v>49</v>
      </c>
    </row>
    <row r="17">
      <c r="A17" s="4">
        <v>16.0</v>
      </c>
      <c r="B17" s="5" t="s">
        <v>50</v>
      </c>
      <c r="C17" s="6" t="s">
        <v>51</v>
      </c>
      <c r="D17" s="6">
        <v>16.8</v>
      </c>
      <c r="E17" s="7" t="s">
        <v>52</v>
      </c>
    </row>
    <row r="18">
      <c r="A18" s="4">
        <v>17.0</v>
      </c>
      <c r="B18" s="5" t="s">
        <v>53</v>
      </c>
      <c r="C18" s="6" t="s">
        <v>54</v>
      </c>
      <c r="D18" s="6">
        <v>17.2</v>
      </c>
      <c r="E18" s="7" t="s">
        <v>55</v>
      </c>
    </row>
    <row r="19">
      <c r="A19" s="4">
        <v>18.0</v>
      </c>
      <c r="B19" s="5" t="s">
        <v>56</v>
      </c>
      <c r="C19" s="6" t="s">
        <v>57</v>
      </c>
      <c r="D19" s="6">
        <v>19.2</v>
      </c>
      <c r="E19" s="7" t="s">
        <v>58</v>
      </c>
    </row>
    <row r="20">
      <c r="A20" s="4">
        <v>19.0</v>
      </c>
      <c r="B20" s="5" t="s">
        <v>59</v>
      </c>
      <c r="C20" s="6" t="s">
        <v>60</v>
      </c>
      <c r="D20" s="6">
        <v>20.3</v>
      </c>
      <c r="E20" s="7" t="s">
        <v>61</v>
      </c>
    </row>
    <row r="21">
      <c r="A21" s="4">
        <v>20.0</v>
      </c>
      <c r="B21" s="5" t="s">
        <v>62</v>
      </c>
      <c r="C21" s="6" t="s">
        <v>63</v>
      </c>
      <c r="D21" s="6">
        <v>20.5</v>
      </c>
      <c r="E21" s="7" t="s">
        <v>64</v>
      </c>
    </row>
    <row r="22">
      <c r="A22" s="4">
        <v>21.0</v>
      </c>
      <c r="B22" s="5" t="s">
        <v>65</v>
      </c>
      <c r="C22" s="6" t="s">
        <v>66</v>
      </c>
      <c r="D22" s="6">
        <v>24.2</v>
      </c>
      <c r="E22" s="7" t="s">
        <v>67</v>
      </c>
    </row>
    <row r="23">
      <c r="A23" s="4">
        <v>22.0</v>
      </c>
      <c r="B23" s="5" t="s">
        <v>68</v>
      </c>
      <c r="C23" s="6" t="s">
        <v>69</v>
      </c>
      <c r="D23" s="6">
        <v>24.3</v>
      </c>
      <c r="E23" s="7" t="s">
        <v>70</v>
      </c>
    </row>
    <row r="24">
      <c r="A24" s="4">
        <v>23.0</v>
      </c>
      <c r="B24" s="5" t="s">
        <v>71</v>
      </c>
      <c r="C24" s="6" t="s">
        <v>72</v>
      </c>
      <c r="D24" s="6">
        <v>25.0</v>
      </c>
      <c r="E24" s="7" t="s">
        <v>73</v>
      </c>
    </row>
    <row r="25">
      <c r="A25" s="4">
        <v>24.0</v>
      </c>
      <c r="B25" s="5" t="s">
        <v>74</v>
      </c>
      <c r="C25" s="6" t="s">
        <v>75</v>
      </c>
      <c r="D25" s="6">
        <v>25.8</v>
      </c>
      <c r="E25" s="7" t="s">
        <v>76</v>
      </c>
    </row>
    <row r="26">
      <c r="A26" s="4">
        <v>25.0</v>
      </c>
      <c r="B26" s="5" t="s">
        <v>77</v>
      </c>
      <c r="C26" s="6" t="s">
        <v>78</v>
      </c>
      <c r="D26" s="6">
        <v>26.8</v>
      </c>
      <c r="E26" s="7" t="s">
        <v>79</v>
      </c>
    </row>
    <row r="27">
      <c r="A27" s="4">
        <v>26.0</v>
      </c>
      <c r="B27" s="5" t="s">
        <v>80</v>
      </c>
      <c r="C27" s="6" t="s">
        <v>81</v>
      </c>
      <c r="D27" s="6">
        <v>27.2</v>
      </c>
      <c r="E27" s="7" t="s">
        <v>82</v>
      </c>
    </row>
    <row r="28">
      <c r="A28" s="4">
        <v>27.0</v>
      </c>
      <c r="B28" s="5" t="s">
        <v>83</v>
      </c>
      <c r="C28" s="6" t="s">
        <v>84</v>
      </c>
      <c r="D28" s="6">
        <v>28.2</v>
      </c>
      <c r="E28" s="7" t="s">
        <v>85</v>
      </c>
    </row>
    <row r="29">
      <c r="A29" s="4">
        <v>28.0</v>
      </c>
      <c r="B29" s="5" t="s">
        <v>86</v>
      </c>
      <c r="C29" s="6" t="s">
        <v>87</v>
      </c>
      <c r="D29" s="6">
        <v>32.8</v>
      </c>
      <c r="E29" s="7" t="s">
        <v>88</v>
      </c>
    </row>
    <row r="30">
      <c r="A30" s="4">
        <v>29.0</v>
      </c>
      <c r="B30" s="5" t="s">
        <v>89</v>
      </c>
      <c r="C30" s="6" t="s">
        <v>90</v>
      </c>
      <c r="D30" s="6">
        <v>28.8</v>
      </c>
      <c r="E30" s="7" t="s">
        <v>88</v>
      </c>
    </row>
    <row r="31">
      <c r="A31" s="4">
        <v>30.0</v>
      </c>
      <c r="B31" s="5" t="s">
        <v>91</v>
      </c>
      <c r="C31" s="6" t="s">
        <v>92</v>
      </c>
      <c r="D31" s="6">
        <v>36.0</v>
      </c>
      <c r="E31" s="7" t="s">
        <v>88</v>
      </c>
    </row>
    <row r="32">
      <c r="A32" s="4">
        <v>31.0</v>
      </c>
      <c r="B32" s="5" t="s">
        <v>93</v>
      </c>
      <c r="C32" s="6" t="s">
        <v>94</v>
      </c>
      <c r="D32" s="6">
        <v>36.7</v>
      </c>
      <c r="E32" s="7" t="s">
        <v>88</v>
      </c>
    </row>
    <row r="33">
      <c r="A33" s="4">
        <v>32.0</v>
      </c>
      <c r="B33" s="5" t="s">
        <v>95</v>
      </c>
      <c r="C33" s="6" t="s">
        <v>96</v>
      </c>
      <c r="D33" s="6">
        <v>37.7</v>
      </c>
      <c r="E33" s="7" t="s">
        <v>88</v>
      </c>
    </row>
    <row r="34">
      <c r="A34" s="4">
        <v>33.0</v>
      </c>
      <c r="B34" s="5" t="s">
        <v>97</v>
      </c>
      <c r="C34" s="6" t="s">
        <v>98</v>
      </c>
      <c r="D34" s="6">
        <v>32.4</v>
      </c>
      <c r="E34" s="7" t="s">
        <v>99</v>
      </c>
    </row>
    <row r="35">
      <c r="A35" s="4">
        <v>34.0</v>
      </c>
      <c r="B35" s="5" t="s">
        <v>100</v>
      </c>
      <c r="C35" s="6" t="s">
        <v>101</v>
      </c>
      <c r="D35" s="6">
        <v>34.8</v>
      </c>
      <c r="E35" s="7" t="s">
        <v>88</v>
      </c>
    </row>
    <row r="36">
      <c r="A36" s="4">
        <v>35.0</v>
      </c>
      <c r="B36" s="5" t="s">
        <v>102</v>
      </c>
      <c r="C36" s="6" t="s">
        <v>103</v>
      </c>
      <c r="D36" s="6">
        <v>35.0</v>
      </c>
      <c r="E36" s="7" t="s">
        <v>88</v>
      </c>
    </row>
    <row r="37">
      <c r="A37" s="4">
        <v>36.0</v>
      </c>
      <c r="B37" s="5" t="s">
        <v>104</v>
      </c>
      <c r="C37" s="6" t="s">
        <v>105</v>
      </c>
      <c r="D37" s="6">
        <v>36.0</v>
      </c>
      <c r="E37" s="7" t="s">
        <v>88</v>
      </c>
    </row>
    <row r="38">
      <c r="A38" s="4">
        <v>37.0</v>
      </c>
      <c r="B38" s="5" t="s">
        <v>106</v>
      </c>
      <c r="C38" s="6" t="s">
        <v>107</v>
      </c>
      <c r="D38" s="6">
        <v>36.6</v>
      </c>
      <c r="E38" s="7" t="s">
        <v>88</v>
      </c>
    </row>
    <row r="39">
      <c r="A39" s="4">
        <v>38.0</v>
      </c>
      <c r="B39" s="5" t="s">
        <v>108</v>
      </c>
      <c r="C39" s="6" t="s">
        <v>109</v>
      </c>
      <c r="D39" s="6">
        <v>37.4</v>
      </c>
      <c r="E39" s="7" t="s">
        <v>88</v>
      </c>
    </row>
    <row r="40">
      <c r="A40" s="4">
        <v>39.0</v>
      </c>
      <c r="B40" s="5" t="s">
        <v>110</v>
      </c>
      <c r="C40" s="6" t="s">
        <v>111</v>
      </c>
      <c r="D40" s="6">
        <v>39.6</v>
      </c>
      <c r="E40" s="7" t="s">
        <v>88</v>
      </c>
    </row>
    <row r="41">
      <c r="A41" s="4">
        <v>40.0</v>
      </c>
      <c r="B41" s="5" t="s">
        <v>112</v>
      </c>
      <c r="C41" s="6" t="s">
        <v>113</v>
      </c>
      <c r="D41" s="6">
        <v>33.5</v>
      </c>
      <c r="E41" s="7" t="s">
        <v>88</v>
      </c>
    </row>
    <row r="42">
      <c r="A42" s="4">
        <v>41.0</v>
      </c>
      <c r="B42" s="5" t="s">
        <v>114</v>
      </c>
      <c r="C42" s="6" t="s">
        <v>115</v>
      </c>
      <c r="D42" s="6">
        <v>41.2</v>
      </c>
      <c r="E42" s="7" t="s">
        <v>88</v>
      </c>
    </row>
    <row r="43">
      <c r="A43" s="4">
        <v>42.0</v>
      </c>
      <c r="B43" s="5" t="s">
        <v>116</v>
      </c>
      <c r="C43" s="6" t="s">
        <v>117</v>
      </c>
      <c r="D43" s="6">
        <v>38.3</v>
      </c>
      <c r="E43" s="7" t="s">
        <v>88</v>
      </c>
    </row>
    <row r="44">
      <c r="A44" s="4">
        <v>43.0</v>
      </c>
      <c r="B44" s="5" t="s">
        <v>118</v>
      </c>
      <c r="C44" s="6" t="s">
        <v>119</v>
      </c>
      <c r="D44" s="6">
        <v>44.4</v>
      </c>
      <c r="E44" s="7" t="s">
        <v>88</v>
      </c>
    </row>
    <row r="45">
      <c r="A45" s="4">
        <v>44.0</v>
      </c>
      <c r="B45" s="5" t="s">
        <v>120</v>
      </c>
      <c r="C45" s="6" t="s">
        <v>121</v>
      </c>
      <c r="D45" s="6">
        <v>39.8</v>
      </c>
      <c r="E45" s="7" t="s">
        <v>88</v>
      </c>
    </row>
    <row r="46">
      <c r="A46" s="4">
        <v>45.0</v>
      </c>
      <c r="B46" s="5" t="s">
        <v>122</v>
      </c>
      <c r="C46" s="6" t="s">
        <v>123</v>
      </c>
      <c r="D46" s="6">
        <v>46.2</v>
      </c>
      <c r="E46" s="7" t="s">
        <v>88</v>
      </c>
    </row>
    <row r="47">
      <c r="A47" s="4">
        <v>46.0</v>
      </c>
      <c r="B47" s="5" t="s">
        <v>124</v>
      </c>
      <c r="C47" s="6" t="s">
        <v>125</v>
      </c>
      <c r="D47" s="6">
        <v>46.2</v>
      </c>
      <c r="E47" s="7" t="s">
        <v>88</v>
      </c>
    </row>
    <row r="48">
      <c r="A48" s="4">
        <v>47.0</v>
      </c>
      <c r="B48" s="5" t="s">
        <v>126</v>
      </c>
      <c r="C48" s="6" t="s">
        <v>127</v>
      </c>
      <c r="D48" s="6">
        <v>46.2</v>
      </c>
      <c r="E48" s="7" t="s">
        <v>88</v>
      </c>
    </row>
    <row r="49">
      <c r="A49" s="4">
        <v>48.0</v>
      </c>
      <c r="B49" s="5" t="s">
        <v>128</v>
      </c>
      <c r="C49" s="6" t="s">
        <v>129</v>
      </c>
      <c r="D49" s="6">
        <v>41.3</v>
      </c>
      <c r="E49" s="7" t="s">
        <v>88</v>
      </c>
    </row>
    <row r="50">
      <c r="A50" s="4">
        <v>49.0</v>
      </c>
      <c r="B50" s="5" t="s">
        <v>130</v>
      </c>
      <c r="C50" s="6" t="s">
        <v>131</v>
      </c>
      <c r="D50" s="6">
        <v>42.0</v>
      </c>
      <c r="E50" s="7" t="s">
        <v>88</v>
      </c>
    </row>
    <row r="51">
      <c r="A51" s="4">
        <v>50.0</v>
      </c>
      <c r="B51" s="5" t="s">
        <v>132</v>
      </c>
      <c r="C51" s="6" t="s">
        <v>133</v>
      </c>
      <c r="D51" s="6">
        <v>46.3</v>
      </c>
      <c r="E51" s="7" t="s">
        <v>88</v>
      </c>
    </row>
    <row r="52">
      <c r="A52" s="4">
        <v>51.0</v>
      </c>
      <c r="B52" s="5" t="s">
        <v>134</v>
      </c>
      <c r="C52" s="6" t="s">
        <v>135</v>
      </c>
      <c r="D52" s="6">
        <v>42.7</v>
      </c>
      <c r="E52" s="7" t="s">
        <v>88</v>
      </c>
    </row>
    <row r="53">
      <c r="A53" s="4">
        <v>52.0</v>
      </c>
      <c r="B53" s="5" t="s">
        <v>136</v>
      </c>
      <c r="C53" s="6" t="s">
        <v>137</v>
      </c>
      <c r="D53" s="6">
        <v>59.8</v>
      </c>
      <c r="E53" s="7" t="s">
        <v>88</v>
      </c>
    </row>
    <row r="54">
      <c r="A54" s="4">
        <v>53.0</v>
      </c>
      <c r="B54" s="5" t="s">
        <v>138</v>
      </c>
      <c r="C54" s="6" t="s">
        <v>139</v>
      </c>
      <c r="D54" s="6">
        <v>49.8</v>
      </c>
      <c r="E54" s="7" t="s">
        <v>88</v>
      </c>
    </row>
    <row r="55">
      <c r="A55" s="4">
        <v>54.0</v>
      </c>
      <c r="B55" s="5" t="s">
        <v>140</v>
      </c>
      <c r="C55" s="6" t="s">
        <v>141</v>
      </c>
      <c r="D55" s="6">
        <v>44.0</v>
      </c>
      <c r="E55" s="7" t="s">
        <v>88</v>
      </c>
    </row>
    <row r="56">
      <c r="A56" s="4">
        <v>55.0</v>
      </c>
      <c r="B56" s="5" t="s">
        <v>142</v>
      </c>
      <c r="C56" s="6" t="s">
        <v>143</v>
      </c>
      <c r="D56" s="6">
        <v>51.0</v>
      </c>
      <c r="E56" s="7" t="s">
        <v>88</v>
      </c>
    </row>
    <row r="57">
      <c r="A57" s="4">
        <v>56.0</v>
      </c>
      <c r="B57" s="5" t="s">
        <v>144</v>
      </c>
      <c r="C57" s="6" t="s">
        <v>145</v>
      </c>
      <c r="D57" s="6">
        <v>52.3</v>
      </c>
      <c r="E57" s="7" t="s">
        <v>88</v>
      </c>
    </row>
    <row r="58">
      <c r="A58" s="4">
        <v>57.0</v>
      </c>
      <c r="B58" s="5" t="s">
        <v>146</v>
      </c>
      <c r="C58" s="6" t="s">
        <v>147</v>
      </c>
      <c r="D58" s="6">
        <v>55.7</v>
      </c>
      <c r="E58" s="7" t="s">
        <v>88</v>
      </c>
    </row>
    <row r="59">
      <c r="A59" s="4">
        <v>58.0</v>
      </c>
      <c r="B59" s="5" t="s">
        <v>148</v>
      </c>
      <c r="C59" s="6" t="s">
        <v>149</v>
      </c>
      <c r="D59" s="6">
        <v>50.0</v>
      </c>
      <c r="E59" s="7" t="s">
        <v>88</v>
      </c>
    </row>
    <row r="60">
      <c r="A60" s="4">
        <v>59.0</v>
      </c>
      <c r="B60" s="5" t="s">
        <v>150</v>
      </c>
      <c r="C60" s="6" t="s">
        <v>151</v>
      </c>
      <c r="D60" s="6">
        <v>57.7</v>
      </c>
      <c r="E60" s="7" t="s">
        <v>88</v>
      </c>
    </row>
    <row r="61">
      <c r="A61" s="4">
        <v>60.0</v>
      </c>
      <c r="B61" s="5" t="s">
        <v>152</v>
      </c>
      <c r="C61" s="6" t="s">
        <v>153</v>
      </c>
      <c r="D61" s="6">
        <v>54.0</v>
      </c>
      <c r="E61" s="7" t="s">
        <v>88</v>
      </c>
    </row>
    <row r="62">
      <c r="A62" s="4">
        <v>61.0</v>
      </c>
      <c r="B62" s="5" t="s">
        <v>154</v>
      </c>
      <c r="C62" s="6" t="s">
        <v>155</v>
      </c>
      <c r="D62" s="6">
        <v>59.3</v>
      </c>
      <c r="E62" s="7" t="s">
        <v>88</v>
      </c>
    </row>
    <row r="63">
      <c r="A63" s="4">
        <v>62.0</v>
      </c>
      <c r="B63" s="5" t="s">
        <v>156</v>
      </c>
      <c r="C63" s="6" t="s">
        <v>157</v>
      </c>
      <c r="D63" s="6">
        <v>43.0</v>
      </c>
      <c r="E63" s="7" t="s">
        <v>88</v>
      </c>
    </row>
    <row r="64">
      <c r="A64" s="4">
        <v>63.0</v>
      </c>
      <c r="B64" s="5" t="s">
        <v>158</v>
      </c>
      <c r="C64" s="6" t="s">
        <v>159</v>
      </c>
      <c r="D64" s="6">
        <v>61.3</v>
      </c>
      <c r="E64" s="7" t="s">
        <v>88</v>
      </c>
    </row>
    <row r="65">
      <c r="A65" s="4">
        <v>64.0</v>
      </c>
      <c r="B65" s="5" t="s">
        <v>160</v>
      </c>
      <c r="C65" s="6" t="s">
        <v>161</v>
      </c>
      <c r="D65" s="6">
        <v>56.0</v>
      </c>
      <c r="E65" s="7" t="s">
        <v>88</v>
      </c>
    </row>
    <row r="66">
      <c r="A66" s="4">
        <v>65.0</v>
      </c>
      <c r="B66" s="5" t="s">
        <v>162</v>
      </c>
      <c r="C66" s="6" t="s">
        <v>163</v>
      </c>
      <c r="D66" s="6">
        <v>59.5</v>
      </c>
      <c r="E66" s="7" t="s">
        <v>88</v>
      </c>
    </row>
    <row r="67">
      <c r="A67" s="4">
        <v>66.0</v>
      </c>
      <c r="B67" s="5" t="s">
        <v>164</v>
      </c>
      <c r="C67" s="6" t="s">
        <v>165</v>
      </c>
      <c r="D67" s="6">
        <v>60.0</v>
      </c>
      <c r="E67" s="7" t="s">
        <v>88</v>
      </c>
    </row>
    <row r="68">
      <c r="A68" s="4">
        <v>67.0</v>
      </c>
      <c r="B68" s="5" t="s">
        <v>166</v>
      </c>
      <c r="C68" s="6" t="s">
        <v>167</v>
      </c>
      <c r="D68" s="6">
        <v>45.0</v>
      </c>
      <c r="E68" s="7" t="s">
        <v>88</v>
      </c>
    </row>
    <row r="69">
      <c r="A69" s="4">
        <v>68.0</v>
      </c>
      <c r="B69" s="5" t="s">
        <v>168</v>
      </c>
      <c r="C69" s="6" t="s">
        <v>169</v>
      </c>
      <c r="D69" s="6">
        <v>59.0</v>
      </c>
      <c r="E69" s="7" t="s">
        <v>88</v>
      </c>
    </row>
    <row r="70">
      <c r="A70" s="4">
        <v>69.0</v>
      </c>
      <c r="B70" s="5" t="s">
        <v>170</v>
      </c>
      <c r="C70" s="6" t="s">
        <v>171</v>
      </c>
      <c r="D70" s="6">
        <v>47.0</v>
      </c>
      <c r="E70" s="7" t="s">
        <v>88</v>
      </c>
    </row>
    <row r="71">
      <c r="A71" s="4">
        <v>70.0</v>
      </c>
      <c r="B71" s="5" t="s">
        <v>172</v>
      </c>
      <c r="C71" s="6" t="s">
        <v>173</v>
      </c>
      <c r="D71" s="6">
        <v>49.0</v>
      </c>
      <c r="E71" s="7" t="s">
        <v>88</v>
      </c>
    </row>
    <row r="72">
      <c r="A72" s="4">
        <v>71.0</v>
      </c>
      <c r="B72" s="5" t="s">
        <v>174</v>
      </c>
      <c r="C72" s="6" t="s">
        <v>175</v>
      </c>
      <c r="D72" s="6">
        <v>50.0</v>
      </c>
      <c r="E72" s="7" t="s">
        <v>88</v>
      </c>
    </row>
    <row r="73">
      <c r="A73" s="4">
        <v>72.0</v>
      </c>
      <c r="B73" s="5" t="s">
        <v>176</v>
      </c>
      <c r="C73" s="6" t="s">
        <v>177</v>
      </c>
      <c r="D73" s="6">
        <v>65.0</v>
      </c>
      <c r="E73" s="7" t="s">
        <v>88</v>
      </c>
    </row>
    <row r="74">
      <c r="A74" s="4">
        <v>73.0</v>
      </c>
      <c r="B74" s="5" t="s">
        <v>178</v>
      </c>
      <c r="C74" s="6" t="s">
        <v>179</v>
      </c>
      <c r="D74" s="6">
        <v>52.0</v>
      </c>
      <c r="E74" s="7" t="s">
        <v>88</v>
      </c>
    </row>
    <row r="75">
      <c r="A75" s="4">
        <v>74.0</v>
      </c>
      <c r="B75" s="5" t="s">
        <v>180</v>
      </c>
      <c r="C75" s="6" t="s">
        <v>181</v>
      </c>
      <c r="D75" s="6">
        <v>53.0</v>
      </c>
      <c r="E75" s="7" t="s">
        <v>88</v>
      </c>
    </row>
    <row r="76">
      <c r="A76" s="4">
        <v>75.0</v>
      </c>
      <c r="B76" s="5" t="s">
        <v>182</v>
      </c>
      <c r="C76" s="6" t="s">
        <v>183</v>
      </c>
      <c r="D76" s="6">
        <v>68.5</v>
      </c>
      <c r="E76" s="7" t="s">
        <v>88</v>
      </c>
    </row>
    <row r="77">
      <c r="A77" s="4">
        <v>76.0</v>
      </c>
      <c r="B77" s="5" t="s">
        <v>184</v>
      </c>
      <c r="C77" s="6" t="s">
        <v>185</v>
      </c>
      <c r="D77" s="6">
        <v>67.5</v>
      </c>
      <c r="E77" s="7" t="s">
        <v>88</v>
      </c>
    </row>
    <row r="78">
      <c r="A78" s="4">
        <v>77.0</v>
      </c>
      <c r="B78" s="5" t="s">
        <v>186</v>
      </c>
      <c r="C78" s="6" t="s">
        <v>187</v>
      </c>
      <c r="D78" s="6">
        <v>59.0</v>
      </c>
      <c r="E78" s="7" t="s">
        <v>88</v>
      </c>
    </row>
    <row r="79">
      <c r="A79" s="4">
        <v>78.0</v>
      </c>
      <c r="B79" s="5" t="s">
        <v>188</v>
      </c>
      <c r="C79" s="6" t="s">
        <v>189</v>
      </c>
      <c r="D79" s="6">
        <v>64.5</v>
      </c>
      <c r="E79" s="7" t="s">
        <v>88</v>
      </c>
    </row>
    <row r="80">
      <c r="A80" s="4">
        <v>79.0</v>
      </c>
      <c r="B80" s="5" t="s">
        <v>190</v>
      </c>
      <c r="C80" s="6" t="s">
        <v>191</v>
      </c>
      <c r="D80" s="6">
        <v>64.0</v>
      </c>
      <c r="E80" s="7" t="s">
        <v>88</v>
      </c>
    </row>
    <row r="81">
      <c r="A81" s="4">
        <v>80.0</v>
      </c>
      <c r="B81" s="5" t="s">
        <v>192</v>
      </c>
      <c r="C81" s="6" t="s">
        <v>193</v>
      </c>
      <c r="D81" s="6">
        <v>84.0</v>
      </c>
      <c r="E81" s="7" t="s">
        <v>88</v>
      </c>
    </row>
    <row r="82">
      <c r="A82" s="4">
        <v>81.0</v>
      </c>
      <c r="B82" s="5" t="s">
        <v>194</v>
      </c>
      <c r="C82" s="6" t="s">
        <v>195</v>
      </c>
      <c r="D82" s="6">
        <v>66.0</v>
      </c>
      <c r="E82" s="7" t="s">
        <v>88</v>
      </c>
    </row>
    <row r="83">
      <c r="A83" s="4">
        <v>82.0</v>
      </c>
      <c r="B83" s="5" t="s">
        <v>196</v>
      </c>
      <c r="C83" s="6" t="s">
        <v>197</v>
      </c>
      <c r="D83" s="6">
        <v>67.0</v>
      </c>
      <c r="E83" s="7" t="s">
        <v>88</v>
      </c>
    </row>
    <row r="84">
      <c r="A84" s="4">
        <v>83.0</v>
      </c>
      <c r="B84" s="5" t="s">
        <v>198</v>
      </c>
      <c r="C84" s="6" t="s">
        <v>199</v>
      </c>
      <c r="D84" s="6">
        <v>67.0</v>
      </c>
      <c r="E84" s="7" t="s">
        <v>88</v>
      </c>
    </row>
    <row r="85">
      <c r="A85" s="4">
        <v>84.0</v>
      </c>
      <c r="B85" s="5" t="s">
        <v>200</v>
      </c>
      <c r="C85" s="6" t="s">
        <v>201</v>
      </c>
      <c r="D85" s="6">
        <v>71.0</v>
      </c>
      <c r="E85" s="7" t="s">
        <v>88</v>
      </c>
    </row>
    <row r="86">
      <c r="A86" s="4">
        <v>85.0</v>
      </c>
      <c r="B86" s="5" t="s">
        <v>202</v>
      </c>
      <c r="C86" s="6" t="s">
        <v>203</v>
      </c>
      <c r="D86" s="6">
        <v>74.0</v>
      </c>
      <c r="E86" s="7" t="s">
        <v>88</v>
      </c>
    </row>
    <row r="87">
      <c r="A87" s="4">
        <v>86.0</v>
      </c>
      <c r="B87" s="5" t="s">
        <v>204</v>
      </c>
      <c r="C87" s="6" t="s">
        <v>205</v>
      </c>
      <c r="D87" s="6">
        <v>78.0</v>
      </c>
      <c r="E87" s="7" t="s">
        <v>88</v>
      </c>
    </row>
    <row r="88">
      <c r="A88" s="4">
        <v>87.0</v>
      </c>
      <c r="B88" s="5" t="s">
        <v>206</v>
      </c>
      <c r="C88" s="6" t="s">
        <v>207</v>
      </c>
      <c r="D88" s="6">
        <v>79.0</v>
      </c>
      <c r="E88" s="7" t="s">
        <v>88</v>
      </c>
    </row>
    <row r="89">
      <c r="A89" s="4">
        <v>88.0</v>
      </c>
      <c r="B89" s="5" t="s">
        <v>208</v>
      </c>
      <c r="C89" s="6" t="s">
        <v>209</v>
      </c>
      <c r="D89" s="6">
        <v>80.0</v>
      </c>
      <c r="E89" s="7" t="s">
        <v>88</v>
      </c>
    </row>
    <row r="90">
      <c r="A90" s="4">
        <v>89.0</v>
      </c>
      <c r="B90" s="5" t="s">
        <v>210</v>
      </c>
      <c r="C90" s="6" t="s">
        <v>211</v>
      </c>
      <c r="D90" s="6">
        <v>81.0</v>
      </c>
      <c r="E90" s="7" t="s">
        <v>88</v>
      </c>
    </row>
    <row r="91">
      <c r="A91" s="4">
        <v>90.0</v>
      </c>
      <c r="B91" s="5" t="s">
        <v>212</v>
      </c>
      <c r="C91" s="6" t="s">
        <v>213</v>
      </c>
      <c r="D91" s="6">
        <v>83.0</v>
      </c>
      <c r="E91" s="7" t="s">
        <v>88</v>
      </c>
    </row>
    <row r="92">
      <c r="A92" s="4">
        <v>91.0</v>
      </c>
      <c r="B92" s="5" t="s">
        <v>214</v>
      </c>
      <c r="C92" s="6" t="s">
        <v>215</v>
      </c>
      <c r="D92" s="6">
        <v>84.0</v>
      </c>
      <c r="E92" s="7" t="s">
        <v>88</v>
      </c>
    </row>
    <row r="93">
      <c r="A93" s="4">
        <v>92.0</v>
      </c>
      <c r="B93" s="5" t="s">
        <v>216</v>
      </c>
      <c r="C93" s="6" t="s">
        <v>217</v>
      </c>
      <c r="D93" s="6">
        <v>85.0</v>
      </c>
      <c r="E93" s="7" t="s">
        <v>88</v>
      </c>
    </row>
    <row r="94">
      <c r="A94" s="4">
        <v>93.0</v>
      </c>
      <c r="B94" s="5" t="s">
        <v>218</v>
      </c>
      <c r="C94" s="6" t="s">
        <v>219</v>
      </c>
      <c r="D94" s="6">
        <v>86.0</v>
      </c>
      <c r="E94" s="7" t="s">
        <v>88</v>
      </c>
    </row>
    <row r="95">
      <c r="A95" s="4">
        <v>94.0</v>
      </c>
      <c r="B95" s="5" t="s">
        <v>220</v>
      </c>
      <c r="C95" s="6" t="s">
        <v>222</v>
      </c>
      <c r="D95" s="6">
        <v>87.0</v>
      </c>
      <c r="E95" s="7" t="s">
        <v>88</v>
      </c>
    </row>
    <row r="96">
      <c r="A96" s="4">
        <v>95.0</v>
      </c>
      <c r="B96" s="5" t="s">
        <v>223</v>
      </c>
      <c r="C96" s="6" t="s">
        <v>230</v>
      </c>
      <c r="D96" s="6">
        <v>88.0</v>
      </c>
      <c r="E96" s="7" t="s">
        <v>88</v>
      </c>
    </row>
    <row r="97">
      <c r="A97" s="4">
        <v>96.0</v>
      </c>
      <c r="B97" s="5" t="s">
        <v>234</v>
      </c>
      <c r="C97" s="6" t="s">
        <v>239</v>
      </c>
      <c r="D97" s="6">
        <v>89.0</v>
      </c>
      <c r="E97" s="7" t="s">
        <v>88</v>
      </c>
    </row>
    <row r="98">
      <c r="A98" s="4">
        <v>97.0</v>
      </c>
      <c r="B98" s="5" t="s">
        <v>241</v>
      </c>
      <c r="C98" s="6" t="s">
        <v>249</v>
      </c>
      <c r="D98" s="6">
        <v>90.0</v>
      </c>
      <c r="E98" s="7" t="s">
        <v>88</v>
      </c>
    </row>
    <row r="99">
      <c r="A99" s="4">
        <v>98.0</v>
      </c>
      <c r="B99" s="5" t="s">
        <v>250</v>
      </c>
      <c r="C99" s="6" t="s">
        <v>255</v>
      </c>
      <c r="D99" s="6">
        <v>91.0</v>
      </c>
      <c r="E99" s="7" t="s">
        <v>88</v>
      </c>
    </row>
    <row r="100">
      <c r="A100" s="4">
        <v>99.0</v>
      </c>
      <c r="B100" s="5" t="s">
        <v>256</v>
      </c>
      <c r="C100" s="6" t="s">
        <v>261</v>
      </c>
      <c r="D100" s="6">
        <v>93.0</v>
      </c>
      <c r="E100" s="7" t="s">
        <v>88</v>
      </c>
    </row>
    <row r="101">
      <c r="A101" s="4">
        <v>100.0</v>
      </c>
      <c r="B101" s="5" t="s">
        <v>264</v>
      </c>
      <c r="C101" s="6" t="s">
        <v>269</v>
      </c>
      <c r="D101" s="6">
        <v>94.0</v>
      </c>
      <c r="E101" s="7" t="s">
        <v>88</v>
      </c>
    </row>
    <row r="102">
      <c r="A102" s="4">
        <v>101.0</v>
      </c>
      <c r="B102" s="5" t="s">
        <v>270</v>
      </c>
      <c r="C102" s="6" t="s">
        <v>273</v>
      </c>
      <c r="D102" s="6">
        <v>95.0</v>
      </c>
      <c r="E102" s="7" t="s">
        <v>88</v>
      </c>
    </row>
    <row r="103">
      <c r="A103" s="4">
        <v>102.0</v>
      </c>
      <c r="B103" s="5" t="s">
        <v>274</v>
      </c>
      <c r="C103" s="6" t="s">
        <v>280</v>
      </c>
      <c r="D103" s="6">
        <v>96.0</v>
      </c>
      <c r="E103" s="7" t="s">
        <v>88</v>
      </c>
    </row>
    <row r="104">
      <c r="A104" s="4">
        <v>103.0</v>
      </c>
      <c r="B104" s="5" t="s">
        <v>283</v>
      </c>
      <c r="C104" s="6" t="s">
        <v>288</v>
      </c>
      <c r="D104" s="6">
        <v>97.0</v>
      </c>
      <c r="E104" s="7" t="s">
        <v>88</v>
      </c>
    </row>
    <row r="105">
      <c r="A105" s="4">
        <v>104.0</v>
      </c>
      <c r="B105" s="5" t="s">
        <v>289</v>
      </c>
      <c r="C105" s="6" t="s">
        <v>294</v>
      </c>
      <c r="D105" s="6">
        <v>98.0</v>
      </c>
      <c r="E105" s="7" t="s">
        <v>88</v>
      </c>
    </row>
    <row r="106">
      <c r="A106" s="4">
        <v>105.0</v>
      </c>
      <c r="B106" s="5" t="s">
        <v>297</v>
      </c>
      <c r="C106" s="6" t="s">
        <v>300</v>
      </c>
      <c r="D106" s="6">
        <v>99.0</v>
      </c>
      <c r="E106" s="7" t="s">
        <v>88</v>
      </c>
    </row>
    <row r="107">
      <c r="A107" s="4">
        <v>106.0</v>
      </c>
      <c r="B107" s="5" t="s">
        <v>303</v>
      </c>
      <c r="C107" s="6" t="s">
        <v>307</v>
      </c>
      <c r="D107" s="6">
        <v>100.0</v>
      </c>
      <c r="E107" s="7" t="s">
        <v>88</v>
      </c>
    </row>
    <row r="108">
      <c r="A108" s="4">
        <v>107.0</v>
      </c>
      <c r="B108" s="5" t="s">
        <v>308</v>
      </c>
      <c r="C108" s="6" t="s">
        <v>311</v>
      </c>
      <c r="D108" s="6">
        <v>101.0</v>
      </c>
      <c r="E108" s="7" t="s">
        <v>88</v>
      </c>
    </row>
    <row r="109">
      <c r="A109" s="4">
        <v>108.0</v>
      </c>
      <c r="B109" s="5" t="s">
        <v>313</v>
      </c>
      <c r="C109" s="6" t="s">
        <v>319</v>
      </c>
      <c r="D109" s="6">
        <v>102.0</v>
      </c>
      <c r="E109" s="7" t="s">
        <v>88</v>
      </c>
    </row>
    <row r="110">
      <c r="A110" s="4">
        <v>109.0</v>
      </c>
      <c r="B110" s="5" t="s">
        <v>320</v>
      </c>
      <c r="C110" s="6" t="s">
        <v>325</v>
      </c>
      <c r="D110" s="6">
        <v>104.0</v>
      </c>
      <c r="E110" s="7" t="s">
        <v>88</v>
      </c>
    </row>
    <row r="111">
      <c r="A111" s="4">
        <v>110.0</v>
      </c>
      <c r="B111" s="5" t="s">
        <v>327</v>
      </c>
      <c r="C111" s="6" t="s">
        <v>334</v>
      </c>
      <c r="D111" s="6">
        <v>105.0</v>
      </c>
      <c r="E111" s="7" t="s">
        <v>88</v>
      </c>
    </row>
    <row r="112">
      <c r="A112" s="4">
        <v>111.0</v>
      </c>
      <c r="B112" s="5" t="s">
        <v>335</v>
      </c>
      <c r="C112" s="6" t="s">
        <v>338</v>
      </c>
      <c r="D112" s="6">
        <v>106.0</v>
      </c>
      <c r="E112" s="7" t="s">
        <v>88</v>
      </c>
    </row>
    <row r="113">
      <c r="A113" s="4">
        <v>112.0</v>
      </c>
      <c r="B113" s="5" t="s">
        <v>342</v>
      </c>
      <c r="C113" s="6" t="s">
        <v>345</v>
      </c>
      <c r="D113" s="6">
        <v>107.0</v>
      </c>
      <c r="E113" s="7" t="s">
        <v>88</v>
      </c>
    </row>
    <row r="114">
      <c r="A114" s="4">
        <v>113.0</v>
      </c>
      <c r="B114" s="5" t="s">
        <v>346</v>
      </c>
      <c r="C114" s="6" t="s">
        <v>351</v>
      </c>
      <c r="D114" s="6">
        <v>108.0</v>
      </c>
      <c r="E114" s="7" t="s">
        <v>88</v>
      </c>
    </row>
    <row r="115">
      <c r="A115" s="4">
        <v>114.0</v>
      </c>
      <c r="B115" s="5" t="s">
        <v>353</v>
      </c>
      <c r="C115" s="6" t="s">
        <v>356</v>
      </c>
      <c r="D115" s="6">
        <v>110.0</v>
      </c>
      <c r="E115" s="7" t="s">
        <v>88</v>
      </c>
    </row>
    <row r="116">
      <c r="A116" s="4">
        <v>115.0</v>
      </c>
      <c r="B116" s="5" t="s">
        <v>357</v>
      </c>
      <c r="C116" s="6" t="s">
        <v>363</v>
      </c>
      <c r="D116" s="6">
        <v>111.0</v>
      </c>
      <c r="E116" s="7" t="s">
        <v>88</v>
      </c>
    </row>
    <row r="117">
      <c r="A117" s="4">
        <v>116.0</v>
      </c>
      <c r="B117" s="5" t="s">
        <v>364</v>
      </c>
      <c r="C117" s="6" t="s">
        <v>367</v>
      </c>
      <c r="D117" s="6">
        <v>112.0</v>
      </c>
      <c r="E117" s="7" t="s">
        <v>88</v>
      </c>
    </row>
    <row r="118">
      <c r="A118" s="4">
        <v>117.0</v>
      </c>
      <c r="B118" s="5" t="s">
        <v>369</v>
      </c>
      <c r="C118" s="6" t="s">
        <v>373</v>
      </c>
      <c r="D118" s="6">
        <v>113.0</v>
      </c>
      <c r="E118" s="7" t="s">
        <v>88</v>
      </c>
    </row>
    <row r="119">
      <c r="A119" s="4">
        <v>118.0</v>
      </c>
      <c r="B119" s="5" t="s">
        <v>374</v>
      </c>
      <c r="C119" s="6" t="s">
        <v>378</v>
      </c>
      <c r="D119" s="6">
        <v>114.0</v>
      </c>
      <c r="E119" s="7" t="s">
        <v>88</v>
      </c>
    </row>
    <row r="120">
      <c r="A120" s="4">
        <v>119.0</v>
      </c>
      <c r="B120" s="5" t="s">
        <v>379</v>
      </c>
      <c r="C120" s="6" t="s">
        <v>384</v>
      </c>
      <c r="D120" s="6">
        <v>115.0</v>
      </c>
      <c r="E120" s="7" t="s">
        <v>88</v>
      </c>
    </row>
    <row r="121">
      <c r="A121" s="4">
        <v>120.0</v>
      </c>
      <c r="B121" s="5" t="s">
        <v>386</v>
      </c>
      <c r="C121" s="6" t="s">
        <v>389</v>
      </c>
      <c r="D121" s="6">
        <v>116.0</v>
      </c>
      <c r="E121" s="7" t="s">
        <v>88</v>
      </c>
    </row>
    <row r="122">
      <c r="A122" s="4">
        <v>121.0</v>
      </c>
      <c r="B122" s="5" t="s">
        <v>390</v>
      </c>
      <c r="C122" s="6" t="s">
        <v>394</v>
      </c>
      <c r="D122" s="6">
        <v>117.0</v>
      </c>
      <c r="E122" s="7" t="s">
        <v>88</v>
      </c>
    </row>
    <row r="123">
      <c r="A123" s="4">
        <v>122.0</v>
      </c>
      <c r="B123" s="5" t="s">
        <v>398</v>
      </c>
      <c r="C123" s="6" t="s">
        <v>401</v>
      </c>
      <c r="D123" s="6">
        <v>118.0</v>
      </c>
      <c r="E123" s="7" t="s">
        <v>88</v>
      </c>
    </row>
    <row r="124">
      <c r="A124" s="4">
        <v>123.0</v>
      </c>
      <c r="B124" s="5" t="s">
        <v>402</v>
      </c>
      <c r="C124" s="6" t="s">
        <v>405</v>
      </c>
      <c r="D124" s="6">
        <v>119.0</v>
      </c>
      <c r="E124" s="7" t="s">
        <v>88</v>
      </c>
    </row>
    <row r="125">
      <c r="A125" s="4">
        <v>124.0</v>
      </c>
      <c r="B125" s="5" t="s">
        <v>406</v>
      </c>
      <c r="C125" s="6" t="s">
        <v>411</v>
      </c>
      <c r="D125" s="6">
        <v>120.0</v>
      </c>
      <c r="E125" s="7" t="s">
        <v>88</v>
      </c>
    </row>
    <row r="126">
      <c r="A126" s="4">
        <v>125.0</v>
      </c>
      <c r="B126" s="5" t="s">
        <v>413</v>
      </c>
      <c r="C126" s="6" t="s">
        <v>416</v>
      </c>
      <c r="D126" s="6">
        <v>121.0</v>
      </c>
      <c r="E126" s="7" t="s">
        <v>88</v>
      </c>
    </row>
    <row r="127">
      <c r="A127" s="4">
        <v>126.0</v>
      </c>
      <c r="B127" s="5" t="s">
        <v>417</v>
      </c>
      <c r="C127" s="6" t="s">
        <v>421</v>
      </c>
      <c r="D127" s="6">
        <v>122.0</v>
      </c>
      <c r="E127" s="7" t="s">
        <v>88</v>
      </c>
    </row>
    <row r="128">
      <c r="A128" s="4">
        <v>127.0</v>
      </c>
      <c r="B128" s="5" t="s">
        <v>424</v>
      </c>
      <c r="C128" s="6" t="s">
        <v>427</v>
      </c>
      <c r="D128" s="6">
        <v>123.0</v>
      </c>
      <c r="E128" s="7" t="s">
        <v>88</v>
      </c>
    </row>
    <row r="129">
      <c r="A129" s="4">
        <v>128.0</v>
      </c>
      <c r="B129" s="5" t="s">
        <v>428</v>
      </c>
      <c r="C129" s="6" t="s">
        <v>431</v>
      </c>
      <c r="D129" s="6">
        <v>124.0</v>
      </c>
      <c r="E129" s="7" t="s">
        <v>88</v>
      </c>
    </row>
    <row r="130">
      <c r="A130" s="4">
        <v>129.0</v>
      </c>
      <c r="B130" s="5" t="s">
        <v>434</v>
      </c>
      <c r="C130" s="6" t="s">
        <v>438</v>
      </c>
      <c r="D130" s="6">
        <v>125.0</v>
      </c>
      <c r="E130" s="7" t="s">
        <v>88</v>
      </c>
    </row>
    <row r="131">
      <c r="A131" s="4">
        <v>130.0</v>
      </c>
      <c r="B131" s="5" t="s">
        <v>439</v>
      </c>
      <c r="C131" s="6" t="s">
        <v>463</v>
      </c>
      <c r="D131" s="6">
        <v>126.0</v>
      </c>
      <c r="E131" s="7" t="s">
        <v>88</v>
      </c>
    </row>
    <row r="132">
      <c r="A132" s="4">
        <v>131.0</v>
      </c>
      <c r="B132" s="5" t="s">
        <v>464</v>
      </c>
      <c r="C132" s="6" t="s">
        <v>465</v>
      </c>
      <c r="D132" s="6">
        <v>127.0</v>
      </c>
      <c r="E132" s="7" t="s">
        <v>88</v>
      </c>
    </row>
    <row r="133">
      <c r="A133" s="4">
        <v>132.0</v>
      </c>
      <c r="B133" s="5" t="s">
        <v>466</v>
      </c>
      <c r="C133" s="6" t="s">
        <v>467</v>
      </c>
      <c r="D133" s="6">
        <v>128.0</v>
      </c>
      <c r="E133" s="7" t="s">
        <v>88</v>
      </c>
    </row>
    <row r="134">
      <c r="A134" s="4">
        <v>133.0</v>
      </c>
      <c r="B134" s="5" t="s">
        <v>468</v>
      </c>
      <c r="C134" s="6" t="s">
        <v>470</v>
      </c>
      <c r="D134" s="6">
        <v>129.0</v>
      </c>
      <c r="E134" s="7" t="s">
        <v>88</v>
      </c>
    </row>
    <row r="135">
      <c r="A135" s="4">
        <v>134.0</v>
      </c>
      <c r="B135" s="5" t="s">
        <v>471</v>
      </c>
      <c r="C135" s="6" t="s">
        <v>472</v>
      </c>
      <c r="D135" s="6">
        <v>131.0</v>
      </c>
      <c r="E135" s="7" t="s">
        <v>88</v>
      </c>
    </row>
    <row r="136">
      <c r="A136" s="4">
        <v>135.0</v>
      </c>
      <c r="B136" s="5" t="s">
        <v>473</v>
      </c>
      <c r="C136" s="6" t="s">
        <v>475</v>
      </c>
      <c r="D136" s="6">
        <v>132.0</v>
      </c>
      <c r="E136" s="7" t="s">
        <v>88</v>
      </c>
    </row>
    <row r="137">
      <c r="A137" s="4">
        <v>136.0</v>
      </c>
      <c r="B137" s="5" t="s">
        <v>476</v>
      </c>
      <c r="C137" s="6" t="s">
        <v>477</v>
      </c>
      <c r="D137" s="6">
        <v>133.0</v>
      </c>
      <c r="E137" s="7" t="s">
        <v>88</v>
      </c>
    </row>
    <row r="138">
      <c r="A138" s="4">
        <v>137.0</v>
      </c>
      <c r="B138" s="5" t="s">
        <v>478</v>
      </c>
      <c r="C138" s="19" t="s">
        <v>480</v>
      </c>
      <c r="D138" s="19">
        <v>134.0</v>
      </c>
      <c r="E138" s="4" t="s">
        <v>88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</hyperlinks>
  <drawing r:id="rId1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221</v>
      </c>
    </row>
    <row r="2">
      <c r="A2" s="8" t="s">
        <v>224</v>
      </c>
    </row>
    <row r="3">
      <c r="A3" s="8" t="s">
        <v>225</v>
      </c>
    </row>
    <row r="4">
      <c r="A4" s="8">
        <v>1.0</v>
      </c>
    </row>
    <row r="5">
      <c r="A5" s="8" t="s">
        <v>226</v>
      </c>
    </row>
    <row r="6">
      <c r="A6" s="8" t="s">
        <v>227</v>
      </c>
    </row>
    <row r="7">
      <c r="A7" s="8" t="s">
        <v>228</v>
      </c>
    </row>
    <row r="8">
      <c r="A8" s="8" t="s">
        <v>229</v>
      </c>
    </row>
    <row r="9">
      <c r="A9" s="8">
        <v>16.3</v>
      </c>
    </row>
    <row r="10">
      <c r="A10" s="8" t="s">
        <v>224</v>
      </c>
    </row>
    <row r="11">
      <c r="A11" s="8" t="s">
        <v>231</v>
      </c>
    </row>
    <row r="12">
      <c r="A12" s="8" t="s">
        <v>232</v>
      </c>
    </row>
    <row r="13">
      <c r="A13" s="8" t="s">
        <v>233</v>
      </c>
    </row>
    <row r="14">
      <c r="A14" s="8" t="s">
        <v>225</v>
      </c>
    </row>
    <row r="15">
      <c r="A15" s="8">
        <v>2.0</v>
      </c>
    </row>
    <row r="16">
      <c r="A16" s="8" t="s">
        <v>235</v>
      </c>
    </row>
    <row r="17">
      <c r="A17" s="8" t="s">
        <v>236</v>
      </c>
    </row>
    <row r="18">
      <c r="A18" s="8" t="s">
        <v>237</v>
      </c>
    </row>
    <row r="19">
      <c r="A19" s="8" t="s">
        <v>238</v>
      </c>
    </row>
    <row r="20">
      <c r="A20" s="8">
        <v>41.4</v>
      </c>
    </row>
    <row r="21">
      <c r="A21" s="8" t="s">
        <v>224</v>
      </c>
    </row>
    <row r="22">
      <c r="A22" s="8" t="s">
        <v>231</v>
      </c>
    </row>
    <row r="23">
      <c r="A23" s="8" t="s">
        <v>232</v>
      </c>
    </row>
    <row r="24">
      <c r="A24" s="8" t="s">
        <v>233</v>
      </c>
    </row>
    <row r="25">
      <c r="A25" s="8" t="s">
        <v>225</v>
      </c>
    </row>
    <row r="26">
      <c r="A26" s="8">
        <v>3.0</v>
      </c>
    </row>
    <row r="27">
      <c r="A27" s="8" t="s">
        <v>240</v>
      </c>
    </row>
    <row r="28">
      <c r="A28" s="8" t="s">
        <v>242</v>
      </c>
    </row>
    <row r="29">
      <c r="A29" s="8" t="s">
        <v>243</v>
      </c>
    </row>
    <row r="30">
      <c r="A30" s="8" t="s">
        <v>244</v>
      </c>
    </row>
    <row r="31">
      <c r="A31" s="8">
        <v>49.8</v>
      </c>
    </row>
    <row r="32">
      <c r="A32" s="8" t="s">
        <v>224</v>
      </c>
    </row>
    <row r="33">
      <c r="A33" s="8" t="s">
        <v>231</v>
      </c>
    </row>
    <row r="34">
      <c r="A34" s="8" t="s">
        <v>232</v>
      </c>
    </row>
    <row r="35">
      <c r="A35" s="8" t="s">
        <v>233</v>
      </c>
    </row>
    <row r="36">
      <c r="A36" s="8" t="s">
        <v>225</v>
      </c>
    </row>
    <row r="37">
      <c r="A37" s="8">
        <v>4.0</v>
      </c>
    </row>
    <row r="38">
      <c r="A38" s="8" t="s">
        <v>245</v>
      </c>
    </row>
    <row r="39">
      <c r="A39" s="8" t="s">
        <v>246</v>
      </c>
    </row>
    <row r="40">
      <c r="A40" s="8" t="s">
        <v>247</v>
      </c>
    </row>
    <row r="41">
      <c r="A41" s="8" t="s">
        <v>248</v>
      </c>
    </row>
    <row r="42">
      <c r="A42" s="8">
        <v>72.7</v>
      </c>
    </row>
    <row r="43">
      <c r="A43" s="8" t="s">
        <v>224</v>
      </c>
    </row>
    <row r="44">
      <c r="A44" s="8" t="s">
        <v>231</v>
      </c>
    </row>
    <row r="45">
      <c r="A45" s="8" t="s">
        <v>232</v>
      </c>
    </row>
    <row r="46">
      <c r="A46" s="8" t="s">
        <v>233</v>
      </c>
    </row>
    <row r="47">
      <c r="A47" s="8" t="s">
        <v>225</v>
      </c>
    </row>
    <row r="48">
      <c r="A48" s="8">
        <v>5.0</v>
      </c>
    </row>
    <row r="49">
      <c r="A49" s="8" t="s">
        <v>251</v>
      </c>
    </row>
    <row r="50">
      <c r="A50" s="8" t="s">
        <v>252</v>
      </c>
    </row>
    <row r="51">
      <c r="A51" s="8" t="s">
        <v>253</v>
      </c>
    </row>
    <row r="52">
      <c r="A52" s="8" t="s">
        <v>254</v>
      </c>
    </row>
    <row r="53">
      <c r="A53" s="8">
        <v>60.4</v>
      </c>
    </row>
    <row r="54">
      <c r="A54" s="8" t="s">
        <v>224</v>
      </c>
    </row>
    <row r="55">
      <c r="A55" s="8" t="s">
        <v>231</v>
      </c>
    </row>
    <row r="56">
      <c r="A56" s="8" t="s">
        <v>232</v>
      </c>
    </row>
    <row r="57">
      <c r="A57" s="8" t="s">
        <v>233</v>
      </c>
    </row>
    <row r="58">
      <c r="A58" s="8" t="s">
        <v>225</v>
      </c>
    </row>
    <row r="59">
      <c r="A59" s="8">
        <v>6.0</v>
      </c>
    </row>
    <row r="60">
      <c r="A60" s="8" t="s">
        <v>257</v>
      </c>
    </row>
    <row r="61">
      <c r="A61" s="8" t="s">
        <v>258</v>
      </c>
    </row>
    <row r="62">
      <c r="A62" s="8" t="s">
        <v>259</v>
      </c>
    </row>
    <row r="63">
      <c r="A63" s="8" t="s">
        <v>248</v>
      </c>
    </row>
    <row r="64">
      <c r="A64" s="8">
        <v>77.5</v>
      </c>
    </row>
    <row r="65">
      <c r="A65" s="8" t="s">
        <v>224</v>
      </c>
    </row>
    <row r="66">
      <c r="A66" s="8" t="s">
        <v>231</v>
      </c>
    </row>
    <row r="67">
      <c r="A67" s="8" t="s">
        <v>232</v>
      </c>
    </row>
    <row r="68">
      <c r="A68" s="8" t="s">
        <v>233</v>
      </c>
    </row>
    <row r="69">
      <c r="A69" s="8" t="s">
        <v>225</v>
      </c>
    </row>
    <row r="70">
      <c r="A70" s="8">
        <v>7.0</v>
      </c>
    </row>
    <row r="71">
      <c r="A71" s="8" t="s">
        <v>260</v>
      </c>
    </row>
    <row r="72">
      <c r="A72" s="8" t="s">
        <v>262</v>
      </c>
    </row>
    <row r="73">
      <c r="A73" s="8" t="s">
        <v>263</v>
      </c>
    </row>
    <row r="74">
      <c r="A74" s="8" t="s">
        <v>265</v>
      </c>
    </row>
    <row r="75">
      <c r="A75" s="8">
        <v>88.5</v>
      </c>
    </row>
    <row r="76">
      <c r="A76" s="8" t="s">
        <v>224</v>
      </c>
    </row>
    <row r="77">
      <c r="A77" s="8" t="s">
        <v>231</v>
      </c>
    </row>
    <row r="78">
      <c r="A78" s="8" t="s">
        <v>232</v>
      </c>
    </row>
    <row r="79">
      <c r="A79" s="8" t="s">
        <v>233</v>
      </c>
    </row>
    <row r="80">
      <c r="A80" s="8" t="s">
        <v>225</v>
      </c>
    </row>
    <row r="81">
      <c r="A81" s="8">
        <v>8.0</v>
      </c>
    </row>
    <row r="82">
      <c r="A82" s="8" t="s">
        <v>266</v>
      </c>
    </row>
    <row r="83">
      <c r="A83" s="8" t="s">
        <v>267</v>
      </c>
    </row>
    <row r="84">
      <c r="A84" s="8" t="s">
        <v>268</v>
      </c>
    </row>
    <row r="85">
      <c r="A85" s="8" t="s">
        <v>244</v>
      </c>
    </row>
    <row r="86">
      <c r="A86" s="8">
        <v>180.0</v>
      </c>
    </row>
    <row r="87">
      <c r="A87" s="8" t="s">
        <v>224</v>
      </c>
    </row>
    <row r="88">
      <c r="A88" s="8" t="s">
        <v>231</v>
      </c>
    </row>
    <row r="89">
      <c r="A89" s="8" t="s">
        <v>232</v>
      </c>
    </row>
    <row r="90">
      <c r="A90" s="8" t="s">
        <v>233</v>
      </c>
    </row>
    <row r="91">
      <c r="A91" s="8" t="s">
        <v>225</v>
      </c>
    </row>
    <row r="92">
      <c r="A92" s="8">
        <v>9.0</v>
      </c>
    </row>
    <row r="93">
      <c r="A93" s="8" t="s">
        <v>271</v>
      </c>
    </row>
    <row r="94">
      <c r="A94" s="8" t="s">
        <v>258</v>
      </c>
    </row>
    <row r="95">
      <c r="A95" s="8" t="s">
        <v>272</v>
      </c>
    </row>
    <row r="96">
      <c r="A96" s="8" t="s">
        <v>248</v>
      </c>
    </row>
    <row r="97">
      <c r="A97" s="8">
        <v>98.1</v>
      </c>
    </row>
    <row r="98">
      <c r="A98" s="8" t="s">
        <v>224</v>
      </c>
    </row>
    <row r="99">
      <c r="A99" s="8" t="s">
        <v>231</v>
      </c>
    </row>
    <row r="100">
      <c r="A100" s="8" t="s">
        <v>232</v>
      </c>
    </row>
    <row r="101">
      <c r="A101" s="8" t="s">
        <v>233</v>
      </c>
    </row>
    <row r="102">
      <c r="A102" s="8" t="s">
        <v>225</v>
      </c>
    </row>
    <row r="103">
      <c r="A103" s="8">
        <v>10.0</v>
      </c>
    </row>
    <row r="104">
      <c r="A104" s="8" t="s">
        <v>275</v>
      </c>
    </row>
    <row r="105">
      <c r="A105" s="8" t="s">
        <v>262</v>
      </c>
    </row>
    <row r="106">
      <c r="A106" s="8" t="s">
        <v>276</v>
      </c>
    </row>
    <row r="107">
      <c r="A107" s="8" t="s">
        <v>265</v>
      </c>
    </row>
    <row r="108">
      <c r="A108" s="8">
        <v>80.3</v>
      </c>
    </row>
    <row r="109">
      <c r="A109" s="8" t="s">
        <v>224</v>
      </c>
    </row>
    <row r="110">
      <c r="A110" s="8" t="s">
        <v>231</v>
      </c>
    </row>
    <row r="111">
      <c r="A111" s="8" t="s">
        <v>232</v>
      </c>
    </row>
    <row r="112">
      <c r="A112" s="8" t="s">
        <v>233</v>
      </c>
    </row>
    <row r="113">
      <c r="A113" s="8" t="s">
        <v>225</v>
      </c>
    </row>
    <row r="114">
      <c r="A114" s="8">
        <v>11.0</v>
      </c>
    </row>
    <row r="115">
      <c r="A115" s="8" t="s">
        <v>277</v>
      </c>
    </row>
    <row r="116">
      <c r="A116" s="8" t="s">
        <v>278</v>
      </c>
    </row>
    <row r="117">
      <c r="A117" s="8" t="s">
        <v>279</v>
      </c>
    </row>
    <row r="118">
      <c r="A118" s="8" t="s">
        <v>265</v>
      </c>
    </row>
    <row r="119">
      <c r="A119" s="8">
        <v>99.0</v>
      </c>
    </row>
    <row r="120">
      <c r="A120" s="8" t="s">
        <v>224</v>
      </c>
    </row>
    <row r="121">
      <c r="A121" s="8" t="s">
        <v>231</v>
      </c>
    </row>
    <row r="122">
      <c r="A122" s="8" t="s">
        <v>232</v>
      </c>
    </row>
    <row r="123">
      <c r="A123" s="8" t="s">
        <v>233</v>
      </c>
    </row>
    <row r="124">
      <c r="A124" s="8" t="s">
        <v>225</v>
      </c>
    </row>
    <row r="125">
      <c r="A125" s="8">
        <v>12.0</v>
      </c>
    </row>
    <row r="126">
      <c r="A126" s="8" t="s">
        <v>281</v>
      </c>
    </row>
    <row r="127">
      <c r="A127" s="8" t="s">
        <v>282</v>
      </c>
    </row>
    <row r="128">
      <c r="A128" s="8" t="s">
        <v>284</v>
      </c>
    </row>
    <row r="129">
      <c r="A129" s="8" t="s">
        <v>238</v>
      </c>
    </row>
    <row r="130">
      <c r="A130" s="8">
        <v>121.9</v>
      </c>
    </row>
    <row r="131">
      <c r="A131" s="8" t="s">
        <v>224</v>
      </c>
    </row>
    <row r="132">
      <c r="A132" s="8" t="s">
        <v>231</v>
      </c>
    </row>
    <row r="133">
      <c r="A133" s="8" t="s">
        <v>232</v>
      </c>
    </row>
    <row r="134">
      <c r="A134" s="8" t="s">
        <v>233</v>
      </c>
    </row>
    <row r="135">
      <c r="A135" s="8" t="s">
        <v>225</v>
      </c>
    </row>
    <row r="136">
      <c r="A136" s="8">
        <v>13.0</v>
      </c>
    </row>
    <row r="137">
      <c r="A137" s="8" t="s">
        <v>285</v>
      </c>
    </row>
    <row r="138">
      <c r="A138" s="8" t="s">
        <v>286</v>
      </c>
    </row>
    <row r="139">
      <c r="A139" s="8" t="s">
        <v>287</v>
      </c>
    </row>
    <row r="140">
      <c r="A140" s="8" t="s">
        <v>254</v>
      </c>
    </row>
    <row r="141">
      <c r="A141" s="8">
        <v>127.6</v>
      </c>
    </row>
    <row r="142">
      <c r="A142" s="8" t="s">
        <v>224</v>
      </c>
    </row>
    <row r="143">
      <c r="A143" s="8" t="s">
        <v>231</v>
      </c>
    </row>
    <row r="144">
      <c r="A144" s="8" t="s">
        <v>232</v>
      </c>
    </row>
    <row r="145">
      <c r="A145" s="8" t="s">
        <v>233</v>
      </c>
    </row>
    <row r="146">
      <c r="A146" s="8" t="s">
        <v>225</v>
      </c>
    </row>
    <row r="147">
      <c r="A147" s="8">
        <v>14.0</v>
      </c>
    </row>
    <row r="148">
      <c r="A148" s="8" t="s">
        <v>290</v>
      </c>
    </row>
    <row r="149">
      <c r="A149" s="8" t="s">
        <v>278</v>
      </c>
    </row>
    <row r="150">
      <c r="A150" s="8" t="s">
        <v>291</v>
      </c>
    </row>
    <row r="151">
      <c r="A151" s="8" t="s">
        <v>265</v>
      </c>
    </row>
    <row r="152">
      <c r="A152" s="8">
        <v>211.0</v>
      </c>
    </row>
    <row r="153">
      <c r="A153" s="8" t="s">
        <v>224</v>
      </c>
    </row>
    <row r="154">
      <c r="A154" s="8" t="s">
        <v>231</v>
      </c>
    </row>
    <row r="155">
      <c r="A155" s="8" t="s">
        <v>232</v>
      </c>
    </row>
    <row r="156">
      <c r="A156" s="8" t="s">
        <v>233</v>
      </c>
    </row>
    <row r="157">
      <c r="A157" s="8" t="s">
        <v>225</v>
      </c>
    </row>
    <row r="158">
      <c r="A158" s="8">
        <v>15.0</v>
      </c>
    </row>
    <row r="159">
      <c r="A159" s="8" t="s">
        <v>292</v>
      </c>
    </row>
    <row r="160">
      <c r="A160" s="8" t="s">
        <v>293</v>
      </c>
    </row>
    <row r="161">
      <c r="A161" s="8" t="s">
        <v>295</v>
      </c>
    </row>
    <row r="162">
      <c r="A162" s="8" t="s">
        <v>296</v>
      </c>
    </row>
    <row r="163">
      <c r="A163" s="8">
        <v>118.4</v>
      </c>
    </row>
    <row r="164">
      <c r="A164" s="8" t="s">
        <v>224</v>
      </c>
    </row>
    <row r="165">
      <c r="A165" s="8" t="s">
        <v>231</v>
      </c>
    </row>
    <row r="166">
      <c r="A166" s="8" t="s">
        <v>232</v>
      </c>
    </row>
    <row r="167">
      <c r="A167" s="8" t="s">
        <v>233</v>
      </c>
    </row>
    <row r="168">
      <c r="A168" s="8" t="s">
        <v>225</v>
      </c>
    </row>
    <row r="169">
      <c r="A169" s="8">
        <v>16.0</v>
      </c>
    </row>
    <row r="170">
      <c r="A170" s="8" t="s">
        <v>298</v>
      </c>
    </row>
    <row r="171">
      <c r="A171" s="8" t="s">
        <v>252</v>
      </c>
    </row>
    <row r="172">
      <c r="A172" s="8" t="s">
        <v>299</v>
      </c>
    </row>
    <row r="173">
      <c r="A173" s="8" t="s">
        <v>254</v>
      </c>
    </row>
    <row r="174">
      <c r="A174" s="8">
        <v>117.4</v>
      </c>
    </row>
    <row r="175">
      <c r="A175" s="8" t="s">
        <v>224</v>
      </c>
    </row>
    <row r="176">
      <c r="A176" s="8" t="s">
        <v>231</v>
      </c>
    </row>
    <row r="177">
      <c r="A177" s="8" t="s">
        <v>232</v>
      </c>
    </row>
    <row r="178">
      <c r="A178" s="8" t="s">
        <v>233</v>
      </c>
    </row>
    <row r="179">
      <c r="A179" s="8" t="s">
        <v>225</v>
      </c>
    </row>
    <row r="180">
      <c r="A180" s="8">
        <v>17.0</v>
      </c>
    </row>
    <row r="181">
      <c r="A181" s="8" t="s">
        <v>301</v>
      </c>
    </row>
    <row r="182">
      <c r="A182" s="8" t="s">
        <v>302</v>
      </c>
    </row>
    <row r="183">
      <c r="A183" s="8" t="s">
        <v>304</v>
      </c>
    </row>
    <row r="184">
      <c r="A184" s="8" t="s">
        <v>254</v>
      </c>
    </row>
    <row r="185">
      <c r="A185" s="8">
        <v>184.2</v>
      </c>
    </row>
    <row r="186">
      <c r="A186" s="8" t="s">
        <v>224</v>
      </c>
    </row>
    <row r="187">
      <c r="A187" s="8" t="s">
        <v>231</v>
      </c>
    </row>
    <row r="188">
      <c r="A188" s="8" t="s">
        <v>232</v>
      </c>
    </row>
    <row r="189">
      <c r="A189" s="8" t="s">
        <v>233</v>
      </c>
    </row>
    <row r="190">
      <c r="A190" s="8" t="s">
        <v>225</v>
      </c>
    </row>
    <row r="191">
      <c r="A191" s="8">
        <v>18.0</v>
      </c>
    </row>
    <row r="192">
      <c r="A192" s="8" t="s">
        <v>305</v>
      </c>
    </row>
    <row r="193">
      <c r="A193" s="8" t="s">
        <v>267</v>
      </c>
    </row>
    <row r="194">
      <c r="A194" s="8" t="s">
        <v>306</v>
      </c>
    </row>
    <row r="195">
      <c r="A195" s="8" t="s">
        <v>244</v>
      </c>
    </row>
    <row r="196">
      <c r="A196" s="8">
        <v>258.2</v>
      </c>
    </row>
    <row r="197">
      <c r="A197" s="8" t="s">
        <v>224</v>
      </c>
    </row>
    <row r="198">
      <c r="A198" s="8" t="s">
        <v>231</v>
      </c>
    </row>
    <row r="199">
      <c r="A199" s="8" t="s">
        <v>232</v>
      </c>
    </row>
    <row r="200">
      <c r="A200" s="8" t="s">
        <v>233</v>
      </c>
    </row>
    <row r="201">
      <c r="A201" s="8" t="s">
        <v>225</v>
      </c>
    </row>
    <row r="202">
      <c r="A202" s="8">
        <v>19.0</v>
      </c>
    </row>
    <row r="203">
      <c r="A203" s="8" t="s">
        <v>309</v>
      </c>
    </row>
    <row r="204">
      <c r="A204" s="8" t="s">
        <v>236</v>
      </c>
    </row>
    <row r="205">
      <c r="A205" s="8" t="s">
        <v>310</v>
      </c>
    </row>
    <row r="206">
      <c r="A206" s="8" t="s">
        <v>238</v>
      </c>
    </row>
    <row r="207">
      <c r="A207" s="8">
        <v>168.8</v>
      </c>
    </row>
    <row r="208">
      <c r="A208" s="8" t="s">
        <v>224</v>
      </c>
    </row>
    <row r="209">
      <c r="A209" s="8" t="s">
        <v>231</v>
      </c>
    </row>
    <row r="210">
      <c r="A210" s="8" t="s">
        <v>232</v>
      </c>
    </row>
    <row r="211">
      <c r="A211" s="8" t="s">
        <v>233</v>
      </c>
    </row>
    <row r="212">
      <c r="A212" s="8" t="s">
        <v>225</v>
      </c>
    </row>
    <row r="213">
      <c r="A213" s="8">
        <v>20.0</v>
      </c>
    </row>
    <row r="214">
      <c r="A214" s="8" t="s">
        <v>312</v>
      </c>
    </row>
    <row r="215">
      <c r="A215" s="8" t="s">
        <v>314</v>
      </c>
    </row>
    <row r="216">
      <c r="A216" s="8" t="s">
        <v>315</v>
      </c>
    </row>
    <row r="217">
      <c r="A217" s="8" t="s">
        <v>244</v>
      </c>
    </row>
    <row r="218">
      <c r="A218" s="8">
        <v>177.3</v>
      </c>
    </row>
    <row r="219">
      <c r="A219" s="8" t="s">
        <v>224</v>
      </c>
    </row>
    <row r="220">
      <c r="A220" s="8" t="s">
        <v>231</v>
      </c>
    </row>
    <row r="221">
      <c r="A221" s="8" t="s">
        <v>232</v>
      </c>
    </row>
    <row r="222">
      <c r="A222" s="8" t="s">
        <v>233</v>
      </c>
    </row>
    <row r="223">
      <c r="A223" s="8" t="s">
        <v>225</v>
      </c>
    </row>
    <row r="224">
      <c r="A224" s="8">
        <v>21.0</v>
      </c>
    </row>
    <row r="225">
      <c r="A225" s="8" t="s">
        <v>316</v>
      </c>
    </row>
    <row r="226">
      <c r="A226" s="8" t="s">
        <v>317</v>
      </c>
    </row>
    <row r="227">
      <c r="A227" s="8" t="s">
        <v>318</v>
      </c>
    </row>
    <row r="228">
      <c r="A228" s="8" t="s">
        <v>265</v>
      </c>
    </row>
    <row r="229">
      <c r="A229" s="8">
        <v>190.9</v>
      </c>
    </row>
    <row r="230">
      <c r="A230" s="8" t="s">
        <v>224</v>
      </c>
    </row>
    <row r="231">
      <c r="A231" s="8" t="s">
        <v>231</v>
      </c>
    </row>
    <row r="232">
      <c r="A232" s="8" t="s">
        <v>232</v>
      </c>
    </row>
    <row r="233">
      <c r="A233" s="8" t="s">
        <v>233</v>
      </c>
    </row>
    <row r="234">
      <c r="A234" s="8" t="s">
        <v>225</v>
      </c>
    </row>
    <row r="235">
      <c r="A235" s="8">
        <v>22.0</v>
      </c>
    </row>
    <row r="236">
      <c r="A236" s="8" t="s">
        <v>321</v>
      </c>
    </row>
    <row r="237">
      <c r="A237" s="8" t="s">
        <v>322</v>
      </c>
    </row>
    <row r="238">
      <c r="A238" s="8" t="s">
        <v>323</v>
      </c>
    </row>
    <row r="239">
      <c r="A239" s="8" t="s">
        <v>324</v>
      </c>
    </row>
    <row r="240">
      <c r="A240" s="8">
        <v>228.1</v>
      </c>
    </row>
    <row r="241">
      <c r="A241" s="8" t="s">
        <v>224</v>
      </c>
    </row>
    <row r="242">
      <c r="A242" s="8" t="s">
        <v>231</v>
      </c>
    </row>
    <row r="243">
      <c r="A243" s="8" t="s">
        <v>232</v>
      </c>
    </row>
    <row r="244">
      <c r="A244" s="8" t="s">
        <v>233</v>
      </c>
    </row>
    <row r="245">
      <c r="A245" s="8" t="s">
        <v>225</v>
      </c>
    </row>
    <row r="246">
      <c r="A246" s="8">
        <v>23.0</v>
      </c>
    </row>
    <row r="247">
      <c r="A247" s="8" t="s">
        <v>326</v>
      </c>
    </row>
    <row r="248">
      <c r="A248" s="8" t="s">
        <v>328</v>
      </c>
    </row>
    <row r="249">
      <c r="A249" s="8" t="s">
        <v>329</v>
      </c>
    </row>
    <row r="250">
      <c r="A250" s="8" t="s">
        <v>330</v>
      </c>
    </row>
    <row r="251">
      <c r="A251" s="8">
        <v>147.1</v>
      </c>
    </row>
    <row r="252">
      <c r="A252" s="8" t="s">
        <v>224</v>
      </c>
    </row>
    <row r="253">
      <c r="A253" s="8" t="s">
        <v>231</v>
      </c>
    </row>
    <row r="254">
      <c r="A254" s="8" t="s">
        <v>232</v>
      </c>
    </row>
    <row r="255">
      <c r="A255" s="8" t="s">
        <v>233</v>
      </c>
    </row>
    <row r="256">
      <c r="A256" s="8" t="s">
        <v>225</v>
      </c>
    </row>
    <row r="257">
      <c r="A257" s="8">
        <v>24.0</v>
      </c>
    </row>
    <row r="258">
      <c r="A258" s="8" t="s">
        <v>331</v>
      </c>
    </row>
    <row r="259">
      <c r="A259" s="8" t="s">
        <v>332</v>
      </c>
    </row>
    <row r="260">
      <c r="A260" s="8" t="s">
        <v>333</v>
      </c>
    </row>
    <row r="261">
      <c r="A261" s="8" t="s">
        <v>248</v>
      </c>
    </row>
    <row r="262">
      <c r="A262" s="8">
        <v>142.1</v>
      </c>
    </row>
    <row r="263">
      <c r="A263" s="8" t="s">
        <v>224</v>
      </c>
    </row>
    <row r="264">
      <c r="A264" s="8" t="s">
        <v>231</v>
      </c>
    </row>
    <row r="265">
      <c r="A265" s="8" t="s">
        <v>232</v>
      </c>
    </row>
    <row r="266">
      <c r="A266" s="8" t="s">
        <v>233</v>
      </c>
    </row>
    <row r="267">
      <c r="A267" s="8" t="s">
        <v>225</v>
      </c>
    </row>
    <row r="268">
      <c r="A268" s="8">
        <v>25.0</v>
      </c>
    </row>
    <row r="269">
      <c r="A269" s="8" t="s">
        <v>336</v>
      </c>
    </row>
    <row r="270">
      <c r="A270" s="8" t="s">
        <v>293</v>
      </c>
    </row>
    <row r="271">
      <c r="A271" s="8" t="s">
        <v>337</v>
      </c>
    </row>
    <row r="272">
      <c r="A272" s="8" t="s">
        <v>296</v>
      </c>
    </row>
    <row r="273">
      <c r="A273" s="8">
        <v>302.0</v>
      </c>
    </row>
    <row r="274">
      <c r="A274" s="8" t="s">
        <v>224</v>
      </c>
    </row>
    <row r="275">
      <c r="A275" s="8" t="s">
        <v>231</v>
      </c>
    </row>
    <row r="276">
      <c r="A276" s="8" t="s">
        <v>232</v>
      </c>
    </row>
    <row r="277">
      <c r="A277" s="8" t="s">
        <v>233</v>
      </c>
    </row>
    <row r="278">
      <c r="A278" s="8" t="s">
        <v>225</v>
      </c>
    </row>
    <row r="279">
      <c r="A279" s="8">
        <v>26.0</v>
      </c>
    </row>
    <row r="280">
      <c r="A280" s="8" t="s">
        <v>339</v>
      </c>
    </row>
    <row r="281">
      <c r="A281" s="8" t="s">
        <v>340</v>
      </c>
    </row>
    <row r="282">
      <c r="A282" s="8" t="s">
        <v>341</v>
      </c>
    </row>
    <row r="283">
      <c r="A283" s="8" t="s">
        <v>248</v>
      </c>
    </row>
    <row r="284">
      <c r="A284" s="8">
        <v>170.0</v>
      </c>
    </row>
    <row r="285">
      <c r="A285" s="8" t="s">
        <v>224</v>
      </c>
    </row>
    <row r="286">
      <c r="A286" s="8" t="s">
        <v>231</v>
      </c>
    </row>
    <row r="287">
      <c r="A287" s="8" t="s">
        <v>232</v>
      </c>
    </row>
    <row r="288">
      <c r="A288" s="8" t="s">
        <v>233</v>
      </c>
    </row>
    <row r="289">
      <c r="A289" s="8" t="s">
        <v>225</v>
      </c>
    </row>
    <row r="290">
      <c r="A290" s="8">
        <v>27.0</v>
      </c>
    </row>
    <row r="291">
      <c r="A291" s="8" t="s">
        <v>343</v>
      </c>
    </row>
    <row r="292">
      <c r="A292" s="8" t="s">
        <v>328</v>
      </c>
    </row>
    <row r="293">
      <c r="A293" s="8" t="s">
        <v>344</v>
      </c>
    </row>
    <row r="294">
      <c r="A294" s="8" t="s">
        <v>330</v>
      </c>
    </row>
    <row r="295">
      <c r="A295" s="8">
        <v>999.0</v>
      </c>
    </row>
    <row r="296">
      <c r="A296" s="8" t="s">
        <v>224</v>
      </c>
    </row>
    <row r="297">
      <c r="A297" s="8" t="s">
        <v>231</v>
      </c>
    </row>
    <row r="298">
      <c r="A298" s="8" t="s">
        <v>232</v>
      </c>
    </row>
    <row r="299">
      <c r="A299" s="8" t="s">
        <v>233</v>
      </c>
    </row>
    <row r="300">
      <c r="A300" s="8" t="s">
        <v>225</v>
      </c>
    </row>
    <row r="301">
      <c r="A301" s="8">
        <v>28.0</v>
      </c>
    </row>
    <row r="302">
      <c r="A302" s="8" t="s">
        <v>347</v>
      </c>
    </row>
    <row r="303">
      <c r="A303" s="8" t="s">
        <v>348</v>
      </c>
    </row>
    <row r="304">
      <c r="A304" s="8" t="s">
        <v>349</v>
      </c>
    </row>
    <row r="305">
      <c r="A305" s="8" t="s">
        <v>296</v>
      </c>
    </row>
    <row r="306">
      <c r="A306" s="8">
        <v>248.1</v>
      </c>
    </row>
    <row r="307">
      <c r="A307" s="8" t="s">
        <v>224</v>
      </c>
    </row>
    <row r="308">
      <c r="A308" s="8" t="s">
        <v>231</v>
      </c>
    </row>
    <row r="309">
      <c r="A309" s="8" t="s">
        <v>232</v>
      </c>
    </row>
    <row r="310">
      <c r="A310" s="8" t="s">
        <v>233</v>
      </c>
    </row>
    <row r="311">
      <c r="A311" s="8" t="s">
        <v>225</v>
      </c>
    </row>
    <row r="312">
      <c r="A312" s="8">
        <v>29.0</v>
      </c>
    </row>
    <row r="313">
      <c r="A313" s="8" t="s">
        <v>350</v>
      </c>
    </row>
    <row r="314">
      <c r="A314" s="8" t="s">
        <v>317</v>
      </c>
    </row>
    <row r="315">
      <c r="A315" s="8" t="s">
        <v>352</v>
      </c>
    </row>
    <row r="316">
      <c r="A316" s="8" t="s">
        <v>265</v>
      </c>
    </row>
    <row r="317">
      <c r="A317" s="8">
        <v>217.0</v>
      </c>
    </row>
    <row r="318">
      <c r="A318" s="8" t="s">
        <v>224</v>
      </c>
    </row>
    <row r="319">
      <c r="A319" s="8" t="s">
        <v>231</v>
      </c>
    </row>
    <row r="320">
      <c r="A320" s="8" t="s">
        <v>232</v>
      </c>
    </row>
    <row r="321">
      <c r="A321" s="8" t="s">
        <v>233</v>
      </c>
    </row>
    <row r="322">
      <c r="A322" s="8" t="s">
        <v>225</v>
      </c>
    </row>
    <row r="323">
      <c r="A323" s="8">
        <v>30.0</v>
      </c>
    </row>
    <row r="324">
      <c r="A324" s="8" t="s">
        <v>354</v>
      </c>
    </row>
    <row r="325">
      <c r="A325" s="8" t="s">
        <v>317</v>
      </c>
    </row>
    <row r="326">
      <c r="A326" s="8" t="s">
        <v>355</v>
      </c>
    </row>
    <row r="327">
      <c r="A327" s="8" t="s">
        <v>265</v>
      </c>
    </row>
    <row r="328">
      <c r="A328" s="8">
        <v>137.8</v>
      </c>
    </row>
    <row r="329">
      <c r="A329" s="8" t="s">
        <v>224</v>
      </c>
    </row>
    <row r="330">
      <c r="A330" s="8" t="s">
        <v>231</v>
      </c>
    </row>
    <row r="331">
      <c r="A331" s="8" t="s">
        <v>232</v>
      </c>
    </row>
    <row r="332">
      <c r="A332" s="8" t="s">
        <v>233</v>
      </c>
    </row>
    <row r="333">
      <c r="A333" s="8" t="s">
        <v>225</v>
      </c>
    </row>
    <row r="334">
      <c r="A334" s="8">
        <v>31.0</v>
      </c>
    </row>
    <row r="335">
      <c r="A335" s="8" t="s">
        <v>358</v>
      </c>
    </row>
    <row r="336">
      <c r="A336" s="8" t="s">
        <v>359</v>
      </c>
    </row>
    <row r="337">
      <c r="A337" s="8" t="s">
        <v>360</v>
      </c>
    </row>
    <row r="338">
      <c r="A338" s="8" t="s">
        <v>330</v>
      </c>
    </row>
    <row r="339">
      <c r="A339" s="8">
        <v>127.7</v>
      </c>
    </row>
    <row r="340">
      <c r="A340" s="8" t="s">
        <v>224</v>
      </c>
    </row>
    <row r="341">
      <c r="A341" s="8" t="s">
        <v>231</v>
      </c>
    </row>
    <row r="342">
      <c r="A342" s="8" t="s">
        <v>232</v>
      </c>
    </row>
    <row r="343">
      <c r="A343" s="8" t="s">
        <v>233</v>
      </c>
    </row>
    <row r="344">
      <c r="A344" s="8" t="s">
        <v>225</v>
      </c>
    </row>
    <row r="345">
      <c r="A345" s="8">
        <v>32.0</v>
      </c>
    </row>
    <row r="346">
      <c r="A346" s="8" t="s">
        <v>361</v>
      </c>
    </row>
    <row r="347">
      <c r="A347" s="8" t="s">
        <v>340</v>
      </c>
    </row>
    <row r="348">
      <c r="A348" s="8" t="s">
        <v>362</v>
      </c>
    </row>
    <row r="349">
      <c r="A349" s="8" t="s">
        <v>248</v>
      </c>
    </row>
    <row r="350">
      <c r="A350" s="8">
        <v>216.2</v>
      </c>
    </row>
    <row r="351">
      <c r="A351" s="8" t="s">
        <v>224</v>
      </c>
    </row>
    <row r="352">
      <c r="A352" s="8" t="s">
        <v>231</v>
      </c>
    </row>
    <row r="353">
      <c r="A353" s="8" t="s">
        <v>232</v>
      </c>
    </row>
    <row r="354">
      <c r="A354" s="8" t="s">
        <v>233</v>
      </c>
    </row>
    <row r="355">
      <c r="A355" s="8" t="s">
        <v>225</v>
      </c>
    </row>
    <row r="356">
      <c r="A356" s="8">
        <v>33.0</v>
      </c>
    </row>
    <row r="357">
      <c r="A357" s="8" t="s">
        <v>365</v>
      </c>
    </row>
    <row r="358">
      <c r="A358" s="8" t="s">
        <v>322</v>
      </c>
    </row>
    <row r="359">
      <c r="A359" s="8" t="s">
        <v>366</v>
      </c>
    </row>
    <row r="360">
      <c r="A360" s="8" t="s">
        <v>324</v>
      </c>
    </row>
    <row r="361">
      <c r="A361" s="8">
        <v>171.2</v>
      </c>
    </row>
    <row r="362">
      <c r="A362" s="8" t="s">
        <v>224</v>
      </c>
    </row>
    <row r="363">
      <c r="A363" s="8" t="s">
        <v>231</v>
      </c>
    </row>
    <row r="364">
      <c r="A364" s="8" t="s">
        <v>232</v>
      </c>
    </row>
    <row r="365">
      <c r="A365" s="8" t="s">
        <v>233</v>
      </c>
    </row>
    <row r="366">
      <c r="A366" s="8" t="s">
        <v>225</v>
      </c>
    </row>
    <row r="367">
      <c r="A367" s="8">
        <v>34.0</v>
      </c>
    </row>
    <row r="368">
      <c r="A368" s="8" t="s">
        <v>368</v>
      </c>
    </row>
    <row r="369">
      <c r="A369" s="8" t="s">
        <v>227</v>
      </c>
    </row>
    <row r="370">
      <c r="A370" s="8" t="s">
        <v>370</v>
      </c>
    </row>
    <row r="371">
      <c r="A371" s="8" t="s">
        <v>229</v>
      </c>
    </row>
    <row r="372">
      <c r="A372" s="8">
        <v>258.0</v>
      </c>
    </row>
    <row r="373">
      <c r="A373" s="8" t="s">
        <v>224</v>
      </c>
    </row>
    <row r="374">
      <c r="A374" s="8" t="s">
        <v>231</v>
      </c>
    </row>
    <row r="375">
      <c r="A375" s="8" t="s">
        <v>232</v>
      </c>
    </row>
    <row r="376">
      <c r="A376" s="8" t="s">
        <v>233</v>
      </c>
    </row>
    <row r="377">
      <c r="A377" s="8" t="s">
        <v>225</v>
      </c>
    </row>
    <row r="378">
      <c r="A378" s="8">
        <v>35.0</v>
      </c>
    </row>
    <row r="379">
      <c r="A379" s="8" t="s">
        <v>371</v>
      </c>
    </row>
    <row r="380">
      <c r="A380" s="8" t="s">
        <v>242</v>
      </c>
    </row>
    <row r="381">
      <c r="A381" s="8" t="s">
        <v>372</v>
      </c>
    </row>
    <row r="382">
      <c r="A382" s="8" t="s">
        <v>244</v>
      </c>
    </row>
    <row r="383">
      <c r="A383" s="8">
        <v>236.0</v>
      </c>
    </row>
    <row r="384">
      <c r="A384" s="8" t="s">
        <v>224</v>
      </c>
    </row>
    <row r="385">
      <c r="A385" s="8" t="s">
        <v>231</v>
      </c>
    </row>
    <row r="386">
      <c r="A386" s="8" t="s">
        <v>232</v>
      </c>
    </row>
    <row r="387">
      <c r="A387" s="8" t="s">
        <v>233</v>
      </c>
    </row>
    <row r="388">
      <c r="A388" s="8" t="s">
        <v>225</v>
      </c>
    </row>
    <row r="389">
      <c r="A389" s="8">
        <v>36.0</v>
      </c>
    </row>
    <row r="390">
      <c r="A390" s="8" t="s">
        <v>375</v>
      </c>
    </row>
    <row r="391">
      <c r="A391" s="8" t="s">
        <v>376</v>
      </c>
    </row>
    <row r="392">
      <c r="A392" s="8" t="s">
        <v>377</v>
      </c>
    </row>
    <row r="393">
      <c r="A393" s="8" t="s">
        <v>324</v>
      </c>
    </row>
    <row r="394">
      <c r="A394" s="8">
        <v>199.5</v>
      </c>
    </row>
    <row r="395">
      <c r="A395" s="8" t="s">
        <v>224</v>
      </c>
    </row>
    <row r="396">
      <c r="A396" s="8" t="s">
        <v>231</v>
      </c>
    </row>
    <row r="397">
      <c r="A397" s="8" t="s">
        <v>232</v>
      </c>
    </row>
    <row r="398">
      <c r="A398" s="8" t="s">
        <v>233</v>
      </c>
    </row>
    <row r="399">
      <c r="A399" s="8" t="s">
        <v>225</v>
      </c>
    </row>
    <row r="400">
      <c r="A400" s="8">
        <v>37.0</v>
      </c>
    </row>
    <row r="401">
      <c r="A401" s="8" t="s">
        <v>380</v>
      </c>
    </row>
    <row r="402">
      <c r="A402" s="8" t="s">
        <v>381</v>
      </c>
    </row>
    <row r="403">
      <c r="A403" s="8" t="s">
        <v>382</v>
      </c>
    </row>
    <row r="404">
      <c r="A404" s="8" t="s">
        <v>265</v>
      </c>
    </row>
    <row r="405">
      <c r="A405" s="8">
        <v>315.0</v>
      </c>
    </row>
    <row r="406">
      <c r="A406" s="8" t="s">
        <v>224</v>
      </c>
    </row>
    <row r="407">
      <c r="A407" s="8" t="s">
        <v>231</v>
      </c>
    </row>
    <row r="408">
      <c r="A408" s="8" t="s">
        <v>232</v>
      </c>
    </row>
    <row r="409">
      <c r="A409" s="8" t="s">
        <v>233</v>
      </c>
    </row>
    <row r="410">
      <c r="A410" s="8" t="s">
        <v>225</v>
      </c>
    </row>
    <row r="411">
      <c r="A411" s="8">
        <v>38.0</v>
      </c>
    </row>
    <row r="412">
      <c r="A412" s="8" t="s">
        <v>383</v>
      </c>
    </row>
    <row r="413">
      <c r="A413" s="8" t="s">
        <v>286</v>
      </c>
    </row>
    <row r="414">
      <c r="A414" s="8" t="s">
        <v>385</v>
      </c>
    </row>
    <row r="415">
      <c r="A415" s="8" t="s">
        <v>254</v>
      </c>
    </row>
    <row r="416">
      <c r="A416" s="8">
        <v>289.2</v>
      </c>
    </row>
    <row r="417">
      <c r="A417" s="8" t="s">
        <v>224</v>
      </c>
    </row>
    <row r="418">
      <c r="A418" s="8" t="s">
        <v>231</v>
      </c>
    </row>
    <row r="419">
      <c r="A419" s="8" t="s">
        <v>232</v>
      </c>
    </row>
    <row r="420">
      <c r="A420" s="8" t="s">
        <v>233</v>
      </c>
    </row>
    <row r="421">
      <c r="A421" s="8" t="s">
        <v>225</v>
      </c>
    </row>
    <row r="422">
      <c r="A422" s="8">
        <v>39.0</v>
      </c>
    </row>
    <row r="423">
      <c r="A423" s="8" t="s">
        <v>387</v>
      </c>
    </row>
    <row r="424">
      <c r="A424" s="8" t="s">
        <v>242</v>
      </c>
    </row>
    <row r="425">
      <c r="A425" s="8" t="s">
        <v>388</v>
      </c>
    </row>
    <row r="426">
      <c r="A426" s="8" t="s">
        <v>244</v>
      </c>
    </row>
    <row r="427">
      <c r="A427" s="8">
        <v>272.0</v>
      </c>
    </row>
    <row r="428">
      <c r="A428" s="8" t="s">
        <v>224</v>
      </c>
    </row>
    <row r="429">
      <c r="A429" s="8" t="s">
        <v>231</v>
      </c>
    </row>
    <row r="430">
      <c r="A430" s="8" t="s">
        <v>232</v>
      </c>
    </row>
    <row r="431">
      <c r="A431" s="8" t="s">
        <v>233</v>
      </c>
    </row>
    <row r="432">
      <c r="A432" s="8" t="s">
        <v>225</v>
      </c>
    </row>
    <row r="433">
      <c r="A433" s="8">
        <v>40.0</v>
      </c>
    </row>
    <row r="434">
      <c r="A434" s="8" t="s">
        <v>391</v>
      </c>
    </row>
    <row r="435">
      <c r="A435" s="8" t="s">
        <v>392</v>
      </c>
    </row>
    <row r="436">
      <c r="A436" s="8" t="s">
        <v>393</v>
      </c>
    </row>
    <row r="437">
      <c r="A437" s="8" t="s">
        <v>324</v>
      </c>
    </row>
    <row r="438">
      <c r="A438" s="8">
        <v>213.2</v>
      </c>
    </row>
    <row r="439">
      <c r="A439" s="8" t="s">
        <v>224</v>
      </c>
    </row>
    <row r="440">
      <c r="A440" s="8" t="s">
        <v>231</v>
      </c>
    </row>
    <row r="441">
      <c r="A441" s="8" t="s">
        <v>232</v>
      </c>
    </row>
    <row r="442">
      <c r="A442" s="8" t="s">
        <v>233</v>
      </c>
    </row>
    <row r="443">
      <c r="A443" s="8" t="s">
        <v>225</v>
      </c>
    </row>
    <row r="444">
      <c r="A444" s="8">
        <v>41.0</v>
      </c>
    </row>
    <row r="445">
      <c r="A445" s="8" t="s">
        <v>395</v>
      </c>
    </row>
    <row r="446">
      <c r="A446" s="8" t="s">
        <v>396</v>
      </c>
    </row>
    <row r="447">
      <c r="A447" s="8" t="s">
        <v>397</v>
      </c>
    </row>
    <row r="448">
      <c r="A448" s="8" t="s">
        <v>254</v>
      </c>
    </row>
    <row r="449">
      <c r="A449" s="8">
        <v>999.0</v>
      </c>
    </row>
    <row r="450">
      <c r="A450" s="8" t="s">
        <v>224</v>
      </c>
    </row>
    <row r="451">
      <c r="A451" s="8" t="s">
        <v>231</v>
      </c>
    </row>
    <row r="452">
      <c r="A452" s="8" t="s">
        <v>232</v>
      </c>
    </row>
    <row r="453">
      <c r="A453" s="8" t="s">
        <v>233</v>
      </c>
    </row>
    <row r="454">
      <c r="A454" s="8" t="s">
        <v>225</v>
      </c>
    </row>
    <row r="455">
      <c r="A455" s="8">
        <v>42.0</v>
      </c>
    </row>
    <row r="456">
      <c r="A456" s="8" t="s">
        <v>399</v>
      </c>
    </row>
    <row r="457">
      <c r="A457" s="8" t="s">
        <v>282</v>
      </c>
    </row>
    <row r="458">
      <c r="A458" s="8" t="s">
        <v>400</v>
      </c>
    </row>
    <row r="459">
      <c r="A459" s="8" t="s">
        <v>238</v>
      </c>
    </row>
    <row r="460">
      <c r="A460" s="8">
        <v>268.3</v>
      </c>
    </row>
    <row r="461">
      <c r="A461" s="8" t="s">
        <v>224</v>
      </c>
    </row>
    <row r="462">
      <c r="A462" s="8" t="s">
        <v>231</v>
      </c>
    </row>
    <row r="463">
      <c r="A463" s="8" t="s">
        <v>232</v>
      </c>
    </row>
    <row r="464">
      <c r="A464" s="8" t="s">
        <v>233</v>
      </c>
    </row>
    <row r="465">
      <c r="A465" s="8" t="s">
        <v>225</v>
      </c>
    </row>
    <row r="466">
      <c r="A466" s="8">
        <v>43.0</v>
      </c>
    </row>
    <row r="467">
      <c r="A467" s="8" t="s">
        <v>403</v>
      </c>
    </row>
    <row r="468">
      <c r="A468" s="8" t="s">
        <v>227</v>
      </c>
    </row>
    <row r="469">
      <c r="A469" s="8" t="s">
        <v>404</v>
      </c>
    </row>
    <row r="470">
      <c r="A470" s="8" t="s">
        <v>229</v>
      </c>
    </row>
    <row r="471">
      <c r="A471" s="8">
        <v>309.0</v>
      </c>
    </row>
    <row r="472">
      <c r="A472" s="8" t="s">
        <v>224</v>
      </c>
    </row>
    <row r="473">
      <c r="A473" s="8" t="s">
        <v>231</v>
      </c>
    </row>
    <row r="474">
      <c r="A474" s="8" t="s">
        <v>232</v>
      </c>
    </row>
    <row r="475">
      <c r="A475" s="8" t="s">
        <v>233</v>
      </c>
    </row>
    <row r="476">
      <c r="A476" s="8" t="s">
        <v>225</v>
      </c>
    </row>
    <row r="477">
      <c r="A477" s="8">
        <v>44.0</v>
      </c>
    </row>
    <row r="478">
      <c r="A478" s="8" t="s">
        <v>407</v>
      </c>
    </row>
    <row r="479">
      <c r="A479" s="8" t="s">
        <v>408</v>
      </c>
    </row>
    <row r="480">
      <c r="A480" s="8" t="s">
        <v>409</v>
      </c>
    </row>
    <row r="481">
      <c r="A481" s="8" t="s">
        <v>248</v>
      </c>
    </row>
    <row r="482">
      <c r="A482" s="8">
        <v>246.3</v>
      </c>
    </row>
    <row r="483">
      <c r="A483" s="8" t="s">
        <v>224</v>
      </c>
    </row>
    <row r="484">
      <c r="A484" s="8" t="s">
        <v>231</v>
      </c>
    </row>
    <row r="485">
      <c r="A485" s="8" t="s">
        <v>232</v>
      </c>
    </row>
    <row r="486">
      <c r="A486" s="8" t="s">
        <v>233</v>
      </c>
    </row>
    <row r="487">
      <c r="A487" s="8" t="s">
        <v>225</v>
      </c>
    </row>
    <row r="488">
      <c r="A488" s="8">
        <v>45.0</v>
      </c>
    </row>
    <row r="489">
      <c r="A489" s="8" t="s">
        <v>410</v>
      </c>
    </row>
    <row r="490">
      <c r="A490" s="8" t="s">
        <v>408</v>
      </c>
    </row>
    <row r="491">
      <c r="A491" s="8" t="s">
        <v>412</v>
      </c>
    </row>
    <row r="492">
      <c r="A492" s="8" t="s">
        <v>248</v>
      </c>
    </row>
    <row r="493">
      <c r="A493" s="8">
        <v>320.4</v>
      </c>
    </row>
    <row r="494">
      <c r="A494" s="8" t="s">
        <v>224</v>
      </c>
    </row>
    <row r="495">
      <c r="A495" s="8" t="s">
        <v>231</v>
      </c>
    </row>
    <row r="496">
      <c r="A496" s="8" t="s">
        <v>232</v>
      </c>
    </row>
    <row r="497">
      <c r="A497" s="8" t="s">
        <v>233</v>
      </c>
    </row>
    <row r="498">
      <c r="A498" s="8" t="s">
        <v>225</v>
      </c>
    </row>
    <row r="499">
      <c r="A499" s="8">
        <v>46.0</v>
      </c>
    </row>
    <row r="500">
      <c r="A500" s="8" t="s">
        <v>414</v>
      </c>
    </row>
    <row r="501">
      <c r="A501" s="8" t="s">
        <v>293</v>
      </c>
    </row>
    <row r="502">
      <c r="A502" s="8" t="s">
        <v>415</v>
      </c>
    </row>
    <row r="503">
      <c r="A503" s="8" t="s">
        <v>296</v>
      </c>
    </row>
    <row r="504">
      <c r="A504" s="8">
        <v>225.3</v>
      </c>
    </row>
    <row r="505">
      <c r="A505" s="8" t="s">
        <v>224</v>
      </c>
    </row>
    <row r="506">
      <c r="A506" s="8" t="s">
        <v>231</v>
      </c>
    </row>
    <row r="507">
      <c r="A507" s="8" t="s">
        <v>232</v>
      </c>
    </row>
    <row r="508">
      <c r="A508" s="8" t="s">
        <v>233</v>
      </c>
    </row>
    <row r="509">
      <c r="A509" s="8" t="s">
        <v>225</v>
      </c>
    </row>
    <row r="510">
      <c r="A510" s="8">
        <v>47.0</v>
      </c>
    </row>
    <row r="511">
      <c r="A511" s="8" t="s">
        <v>418</v>
      </c>
    </row>
    <row r="512">
      <c r="A512" s="8" t="s">
        <v>282</v>
      </c>
    </row>
    <row r="513">
      <c r="A513" s="8" t="s">
        <v>419</v>
      </c>
    </row>
    <row r="514">
      <c r="A514" s="8" t="s">
        <v>238</v>
      </c>
    </row>
    <row r="515">
      <c r="A515" s="8">
        <v>290.0</v>
      </c>
    </row>
    <row r="516">
      <c r="A516" s="8" t="s">
        <v>224</v>
      </c>
    </row>
    <row r="517">
      <c r="A517" s="8" t="s">
        <v>231</v>
      </c>
    </row>
    <row r="518">
      <c r="A518" s="8" t="s">
        <v>232</v>
      </c>
    </row>
    <row r="519">
      <c r="A519" s="8" t="s">
        <v>233</v>
      </c>
    </row>
    <row r="520">
      <c r="A520" s="8" t="s">
        <v>225</v>
      </c>
    </row>
    <row r="521">
      <c r="A521" s="8">
        <v>48.0</v>
      </c>
    </row>
    <row r="522">
      <c r="A522" s="8" t="s">
        <v>420</v>
      </c>
    </row>
    <row r="523">
      <c r="A523" s="8" t="s">
        <v>422</v>
      </c>
    </row>
    <row r="524">
      <c r="A524" s="8" t="s">
        <v>423</v>
      </c>
    </row>
    <row r="525">
      <c r="A525" s="8" t="s">
        <v>296</v>
      </c>
    </row>
    <row r="526">
      <c r="A526" s="8">
        <v>999.0</v>
      </c>
    </row>
    <row r="527">
      <c r="A527" s="8" t="s">
        <v>224</v>
      </c>
    </row>
    <row r="528">
      <c r="A528" s="8" t="s">
        <v>231</v>
      </c>
    </row>
    <row r="529">
      <c r="A529" s="8" t="s">
        <v>232</v>
      </c>
    </row>
    <row r="530">
      <c r="A530" s="8" t="s">
        <v>233</v>
      </c>
    </row>
    <row r="531">
      <c r="A531" s="8" t="s">
        <v>225</v>
      </c>
    </row>
    <row r="532">
      <c r="A532" s="8">
        <v>49.0</v>
      </c>
    </row>
    <row r="533">
      <c r="A533" s="8" t="s">
        <v>425</v>
      </c>
    </row>
    <row r="534">
      <c r="A534" s="8" t="s">
        <v>278</v>
      </c>
    </row>
    <row r="535">
      <c r="A535" s="8" t="s">
        <v>426</v>
      </c>
    </row>
    <row r="536">
      <c r="A536" s="8" t="s">
        <v>265</v>
      </c>
    </row>
    <row r="537">
      <c r="A537" s="8">
        <v>304.9</v>
      </c>
    </row>
    <row r="538">
      <c r="A538" s="8" t="s">
        <v>224</v>
      </c>
    </row>
    <row r="539">
      <c r="A539" s="8" t="s">
        <v>231</v>
      </c>
    </row>
    <row r="540">
      <c r="A540" s="8" t="s">
        <v>232</v>
      </c>
    </row>
    <row r="541">
      <c r="A541" s="8" t="s">
        <v>233</v>
      </c>
    </row>
    <row r="542">
      <c r="A542" s="8" t="s">
        <v>225</v>
      </c>
    </row>
    <row r="543">
      <c r="A543" s="8">
        <v>50.0</v>
      </c>
    </row>
    <row r="544">
      <c r="A544" s="8" t="s">
        <v>429</v>
      </c>
    </row>
    <row r="545">
      <c r="A545" s="8" t="s">
        <v>293</v>
      </c>
    </row>
    <row r="546">
      <c r="A546" s="8" t="s">
        <v>430</v>
      </c>
    </row>
    <row r="547">
      <c r="A547" s="8" t="s">
        <v>296</v>
      </c>
    </row>
    <row r="548">
      <c r="A548" s="8">
        <v>999.0</v>
      </c>
    </row>
    <row r="549">
      <c r="A549" s="8" t="s">
        <v>224</v>
      </c>
    </row>
    <row r="550">
      <c r="A550" s="8" t="s">
        <v>231</v>
      </c>
    </row>
    <row r="551">
      <c r="A551" s="8" t="s">
        <v>232</v>
      </c>
    </row>
    <row r="552">
      <c r="A552" s="8" t="s">
        <v>233</v>
      </c>
    </row>
    <row r="553">
      <c r="A553" s="8" t="s">
        <v>225</v>
      </c>
    </row>
    <row r="554">
      <c r="A554" s="8">
        <v>51.0</v>
      </c>
    </row>
    <row r="555">
      <c r="A555" s="8" t="s">
        <v>432</v>
      </c>
    </row>
    <row r="556">
      <c r="A556" s="8" t="s">
        <v>433</v>
      </c>
    </row>
    <row r="557">
      <c r="A557" s="8" t="s">
        <v>435</v>
      </c>
    </row>
    <row r="558">
      <c r="A558" s="8" t="s">
        <v>324</v>
      </c>
    </row>
    <row r="559">
      <c r="A559" s="8">
        <v>290.0</v>
      </c>
    </row>
    <row r="560">
      <c r="A560" s="8" t="s">
        <v>224</v>
      </c>
    </row>
    <row r="561">
      <c r="A561" s="8" t="s">
        <v>231</v>
      </c>
    </row>
    <row r="562">
      <c r="A562" s="8" t="s">
        <v>232</v>
      </c>
    </row>
    <row r="563">
      <c r="A563" s="8" t="s">
        <v>233</v>
      </c>
    </row>
    <row r="564">
      <c r="A564" s="8" t="s">
        <v>225</v>
      </c>
    </row>
    <row r="565">
      <c r="A565" s="8">
        <v>52.0</v>
      </c>
    </row>
    <row r="566">
      <c r="A566" s="8" t="s">
        <v>436</v>
      </c>
    </row>
    <row r="567">
      <c r="A567" s="8" t="s">
        <v>340</v>
      </c>
    </row>
    <row r="568">
      <c r="A568" s="8" t="s">
        <v>437</v>
      </c>
    </row>
    <row r="569">
      <c r="A569" s="8" t="s">
        <v>248</v>
      </c>
    </row>
    <row r="570">
      <c r="A570" s="8">
        <v>220.0</v>
      </c>
    </row>
    <row r="571">
      <c r="A571" s="8" t="s">
        <v>224</v>
      </c>
    </row>
    <row r="572">
      <c r="A572" s="8" t="s">
        <v>231</v>
      </c>
    </row>
    <row r="573">
      <c r="A573" s="8" t="s">
        <v>232</v>
      </c>
    </row>
    <row r="574">
      <c r="A574" s="8" t="s">
        <v>233</v>
      </c>
    </row>
    <row r="575">
      <c r="A575" s="8" t="s">
        <v>225</v>
      </c>
    </row>
    <row r="576">
      <c r="A576" s="8">
        <v>53.0</v>
      </c>
    </row>
    <row r="577">
      <c r="A577" s="8" t="s">
        <v>440</v>
      </c>
    </row>
    <row r="578">
      <c r="A578" s="8" t="s">
        <v>441</v>
      </c>
    </row>
    <row r="579">
      <c r="A579" s="8" t="s">
        <v>442</v>
      </c>
    </row>
    <row r="580">
      <c r="A580" s="8" t="s">
        <v>244</v>
      </c>
    </row>
    <row r="581">
      <c r="A581" s="8">
        <v>298.0</v>
      </c>
    </row>
    <row r="582">
      <c r="A582" s="8" t="s">
        <v>224</v>
      </c>
    </row>
    <row r="583">
      <c r="A583" s="8" t="s">
        <v>231</v>
      </c>
    </row>
    <row r="584">
      <c r="A584" s="8" t="s">
        <v>232</v>
      </c>
    </row>
    <row r="585">
      <c r="A585" s="8" t="s">
        <v>233</v>
      </c>
    </row>
    <row r="586">
      <c r="A586" s="8" t="s">
        <v>225</v>
      </c>
    </row>
    <row r="587">
      <c r="A587" s="8">
        <v>54.0</v>
      </c>
    </row>
    <row r="588">
      <c r="A588" s="8" t="s">
        <v>443</v>
      </c>
    </row>
    <row r="589">
      <c r="A589" s="8" t="s">
        <v>242</v>
      </c>
    </row>
    <row r="590">
      <c r="A590" s="8" t="s">
        <v>444</v>
      </c>
    </row>
    <row r="591">
      <c r="A591" s="8" t="s">
        <v>244</v>
      </c>
    </row>
    <row r="592">
      <c r="A592" s="8">
        <v>999.0</v>
      </c>
    </row>
    <row r="593">
      <c r="A593" s="8" t="s">
        <v>224</v>
      </c>
    </row>
    <row r="594">
      <c r="A594" s="8" t="s">
        <v>231</v>
      </c>
    </row>
    <row r="595">
      <c r="A595" s="8" t="s">
        <v>232</v>
      </c>
    </row>
    <row r="596">
      <c r="A596" s="8" t="s">
        <v>233</v>
      </c>
    </row>
    <row r="597">
      <c r="A597" s="8" t="s">
        <v>225</v>
      </c>
    </row>
    <row r="598">
      <c r="A598" s="8">
        <v>55.0</v>
      </c>
    </row>
    <row r="599">
      <c r="A599" s="8" t="s">
        <v>445</v>
      </c>
    </row>
    <row r="600">
      <c r="A600" s="8" t="s">
        <v>282</v>
      </c>
    </row>
    <row r="601">
      <c r="A601" s="8" t="s">
        <v>446</v>
      </c>
    </row>
    <row r="602">
      <c r="A602" s="8" t="s">
        <v>238</v>
      </c>
    </row>
    <row r="603">
      <c r="A603" s="8">
        <v>999.0</v>
      </c>
    </row>
    <row r="604">
      <c r="A604" s="8" t="s">
        <v>224</v>
      </c>
    </row>
    <row r="605">
      <c r="A605" s="8" t="s">
        <v>231</v>
      </c>
    </row>
    <row r="606">
      <c r="A606" s="8" t="s">
        <v>232</v>
      </c>
    </row>
    <row r="607">
      <c r="A607" s="8" t="s">
        <v>233</v>
      </c>
    </row>
    <row r="608">
      <c r="A608" s="8" t="s">
        <v>225</v>
      </c>
    </row>
    <row r="609">
      <c r="A609" s="8">
        <v>56.0</v>
      </c>
    </row>
    <row r="610">
      <c r="A610" s="8" t="s">
        <v>447</v>
      </c>
    </row>
    <row r="611">
      <c r="A611" s="8" t="s">
        <v>396</v>
      </c>
    </row>
    <row r="612">
      <c r="A612" s="8" t="s">
        <v>448</v>
      </c>
    </row>
    <row r="613">
      <c r="A613" s="8" t="s">
        <v>254</v>
      </c>
    </row>
    <row r="614">
      <c r="A614" s="8">
        <v>295.3</v>
      </c>
    </row>
    <row r="615">
      <c r="A615" s="8" t="s">
        <v>224</v>
      </c>
    </row>
    <row r="616">
      <c r="A616" s="8" t="s">
        <v>231</v>
      </c>
    </row>
    <row r="617">
      <c r="A617" s="8" t="s">
        <v>232</v>
      </c>
    </row>
    <row r="618">
      <c r="A618" s="8" t="s">
        <v>233</v>
      </c>
    </row>
    <row r="619">
      <c r="A619" s="8" t="s">
        <v>225</v>
      </c>
    </row>
    <row r="620">
      <c r="A620" s="8">
        <v>57.0</v>
      </c>
    </row>
    <row r="621">
      <c r="A621" s="8" t="s">
        <v>449</v>
      </c>
    </row>
    <row r="622">
      <c r="A622" s="8" t="s">
        <v>381</v>
      </c>
    </row>
    <row r="623">
      <c r="A623" s="8" t="s">
        <v>450</v>
      </c>
    </row>
    <row r="624">
      <c r="A624" s="8" t="s">
        <v>265</v>
      </c>
    </row>
    <row r="625">
      <c r="A625" s="8">
        <v>255.0</v>
      </c>
    </row>
    <row r="626">
      <c r="A626" s="8" t="s">
        <v>224</v>
      </c>
    </row>
    <row r="627">
      <c r="A627" s="8" t="s">
        <v>231</v>
      </c>
    </row>
    <row r="628">
      <c r="A628" s="8" t="s">
        <v>232</v>
      </c>
    </row>
    <row r="629">
      <c r="A629" s="8" t="s">
        <v>233</v>
      </c>
    </row>
    <row r="630">
      <c r="A630" s="8" t="s">
        <v>225</v>
      </c>
    </row>
    <row r="631">
      <c r="A631" s="8">
        <v>58.0</v>
      </c>
    </row>
    <row r="632">
      <c r="A632" s="8" t="s">
        <v>451</v>
      </c>
    </row>
    <row r="633">
      <c r="A633" s="8" t="s">
        <v>262</v>
      </c>
    </row>
    <row r="634">
      <c r="A634" s="8" t="s">
        <v>452</v>
      </c>
    </row>
    <row r="635">
      <c r="A635" s="8" t="s">
        <v>265</v>
      </c>
    </row>
    <row r="636">
      <c r="A636" s="8">
        <v>295.0</v>
      </c>
    </row>
    <row r="637">
      <c r="A637" s="8" t="s">
        <v>224</v>
      </c>
    </row>
    <row r="638">
      <c r="A638" s="8" t="s">
        <v>231</v>
      </c>
    </row>
    <row r="639">
      <c r="A639" s="8" t="s">
        <v>232</v>
      </c>
    </row>
    <row r="640">
      <c r="A640" s="8" t="s">
        <v>233</v>
      </c>
    </row>
    <row r="641">
      <c r="A641" s="8" t="s">
        <v>225</v>
      </c>
    </row>
    <row r="642">
      <c r="A642" s="8">
        <v>59.0</v>
      </c>
    </row>
    <row r="643">
      <c r="A643" s="8" t="s">
        <v>453</v>
      </c>
    </row>
    <row r="644">
      <c r="A644" s="8" t="s">
        <v>433</v>
      </c>
    </row>
    <row r="645">
      <c r="A645" s="8" t="s">
        <v>454</v>
      </c>
    </row>
    <row r="646">
      <c r="A646" s="8" t="s">
        <v>324</v>
      </c>
    </row>
    <row r="647">
      <c r="A647" s="8">
        <v>253.3</v>
      </c>
    </row>
    <row r="648">
      <c r="A648" s="8" t="s">
        <v>224</v>
      </c>
    </row>
    <row r="649">
      <c r="A649" s="8" t="s">
        <v>231</v>
      </c>
    </row>
    <row r="650">
      <c r="A650" s="8" t="s">
        <v>232</v>
      </c>
    </row>
    <row r="651">
      <c r="A651" s="8" t="s">
        <v>233</v>
      </c>
    </row>
    <row r="652">
      <c r="A652" s="8" t="s">
        <v>225</v>
      </c>
    </row>
    <row r="653">
      <c r="A653" s="8">
        <v>60.0</v>
      </c>
    </row>
    <row r="654">
      <c r="A654" s="8" t="s">
        <v>455</v>
      </c>
    </row>
    <row r="655">
      <c r="A655" s="8" t="s">
        <v>433</v>
      </c>
    </row>
    <row r="656">
      <c r="A656" s="8" t="s">
        <v>456</v>
      </c>
    </row>
    <row r="657">
      <c r="A657" s="8" t="s">
        <v>324</v>
      </c>
    </row>
    <row r="658">
      <c r="A658" s="8">
        <v>317.0</v>
      </c>
    </row>
    <row r="659">
      <c r="A659" s="8" t="s">
        <v>224</v>
      </c>
    </row>
    <row r="660">
      <c r="A660" s="8" t="s">
        <v>231</v>
      </c>
    </row>
    <row r="661">
      <c r="A661" s="8" t="s">
        <v>232</v>
      </c>
    </row>
    <row r="662">
      <c r="A662" s="8" t="s">
        <v>233</v>
      </c>
    </row>
    <row r="663">
      <c r="A663" s="8" t="s">
        <v>225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457</v>
      </c>
      <c r="B1" s="10" t="s">
        <v>458</v>
      </c>
      <c r="C1" s="11" t="s">
        <v>224</v>
      </c>
      <c r="D1" s="9" t="s">
        <v>459</v>
      </c>
      <c r="E1" s="9" t="s">
        <v>460</v>
      </c>
      <c r="F1" s="9" t="s">
        <v>461</v>
      </c>
    </row>
    <row r="2">
      <c r="A2" s="12">
        <v>1.0</v>
      </c>
      <c r="B2" s="13" t="s">
        <v>462</v>
      </c>
      <c r="C2" s="14">
        <v>1.0</v>
      </c>
      <c r="D2" s="12" t="s">
        <v>6</v>
      </c>
      <c r="E2" s="15">
        <f>+0</f>
        <v>0</v>
      </c>
      <c r="F2" s="16"/>
    </row>
    <row r="3">
      <c r="A3" s="12">
        <v>2.0</v>
      </c>
      <c r="B3" s="13" t="s">
        <v>469</v>
      </c>
      <c r="C3" s="14">
        <v>2.0</v>
      </c>
      <c r="D3" s="12" t="s">
        <v>9</v>
      </c>
      <c r="E3" s="17">
        <v>-1.0</v>
      </c>
      <c r="F3" s="16"/>
    </row>
    <row r="4">
      <c r="A4" s="12">
        <v>3.0</v>
      </c>
      <c r="B4" s="13" t="s">
        <v>474</v>
      </c>
      <c r="C4" s="14">
        <v>3.0</v>
      </c>
      <c r="D4" s="12" t="s">
        <v>12</v>
      </c>
      <c r="E4" s="18">
        <f>+1</f>
        <v>1</v>
      </c>
      <c r="F4" s="16"/>
    </row>
    <row r="5">
      <c r="A5" s="12">
        <v>4.0</v>
      </c>
      <c r="B5" s="13" t="s">
        <v>479</v>
      </c>
      <c r="C5" s="14">
        <v>4.0</v>
      </c>
      <c r="D5" s="12" t="s">
        <v>18</v>
      </c>
      <c r="E5" s="15">
        <f t="shared" ref="E5:E7" si="1">+0</f>
        <v>0</v>
      </c>
      <c r="F5" s="16"/>
    </row>
    <row r="6">
      <c r="A6" s="12">
        <v>5.0</v>
      </c>
      <c r="B6" s="13" t="s">
        <v>481</v>
      </c>
      <c r="C6" s="14">
        <v>5.0</v>
      </c>
      <c r="D6" s="12" t="s">
        <v>15</v>
      </c>
      <c r="E6" s="15">
        <f t="shared" si="1"/>
        <v>0</v>
      </c>
      <c r="F6" s="16"/>
    </row>
    <row r="7">
      <c r="A7" s="12">
        <v>6.0</v>
      </c>
      <c r="B7" s="13" t="s">
        <v>482</v>
      </c>
      <c r="C7" s="14">
        <v>6.0</v>
      </c>
      <c r="D7" s="12" t="s">
        <v>21</v>
      </c>
      <c r="E7" s="15">
        <f t="shared" si="1"/>
        <v>0</v>
      </c>
      <c r="F7" s="16"/>
    </row>
    <row r="8">
      <c r="A8" s="12">
        <v>7.0</v>
      </c>
      <c r="B8" s="13" t="s">
        <v>483</v>
      </c>
      <c r="C8" s="14">
        <v>8.0</v>
      </c>
      <c r="D8" s="12" t="s">
        <v>30</v>
      </c>
      <c r="E8" s="18">
        <f>+1</f>
        <v>1</v>
      </c>
      <c r="F8" s="16"/>
    </row>
    <row r="9">
      <c r="A9" s="12">
        <v>8.0</v>
      </c>
      <c r="B9" s="13" t="s">
        <v>484</v>
      </c>
      <c r="C9" s="14">
        <v>7.0</v>
      </c>
      <c r="D9" s="12" t="s">
        <v>24</v>
      </c>
      <c r="E9" s="17">
        <v>-1.0</v>
      </c>
      <c r="F9" s="16"/>
    </row>
    <row r="10">
      <c r="A10" s="12">
        <v>9.0</v>
      </c>
      <c r="B10" s="13" t="s">
        <v>485</v>
      </c>
      <c r="C10" s="14">
        <v>10.0</v>
      </c>
      <c r="D10" s="12" t="s">
        <v>33</v>
      </c>
      <c r="E10" s="18">
        <f>+1</f>
        <v>1</v>
      </c>
      <c r="F10" s="16"/>
    </row>
    <row r="11">
      <c r="A11" s="12">
        <v>10.0</v>
      </c>
      <c r="B11" s="13" t="s">
        <v>486</v>
      </c>
      <c r="C11" s="14">
        <v>9.0</v>
      </c>
      <c r="D11" s="12" t="s">
        <v>27</v>
      </c>
      <c r="E11" s="17">
        <v>-1.0</v>
      </c>
      <c r="F11" s="16"/>
    </row>
    <row r="12">
      <c r="A12" s="12">
        <v>11.0</v>
      </c>
      <c r="B12" s="13" t="s">
        <v>488</v>
      </c>
      <c r="C12" s="14">
        <v>11.0</v>
      </c>
      <c r="D12" s="12" t="s">
        <v>63</v>
      </c>
      <c r="E12" s="17">
        <v>-1.0</v>
      </c>
      <c r="F12" s="16"/>
    </row>
    <row r="13">
      <c r="A13" s="12">
        <v>12.0</v>
      </c>
      <c r="B13" s="13" t="s">
        <v>489</v>
      </c>
      <c r="C13" s="14">
        <v>23.0</v>
      </c>
      <c r="D13" s="12" t="s">
        <v>81</v>
      </c>
      <c r="E13" s="18">
        <f>+12</f>
        <v>12</v>
      </c>
      <c r="F13" s="16"/>
    </row>
    <row r="14">
      <c r="A14" s="12">
        <v>13.0</v>
      </c>
      <c r="B14" s="13" t="s">
        <v>492</v>
      </c>
      <c r="C14" s="14">
        <v>13.0</v>
      </c>
      <c r="D14" s="12" t="s">
        <v>42</v>
      </c>
      <c r="E14" s="15">
        <f>+0</f>
        <v>0</v>
      </c>
      <c r="F14" s="16"/>
    </row>
    <row r="15">
      <c r="A15" s="12">
        <v>14.0</v>
      </c>
      <c r="B15" s="13" t="s">
        <v>494</v>
      </c>
      <c r="C15" s="14">
        <v>21.0</v>
      </c>
      <c r="D15" s="12" t="s">
        <v>69</v>
      </c>
      <c r="E15" s="18">
        <f>+7</f>
        <v>7</v>
      </c>
      <c r="F15" s="16"/>
    </row>
    <row r="16">
      <c r="A16" s="12">
        <v>15.0</v>
      </c>
      <c r="B16" s="13" t="s">
        <v>496</v>
      </c>
      <c r="C16" s="14">
        <v>25.0</v>
      </c>
      <c r="D16" s="12" t="s">
        <v>87</v>
      </c>
      <c r="E16" s="18">
        <f>+10</f>
        <v>10</v>
      </c>
      <c r="F16" s="16"/>
    </row>
    <row r="17">
      <c r="A17" s="12">
        <v>16.0</v>
      </c>
      <c r="B17" s="13" t="s">
        <v>498</v>
      </c>
      <c r="C17" s="14">
        <v>14.0</v>
      </c>
      <c r="D17" s="12" t="s">
        <v>36</v>
      </c>
      <c r="E17" s="17">
        <v>-4.0</v>
      </c>
      <c r="F17" s="16"/>
    </row>
    <row r="18">
      <c r="A18" s="12">
        <v>17.0</v>
      </c>
      <c r="B18" s="13" t="s">
        <v>500</v>
      </c>
      <c r="C18" s="14">
        <v>24.0</v>
      </c>
      <c r="D18" s="12" t="s">
        <v>84</v>
      </c>
      <c r="E18" s="18">
        <f>+7</f>
        <v>7</v>
      </c>
      <c r="F18" s="16"/>
    </row>
    <row r="19">
      <c r="A19" s="12">
        <v>18.0</v>
      </c>
      <c r="B19" s="13" t="s">
        <v>502</v>
      </c>
      <c r="C19" s="14">
        <v>19.0</v>
      </c>
      <c r="D19" s="12" t="s">
        <v>48</v>
      </c>
      <c r="E19" s="15">
        <f>+0</f>
        <v>0</v>
      </c>
      <c r="F19" s="16"/>
    </row>
    <row r="20">
      <c r="A20" s="12">
        <v>19.0</v>
      </c>
      <c r="B20" s="13" t="s">
        <v>504</v>
      </c>
      <c r="C20" s="14">
        <v>12.0</v>
      </c>
      <c r="D20" s="12" t="s">
        <v>39</v>
      </c>
      <c r="E20" s="17">
        <v>-9.0</v>
      </c>
      <c r="F20" s="16"/>
    </row>
    <row r="21">
      <c r="A21" s="12">
        <v>20.0</v>
      </c>
      <c r="B21" s="13" t="s">
        <v>506</v>
      </c>
      <c r="C21" s="14">
        <v>17.0</v>
      </c>
      <c r="D21" s="12" t="s">
        <v>66</v>
      </c>
      <c r="E21" s="17">
        <v>-5.0</v>
      </c>
      <c r="F21" s="16"/>
    </row>
    <row r="22">
      <c r="A22" s="12">
        <v>21.0</v>
      </c>
      <c r="B22" s="13" t="s">
        <v>508</v>
      </c>
      <c r="C22" s="14">
        <v>72.0</v>
      </c>
      <c r="D22" s="12" t="s">
        <v>175</v>
      </c>
      <c r="E22" s="18">
        <f>+56</f>
        <v>56</v>
      </c>
      <c r="F22" s="16"/>
    </row>
    <row r="23">
      <c r="A23" s="12">
        <v>22.0</v>
      </c>
      <c r="B23" s="13" t="s">
        <v>510</v>
      </c>
      <c r="C23" s="14">
        <v>26.0</v>
      </c>
      <c r="D23" s="12" t="s">
        <v>96</v>
      </c>
      <c r="E23" s="18">
        <f>+6</f>
        <v>6</v>
      </c>
      <c r="F23" s="16"/>
    </row>
    <row r="24">
      <c r="A24" s="12">
        <v>23.0</v>
      </c>
      <c r="B24" s="13" t="s">
        <v>512</v>
      </c>
      <c r="C24" s="14">
        <v>20.0</v>
      </c>
      <c r="D24" s="12" t="s">
        <v>90</v>
      </c>
      <c r="E24" s="17">
        <v>-4.0</v>
      </c>
      <c r="F24" s="16"/>
    </row>
    <row r="25">
      <c r="A25" s="12">
        <v>24.0</v>
      </c>
      <c r="B25" s="13" t="s">
        <v>514</v>
      </c>
      <c r="C25" s="14">
        <v>27.0</v>
      </c>
      <c r="D25" s="12" t="s">
        <v>57</v>
      </c>
      <c r="E25" s="18">
        <f>+4</f>
        <v>4</v>
      </c>
      <c r="F25" s="16"/>
    </row>
    <row r="26">
      <c r="A26" s="12">
        <v>25.0</v>
      </c>
      <c r="B26" s="13" t="s">
        <v>516</v>
      </c>
      <c r="C26" s="14">
        <v>18.0</v>
      </c>
      <c r="D26" s="12" t="s">
        <v>45</v>
      </c>
      <c r="E26" s="17">
        <v>-7.0</v>
      </c>
      <c r="F26" s="16"/>
    </row>
    <row r="27">
      <c r="A27" s="12">
        <v>26.0</v>
      </c>
      <c r="B27" s="13" t="s">
        <v>518</v>
      </c>
      <c r="C27" s="14">
        <v>15.0</v>
      </c>
      <c r="D27" s="12" t="s">
        <v>51</v>
      </c>
      <c r="E27" s="17">
        <v>-12.0</v>
      </c>
      <c r="F27" s="16"/>
    </row>
    <row r="28">
      <c r="A28" s="12">
        <v>27.0</v>
      </c>
      <c r="B28" s="13" t="s">
        <v>521</v>
      </c>
      <c r="C28" s="14">
        <v>34.0</v>
      </c>
      <c r="D28" s="12" t="s">
        <v>75</v>
      </c>
      <c r="E28" s="18">
        <f>+8</f>
        <v>8</v>
      </c>
      <c r="F28" s="16"/>
    </row>
    <row r="29">
      <c r="A29" s="12">
        <v>28.0</v>
      </c>
      <c r="B29" s="13" t="s">
        <v>523</v>
      </c>
      <c r="C29" s="14">
        <v>28.0</v>
      </c>
      <c r="D29" s="12" t="s">
        <v>98</v>
      </c>
      <c r="E29" s="17">
        <v>-1.0</v>
      </c>
      <c r="F29" s="16"/>
    </row>
    <row r="30">
      <c r="A30" s="12">
        <v>29.0</v>
      </c>
      <c r="B30" s="13" t="s">
        <v>525</v>
      </c>
      <c r="C30" s="14">
        <v>46.0</v>
      </c>
      <c r="D30" s="12" t="s">
        <v>113</v>
      </c>
      <c r="E30" s="18">
        <f>+18</f>
        <v>18</v>
      </c>
      <c r="F30" s="16"/>
    </row>
    <row r="31">
      <c r="A31" s="12">
        <v>30.0</v>
      </c>
      <c r="B31" s="13" t="s">
        <v>527</v>
      </c>
      <c r="C31" s="14">
        <v>16.0</v>
      </c>
      <c r="D31" s="12" t="s">
        <v>54</v>
      </c>
      <c r="E31" s="17">
        <v>-15.0</v>
      </c>
      <c r="F31" s="16"/>
    </row>
    <row r="32">
      <c r="A32" s="12">
        <v>31.0</v>
      </c>
      <c r="B32" s="13" t="s">
        <v>529</v>
      </c>
      <c r="C32" s="14">
        <v>30.0</v>
      </c>
      <c r="D32" s="12" t="s">
        <v>60</v>
      </c>
      <c r="E32" s="17">
        <v>-3.0</v>
      </c>
      <c r="F32" s="16"/>
    </row>
    <row r="33">
      <c r="A33" s="12">
        <v>32.0</v>
      </c>
      <c r="B33" s="13" t="s">
        <v>531</v>
      </c>
      <c r="C33" s="14">
        <v>42.0</v>
      </c>
      <c r="D33" s="12" t="s">
        <v>121</v>
      </c>
      <c r="E33" s="18">
        <f>+10</f>
        <v>10</v>
      </c>
      <c r="F33" s="16"/>
    </row>
    <row r="34">
      <c r="A34" s="12">
        <v>33.0</v>
      </c>
      <c r="B34" s="13" t="s">
        <v>533</v>
      </c>
      <c r="C34" s="14">
        <v>38.0</v>
      </c>
      <c r="D34" s="12" t="s">
        <v>92</v>
      </c>
      <c r="E34" s="18">
        <f>+4</f>
        <v>4</v>
      </c>
      <c r="F34" s="16"/>
    </row>
    <row r="35">
      <c r="A35" s="12">
        <v>34.0</v>
      </c>
      <c r="B35" s="13" t="s">
        <v>536</v>
      </c>
      <c r="C35" s="14">
        <v>22.0</v>
      </c>
      <c r="D35" s="12" t="s">
        <v>72</v>
      </c>
      <c r="E35" s="17">
        <v>-13.0</v>
      </c>
      <c r="F35" s="16"/>
    </row>
    <row r="36">
      <c r="A36" s="12">
        <v>35.0</v>
      </c>
      <c r="B36" s="13" t="s">
        <v>538</v>
      </c>
      <c r="C36" s="14">
        <v>36.0</v>
      </c>
      <c r="D36" s="12" t="s">
        <v>109</v>
      </c>
      <c r="E36" s="15">
        <f>+0</f>
        <v>0</v>
      </c>
      <c r="F36" s="16"/>
    </row>
    <row r="37">
      <c r="A37" s="12">
        <v>36.0</v>
      </c>
      <c r="B37" s="13" t="s">
        <v>540</v>
      </c>
      <c r="C37" s="14">
        <v>29.0</v>
      </c>
      <c r="D37" s="12" t="s">
        <v>103</v>
      </c>
      <c r="E37" s="17">
        <v>-8.0</v>
      </c>
      <c r="F37" s="16"/>
    </row>
    <row r="38">
      <c r="A38" s="12">
        <v>37.0</v>
      </c>
      <c r="B38" s="13" t="s">
        <v>542</v>
      </c>
      <c r="C38" s="14">
        <v>92.0</v>
      </c>
      <c r="D38" s="12" t="s">
        <v>307</v>
      </c>
      <c r="E38" s="18">
        <f>+62</f>
        <v>62</v>
      </c>
      <c r="F38" s="16"/>
    </row>
    <row r="39">
      <c r="A39" s="12">
        <v>38.0</v>
      </c>
      <c r="B39" s="13" t="s">
        <v>544</v>
      </c>
      <c r="C39" s="14">
        <v>53.0</v>
      </c>
      <c r="D39" s="12" t="s">
        <v>143</v>
      </c>
      <c r="E39" s="18">
        <f>+15</f>
        <v>15</v>
      </c>
      <c r="F39" s="16"/>
    </row>
    <row r="40">
      <c r="A40" s="12">
        <v>39.0</v>
      </c>
      <c r="B40" s="13" t="s">
        <v>546</v>
      </c>
      <c r="C40" s="14">
        <v>77.0</v>
      </c>
      <c r="D40" s="12" t="s">
        <v>181</v>
      </c>
      <c r="E40" s="18">
        <f>+38</f>
        <v>38</v>
      </c>
      <c r="F40" s="16"/>
    </row>
    <row r="41">
      <c r="A41" s="12">
        <v>40.0</v>
      </c>
      <c r="B41" s="13" t="s">
        <v>548</v>
      </c>
      <c r="C41" s="14">
        <v>87.0</v>
      </c>
      <c r="D41" s="12" t="s">
        <v>135</v>
      </c>
      <c r="E41" s="18">
        <f>+47</f>
        <v>47</v>
      </c>
      <c r="F41" s="16"/>
    </row>
    <row r="42">
      <c r="A42" s="12">
        <v>41.0</v>
      </c>
      <c r="B42" s="13" t="s">
        <v>550</v>
      </c>
      <c r="C42" s="14">
        <v>66.0</v>
      </c>
      <c r="D42" s="12" t="s">
        <v>165</v>
      </c>
      <c r="E42" s="18">
        <f>+25</f>
        <v>25</v>
      </c>
      <c r="F42" s="16"/>
    </row>
    <row r="43">
      <c r="A43" s="12">
        <v>42.0</v>
      </c>
      <c r="B43" s="13" t="s">
        <v>552</v>
      </c>
      <c r="C43" s="14">
        <v>33.0</v>
      </c>
      <c r="D43" s="12" t="s">
        <v>107</v>
      </c>
      <c r="E43" s="17">
        <v>-11.0</v>
      </c>
      <c r="F43" s="16"/>
    </row>
    <row r="44">
      <c r="A44" s="12">
        <v>43.0</v>
      </c>
      <c r="B44" s="13" t="s">
        <v>554</v>
      </c>
      <c r="C44" s="14">
        <v>62.0</v>
      </c>
      <c r="D44" s="12" t="s">
        <v>163</v>
      </c>
      <c r="E44" s="18">
        <f>+19</f>
        <v>19</v>
      </c>
      <c r="F44" s="16"/>
    </row>
    <row r="45">
      <c r="A45" s="12">
        <v>44.0</v>
      </c>
      <c r="B45" s="13" t="s">
        <v>556</v>
      </c>
      <c r="C45" s="14">
        <v>88.0</v>
      </c>
      <c r="D45" s="12" t="s">
        <v>219</v>
      </c>
      <c r="E45" s="18">
        <f>+46</f>
        <v>46</v>
      </c>
      <c r="F45" s="16"/>
    </row>
    <row r="46">
      <c r="A46" s="12">
        <v>45.0</v>
      </c>
      <c r="B46" s="13" t="s">
        <v>559</v>
      </c>
      <c r="C46" s="14">
        <v>43.0</v>
      </c>
      <c r="D46" s="12" t="s">
        <v>129</v>
      </c>
      <c r="E46" s="17">
        <v>-3.0</v>
      </c>
      <c r="F46" s="16"/>
    </row>
    <row r="47">
      <c r="A47" s="12">
        <v>46.0</v>
      </c>
      <c r="B47" s="13" t="s">
        <v>561</v>
      </c>
      <c r="C47" s="14">
        <v>44.0</v>
      </c>
      <c r="D47" s="12" t="s">
        <v>117</v>
      </c>
      <c r="E47" s="17">
        <v>-3.0</v>
      </c>
      <c r="F47" s="16"/>
    </row>
    <row r="48">
      <c r="A48" s="12">
        <v>47.0</v>
      </c>
      <c r="B48" s="13" t="s">
        <v>563</v>
      </c>
      <c r="C48" s="14">
        <v>61.0</v>
      </c>
      <c r="D48" s="12" t="s">
        <v>155</v>
      </c>
      <c r="E48" s="18">
        <f>+16</f>
        <v>16</v>
      </c>
      <c r="F48" s="16"/>
    </row>
    <row r="49">
      <c r="A49" s="12">
        <v>48.0</v>
      </c>
      <c r="B49" s="13" t="s">
        <v>565</v>
      </c>
      <c r="C49" s="14">
        <v>37.0</v>
      </c>
      <c r="D49" s="12" t="s">
        <v>78</v>
      </c>
      <c r="E49" s="17">
        <v>-12.0</v>
      </c>
      <c r="F49" s="16"/>
    </row>
    <row r="50">
      <c r="A50" s="12">
        <v>49.0</v>
      </c>
      <c r="B50" s="13" t="s">
        <v>567</v>
      </c>
      <c r="C50" s="14">
        <v>82.0</v>
      </c>
      <c r="D50" s="12" t="s">
        <v>183</v>
      </c>
      <c r="E50" s="18">
        <f>+34</f>
        <v>34</v>
      </c>
      <c r="F50" s="16"/>
    </row>
    <row r="51">
      <c r="A51" s="12">
        <v>50.0</v>
      </c>
      <c r="B51" s="13" t="s">
        <v>569</v>
      </c>
      <c r="C51" s="14">
        <v>67.0</v>
      </c>
      <c r="D51" s="12" t="s">
        <v>157</v>
      </c>
      <c r="E51" s="18">
        <f>+17</f>
        <v>17</v>
      </c>
      <c r="F51" s="16"/>
    </row>
    <row r="52">
      <c r="A52" s="12">
        <v>51.0</v>
      </c>
      <c r="B52" s="13" t="s">
        <v>571</v>
      </c>
      <c r="C52" s="14">
        <v>73.0</v>
      </c>
      <c r="D52" s="12" t="s">
        <v>177</v>
      </c>
      <c r="E52" s="18">
        <f>+22</f>
        <v>22</v>
      </c>
      <c r="F52" s="16"/>
    </row>
    <row r="53">
      <c r="A53" s="12">
        <v>52.0</v>
      </c>
      <c r="B53" s="13" t="s">
        <v>573</v>
      </c>
      <c r="C53" s="14">
        <v>54.0</v>
      </c>
      <c r="D53" s="12" t="s">
        <v>139</v>
      </c>
      <c r="E53" s="18">
        <f>+2</f>
        <v>2</v>
      </c>
      <c r="F53" s="16"/>
    </row>
    <row r="54">
      <c r="A54" s="12">
        <v>53.0</v>
      </c>
      <c r="B54" s="13" t="s">
        <v>575</v>
      </c>
      <c r="C54" s="14">
        <v>40.0</v>
      </c>
      <c r="D54" s="12" t="s">
        <v>111</v>
      </c>
      <c r="E54" s="17">
        <v>-13.0</v>
      </c>
      <c r="F54" s="16"/>
    </row>
    <row r="55">
      <c r="A55" s="12">
        <v>54.0</v>
      </c>
      <c r="B55" s="13" t="s">
        <v>577</v>
      </c>
      <c r="C55" s="14">
        <v>31.0</v>
      </c>
      <c r="D55" s="12" t="s">
        <v>101</v>
      </c>
      <c r="E55" s="17">
        <v>-23.0</v>
      </c>
      <c r="F55" s="16"/>
    </row>
    <row r="56">
      <c r="A56" s="12">
        <v>55.0</v>
      </c>
      <c r="B56" s="13" t="s">
        <v>579</v>
      </c>
      <c r="C56" s="14">
        <v>75.0</v>
      </c>
      <c r="D56" s="12" t="s">
        <v>173</v>
      </c>
      <c r="E56" s="18">
        <f>+20</f>
        <v>20</v>
      </c>
      <c r="F56" s="16"/>
    </row>
    <row r="57">
      <c r="A57" s="12">
        <v>56.0</v>
      </c>
      <c r="B57" s="13" t="s">
        <v>581</v>
      </c>
      <c r="C57" s="14">
        <v>80.0</v>
      </c>
      <c r="D57" s="12" t="s">
        <v>185</v>
      </c>
      <c r="E57" s="18">
        <f>+24</f>
        <v>24</v>
      </c>
      <c r="F57" s="16"/>
    </row>
    <row r="58">
      <c r="A58" s="12">
        <v>57.0</v>
      </c>
      <c r="B58" s="13" t="s">
        <v>583</v>
      </c>
      <c r="C58" s="14">
        <v>58.0</v>
      </c>
      <c r="D58" s="12" t="s">
        <v>151</v>
      </c>
      <c r="E58" s="15">
        <f>+0</f>
        <v>0</v>
      </c>
      <c r="F58" s="16"/>
    </row>
    <row r="59">
      <c r="A59" s="12">
        <v>58.0</v>
      </c>
      <c r="B59" s="13" t="s">
        <v>585</v>
      </c>
      <c r="C59" s="14">
        <v>86.0</v>
      </c>
      <c r="D59" s="12" t="s">
        <v>217</v>
      </c>
      <c r="E59" s="18">
        <f>+29</f>
        <v>29</v>
      </c>
      <c r="F59" s="16"/>
    </row>
    <row r="60">
      <c r="A60" s="12">
        <v>59.0</v>
      </c>
      <c r="B60" s="13" t="s">
        <v>587</v>
      </c>
      <c r="C60" s="14">
        <v>69.0</v>
      </c>
      <c r="D60" s="12" t="s">
        <v>169</v>
      </c>
      <c r="E60" s="18">
        <f>+10</f>
        <v>10</v>
      </c>
      <c r="F60" s="16"/>
    </row>
    <row r="61">
      <c r="A61" s="12">
        <v>60.0</v>
      </c>
      <c r="B61" s="13" t="s">
        <v>589</v>
      </c>
      <c r="C61" s="14">
        <v>89.0</v>
      </c>
      <c r="D61" s="12" t="s">
        <v>159</v>
      </c>
      <c r="E61" s="18">
        <f>+29</f>
        <v>29</v>
      </c>
      <c r="F61" s="16"/>
    </row>
    <row r="62">
      <c r="A62" s="12">
        <v>61.0</v>
      </c>
      <c r="B62" s="13" t="s">
        <v>591</v>
      </c>
      <c r="C62" s="14">
        <v>56.0</v>
      </c>
      <c r="D62" s="12" t="s">
        <v>153</v>
      </c>
      <c r="E62" s="17">
        <v>-9.0</v>
      </c>
      <c r="F62" s="16"/>
    </row>
    <row r="63">
      <c r="A63" s="12">
        <v>62.0</v>
      </c>
      <c r="B63" s="13" t="s">
        <v>592</v>
      </c>
      <c r="C63" s="14">
        <v>94.0</v>
      </c>
      <c r="D63" s="12" t="s">
        <v>199</v>
      </c>
      <c r="E63" s="18">
        <f>+33</f>
        <v>33</v>
      </c>
      <c r="F63" s="16"/>
    </row>
    <row r="64">
      <c r="A64" s="12">
        <v>63.0</v>
      </c>
      <c r="B64" s="13" t="s">
        <v>594</v>
      </c>
      <c r="C64" s="14">
        <v>39.0</v>
      </c>
      <c r="D64" s="12" t="s">
        <v>119</v>
      </c>
      <c r="E64" s="17">
        <v>-28.0</v>
      </c>
      <c r="F64" s="16"/>
    </row>
    <row r="65">
      <c r="A65" s="12">
        <v>64.0</v>
      </c>
      <c r="B65" s="13" t="s">
        <v>596</v>
      </c>
      <c r="C65" s="14">
        <v>32.0</v>
      </c>
      <c r="D65" s="12" t="s">
        <v>105</v>
      </c>
      <c r="E65" s="17">
        <v>-37.0</v>
      </c>
      <c r="F65" s="16"/>
    </row>
    <row r="66">
      <c r="A66" s="12">
        <v>65.0</v>
      </c>
      <c r="B66" s="13" t="s">
        <v>598</v>
      </c>
      <c r="C66" s="14">
        <v>74.0</v>
      </c>
      <c r="D66" s="12" t="s">
        <v>171</v>
      </c>
      <c r="E66" s="18">
        <f>+11</f>
        <v>11</v>
      </c>
      <c r="F66" s="16"/>
    </row>
    <row r="67">
      <c r="A67" s="12">
        <v>66.0</v>
      </c>
      <c r="B67" s="13" t="s">
        <v>600</v>
      </c>
      <c r="C67" s="14">
        <v>84.0</v>
      </c>
      <c r="D67" s="12" t="s">
        <v>191</v>
      </c>
      <c r="E67" s="18">
        <f>+22</f>
        <v>22</v>
      </c>
      <c r="F67" s="16"/>
    </row>
    <row r="68">
      <c r="A68" s="12">
        <v>67.0</v>
      </c>
      <c r="B68" s="13" t="s">
        <v>602</v>
      </c>
      <c r="C68" s="14">
        <v>45.0</v>
      </c>
      <c r="D68" s="12" t="s">
        <v>131</v>
      </c>
      <c r="E68" s="17">
        <v>-25.0</v>
      </c>
      <c r="F68" s="16"/>
    </row>
    <row r="69">
      <c r="A69" s="12">
        <v>68.0</v>
      </c>
      <c r="B69" s="13" t="s">
        <v>604</v>
      </c>
      <c r="C69" s="14">
        <v>97.0</v>
      </c>
      <c r="D69" s="12" t="s">
        <v>201</v>
      </c>
      <c r="E69" s="18">
        <f>+33</f>
        <v>33</v>
      </c>
      <c r="F69" s="16"/>
    </row>
    <row r="70">
      <c r="A70" s="12">
        <v>69.0</v>
      </c>
      <c r="B70" s="13" t="s">
        <v>606</v>
      </c>
      <c r="C70" s="14">
        <v>90.0</v>
      </c>
      <c r="D70" s="12" t="s">
        <v>161</v>
      </c>
      <c r="E70" s="18">
        <f>+24</f>
        <v>24</v>
      </c>
      <c r="F70" s="16"/>
    </row>
    <row r="71">
      <c r="A71" s="12">
        <v>70.0</v>
      </c>
      <c r="B71" s="13" t="s">
        <v>608</v>
      </c>
      <c r="C71" s="14">
        <v>207.0</v>
      </c>
      <c r="D71" s="12" t="s">
        <v>207</v>
      </c>
      <c r="E71" s="20" t="s">
        <v>231</v>
      </c>
      <c r="F71" s="16"/>
    </row>
    <row r="72">
      <c r="A72" s="12">
        <v>71.0</v>
      </c>
      <c r="B72" s="13" t="s">
        <v>610</v>
      </c>
      <c r="C72" s="14">
        <v>57.0</v>
      </c>
      <c r="D72" s="12" t="s">
        <v>147</v>
      </c>
      <c r="E72" s="17">
        <v>-16.0</v>
      </c>
      <c r="F72" s="16"/>
    </row>
    <row r="73">
      <c r="A73" s="12">
        <v>72.0</v>
      </c>
      <c r="B73" s="13" t="s">
        <v>612</v>
      </c>
      <c r="C73" s="14">
        <v>83.0</v>
      </c>
      <c r="D73" s="12" t="s">
        <v>189</v>
      </c>
      <c r="E73" s="18">
        <f>+8</f>
        <v>8</v>
      </c>
      <c r="F73" s="16"/>
    </row>
    <row r="74">
      <c r="A74" s="12">
        <v>73.0</v>
      </c>
      <c r="B74" s="13" t="s">
        <v>615</v>
      </c>
      <c r="C74" s="14">
        <v>55.0</v>
      </c>
      <c r="D74" s="12" t="s">
        <v>133</v>
      </c>
      <c r="E74" s="17">
        <v>-21.0</v>
      </c>
      <c r="F74" s="16"/>
    </row>
    <row r="75">
      <c r="A75" s="12">
        <v>74.0</v>
      </c>
      <c r="B75" s="13" t="s">
        <v>617</v>
      </c>
      <c r="C75" s="14">
        <v>76.0</v>
      </c>
      <c r="D75" s="12" t="s">
        <v>179</v>
      </c>
      <c r="E75" s="17">
        <v>-2.0</v>
      </c>
      <c r="F75" s="16"/>
    </row>
    <row r="76">
      <c r="A76" s="12">
        <v>75.0</v>
      </c>
      <c r="B76" s="13" t="s">
        <v>619</v>
      </c>
      <c r="C76" s="14">
        <v>85.0</v>
      </c>
      <c r="D76" s="12" t="s">
        <v>187</v>
      </c>
      <c r="E76" s="18">
        <f>+8</f>
        <v>8</v>
      </c>
      <c r="F76" s="16"/>
    </row>
    <row r="77">
      <c r="A77" s="12">
        <v>76.0</v>
      </c>
      <c r="B77" s="13" t="s">
        <v>787</v>
      </c>
      <c r="C77" s="14">
        <v>293.0</v>
      </c>
      <c r="D77" s="12" t="s">
        <v>438</v>
      </c>
      <c r="E77" s="20" t="s">
        <v>231</v>
      </c>
      <c r="F77" s="16"/>
    </row>
    <row r="78">
      <c r="A78" s="12">
        <v>77.0</v>
      </c>
      <c r="B78" s="13" t="s">
        <v>788</v>
      </c>
      <c r="C78" s="14">
        <v>298.0</v>
      </c>
      <c r="D78" s="12" t="s">
        <v>463</v>
      </c>
      <c r="E78" s="20" t="s">
        <v>231</v>
      </c>
      <c r="F78" s="16"/>
    </row>
    <row r="79">
      <c r="A79" s="12">
        <v>78.0</v>
      </c>
      <c r="B79" s="13" t="s">
        <v>790</v>
      </c>
      <c r="C79" s="14">
        <v>41.0</v>
      </c>
      <c r="D79" s="12" t="s">
        <v>94</v>
      </c>
      <c r="E79" s="17">
        <v>-39.0</v>
      </c>
      <c r="F79" s="16"/>
    </row>
    <row r="80">
      <c r="A80" s="12">
        <v>79.0</v>
      </c>
      <c r="B80" s="13" t="s">
        <v>793</v>
      </c>
      <c r="C80" s="14">
        <v>51.0</v>
      </c>
      <c r="D80" s="12" t="s">
        <v>137</v>
      </c>
      <c r="E80" s="17">
        <v>-30.0</v>
      </c>
      <c r="F80" s="16"/>
    </row>
    <row r="81">
      <c r="A81" s="12">
        <v>80.0</v>
      </c>
      <c r="B81" s="13" t="s">
        <v>797</v>
      </c>
      <c r="C81" s="14">
        <v>270.0</v>
      </c>
      <c r="D81" s="12" t="s">
        <v>203</v>
      </c>
      <c r="E81" s="20" t="s">
        <v>231</v>
      </c>
      <c r="F81" s="16"/>
    </row>
    <row r="82">
      <c r="A82" s="12">
        <v>81.0</v>
      </c>
      <c r="B82" s="13" t="s">
        <v>800</v>
      </c>
      <c r="C82" s="14">
        <v>60.0</v>
      </c>
      <c r="D82" s="12" t="s">
        <v>141</v>
      </c>
      <c r="E82" s="17">
        <v>-19.0</v>
      </c>
      <c r="F82" s="16"/>
    </row>
    <row r="83">
      <c r="A83" s="12">
        <v>82.0</v>
      </c>
      <c r="B83" s="13" t="s">
        <v>803</v>
      </c>
      <c r="C83" s="14">
        <v>100.0</v>
      </c>
      <c r="D83" s="12" t="s">
        <v>149</v>
      </c>
      <c r="E83" s="18">
        <f>+17</f>
        <v>17</v>
      </c>
      <c r="F83" s="16"/>
    </row>
    <row r="84">
      <c r="A84" s="12">
        <v>83.0</v>
      </c>
      <c r="B84" s="13" t="s">
        <v>806</v>
      </c>
      <c r="C84" s="14">
        <v>50.0</v>
      </c>
      <c r="D84" s="12" t="s">
        <v>127</v>
      </c>
      <c r="E84" s="17">
        <v>-34.0</v>
      </c>
      <c r="F84" s="16"/>
    </row>
    <row r="85">
      <c r="A85" s="12">
        <v>84.0</v>
      </c>
      <c r="B85" s="13" t="s">
        <v>809</v>
      </c>
      <c r="C85" s="14">
        <v>47.0</v>
      </c>
      <c r="D85" s="12" t="s">
        <v>115</v>
      </c>
      <c r="E85" s="17">
        <v>-38.0</v>
      </c>
      <c r="F85" s="16"/>
    </row>
    <row r="86">
      <c r="A86" s="12">
        <v>85.0</v>
      </c>
      <c r="B86" s="13" t="s">
        <v>812</v>
      </c>
      <c r="C86" s="14">
        <v>299.0</v>
      </c>
      <c r="D86" s="12" t="s">
        <v>205</v>
      </c>
      <c r="E86" s="20" t="s">
        <v>231</v>
      </c>
      <c r="F86" s="16"/>
    </row>
    <row r="87">
      <c r="A87" s="12">
        <v>86.0</v>
      </c>
      <c r="B87" s="13" t="s">
        <v>815</v>
      </c>
      <c r="C87" s="14">
        <v>48.0</v>
      </c>
      <c r="D87" s="12" t="s">
        <v>125</v>
      </c>
      <c r="E87" s="17">
        <v>-40.0</v>
      </c>
      <c r="F87" s="16"/>
    </row>
    <row r="88">
      <c r="A88" s="12">
        <v>87.0</v>
      </c>
      <c r="B88" s="13" t="s">
        <v>820</v>
      </c>
      <c r="C88" s="14">
        <v>52.0</v>
      </c>
      <c r="D88" s="12" t="s">
        <v>123</v>
      </c>
      <c r="E88" s="17">
        <v>-35.0</v>
      </c>
      <c r="F88" s="16"/>
    </row>
    <row r="89">
      <c r="A89" s="12">
        <v>88.0</v>
      </c>
      <c r="B89" s="13" t="s">
        <v>823</v>
      </c>
      <c r="C89" s="14">
        <v>101.0</v>
      </c>
      <c r="D89" s="12" t="s">
        <v>193</v>
      </c>
      <c r="E89" s="18">
        <f>+15</f>
        <v>15</v>
      </c>
      <c r="F89" s="16"/>
    </row>
    <row r="90">
      <c r="A90" s="12">
        <v>89.0</v>
      </c>
      <c r="B90" s="13" t="s">
        <v>826</v>
      </c>
      <c r="C90" s="14">
        <v>103.0</v>
      </c>
      <c r="D90" s="12" t="s">
        <v>195</v>
      </c>
      <c r="E90" s="18">
        <f t="shared" ref="E90:E91" si="2">+14</f>
        <v>14</v>
      </c>
      <c r="F90" s="16"/>
    </row>
    <row r="91">
      <c r="A91" s="12">
        <v>90.0</v>
      </c>
      <c r="B91" s="13" t="s">
        <v>830</v>
      </c>
      <c r="C91" s="14">
        <v>104.0</v>
      </c>
      <c r="D91" s="12" t="s">
        <v>197</v>
      </c>
      <c r="E91" s="18">
        <f t="shared" si="2"/>
        <v>14</v>
      </c>
      <c r="F91" s="16"/>
    </row>
    <row r="92">
      <c r="A92" s="12">
        <v>91.0</v>
      </c>
      <c r="B92" s="13" t="s">
        <v>834</v>
      </c>
      <c r="C92" s="14">
        <v>99.0</v>
      </c>
      <c r="D92" s="12" t="s">
        <v>145</v>
      </c>
      <c r="E92" s="18">
        <f>+7</f>
        <v>7</v>
      </c>
      <c r="F92" s="16"/>
    </row>
    <row r="93">
      <c r="A93" s="12">
        <v>92.0</v>
      </c>
      <c r="B93" s="13" t="s">
        <v>837</v>
      </c>
      <c r="C93" s="14">
        <v>105.0</v>
      </c>
      <c r="D93" s="12" t="s">
        <v>167</v>
      </c>
      <c r="E93" s="18">
        <f>+14</f>
        <v>14</v>
      </c>
      <c r="F93" s="16"/>
    </row>
    <row r="94">
      <c r="A94" s="12">
        <v>93.0</v>
      </c>
      <c r="B94" s="13" t="s">
        <v>839</v>
      </c>
      <c r="C94" s="14">
        <v>106.0</v>
      </c>
      <c r="D94" s="12" t="s">
        <v>680</v>
      </c>
      <c r="E94" s="18">
        <f>+13</f>
        <v>13</v>
      </c>
      <c r="F94" s="1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</hyperlinks>
  <drawing r:id="rId9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457</v>
      </c>
      <c r="B1" s="10" t="s">
        <v>458</v>
      </c>
      <c r="C1" s="11" t="s">
        <v>224</v>
      </c>
      <c r="D1" s="9" t="s">
        <v>459</v>
      </c>
      <c r="E1" s="9" t="s">
        <v>460</v>
      </c>
      <c r="F1" s="9" t="s">
        <v>461</v>
      </c>
    </row>
    <row r="2">
      <c r="A2" s="12">
        <v>1.0</v>
      </c>
      <c r="B2" s="13" t="s">
        <v>487</v>
      </c>
      <c r="C2" s="14">
        <v>1.0</v>
      </c>
      <c r="D2" s="12" t="s">
        <v>6</v>
      </c>
      <c r="E2" s="15">
        <f t="shared" ref="E2:E3" si="1">+0</f>
        <v>0</v>
      </c>
      <c r="F2" s="16"/>
    </row>
    <row r="3">
      <c r="A3" s="12">
        <v>2.0</v>
      </c>
      <c r="B3" s="13" t="s">
        <v>490</v>
      </c>
      <c r="C3" s="14">
        <v>2.0</v>
      </c>
      <c r="D3" s="12" t="s">
        <v>33</v>
      </c>
      <c r="E3" s="15">
        <f t="shared" si="1"/>
        <v>0</v>
      </c>
      <c r="F3" s="16"/>
    </row>
    <row r="4">
      <c r="A4" s="12">
        <v>3.0</v>
      </c>
      <c r="B4" s="13" t="s">
        <v>491</v>
      </c>
      <c r="C4" s="14">
        <v>3.0</v>
      </c>
      <c r="D4" s="12" t="s">
        <v>9</v>
      </c>
      <c r="E4" s="17">
        <v>-1.0</v>
      </c>
      <c r="F4" s="16"/>
    </row>
    <row r="5">
      <c r="A5" s="12">
        <v>4.0</v>
      </c>
      <c r="B5" s="13" t="s">
        <v>493</v>
      </c>
      <c r="C5" s="14">
        <v>4.0</v>
      </c>
      <c r="D5" s="12" t="s">
        <v>12</v>
      </c>
      <c r="E5" s="18">
        <f>+1</f>
        <v>1</v>
      </c>
      <c r="F5" s="16"/>
    </row>
    <row r="6">
      <c r="A6" s="12">
        <v>5.0</v>
      </c>
      <c r="B6" s="13" t="s">
        <v>495</v>
      </c>
      <c r="C6" s="14">
        <v>5.0</v>
      </c>
      <c r="D6" s="12" t="s">
        <v>18</v>
      </c>
      <c r="E6" s="15">
        <f t="shared" ref="E6:E7" si="2">+0</f>
        <v>0</v>
      </c>
      <c r="F6" s="16"/>
    </row>
    <row r="7">
      <c r="A7" s="12">
        <v>6.0</v>
      </c>
      <c r="B7" s="13" t="s">
        <v>497</v>
      </c>
      <c r="C7" s="14">
        <v>6.0</v>
      </c>
      <c r="D7" s="12" t="s">
        <v>15</v>
      </c>
      <c r="E7" s="15">
        <f t="shared" si="2"/>
        <v>0</v>
      </c>
      <c r="F7" s="16"/>
    </row>
    <row r="8">
      <c r="A8" s="12">
        <v>7.0</v>
      </c>
      <c r="B8" s="13" t="s">
        <v>499</v>
      </c>
      <c r="C8" s="14">
        <v>10.0</v>
      </c>
      <c r="D8" s="12" t="s">
        <v>90</v>
      </c>
      <c r="E8" s="18">
        <f>+3</f>
        <v>3</v>
      </c>
      <c r="F8" s="16"/>
    </row>
    <row r="9">
      <c r="A9" s="12">
        <v>8.0</v>
      </c>
      <c r="B9" s="13" t="s">
        <v>501</v>
      </c>
      <c r="C9" s="14">
        <v>7.0</v>
      </c>
      <c r="D9" s="12" t="s">
        <v>21</v>
      </c>
      <c r="E9" s="17">
        <v>-1.0</v>
      </c>
      <c r="F9" s="16"/>
    </row>
    <row r="10">
      <c r="A10" s="12">
        <v>9.0</v>
      </c>
      <c r="B10" s="13" t="s">
        <v>503</v>
      </c>
      <c r="C10" s="14">
        <v>8.0</v>
      </c>
      <c r="D10" s="12" t="s">
        <v>30</v>
      </c>
      <c r="E10" s="17">
        <v>-1.0</v>
      </c>
      <c r="F10" s="16"/>
    </row>
    <row r="11">
      <c r="A11" s="12">
        <v>10.0</v>
      </c>
      <c r="B11" s="13" t="s">
        <v>505</v>
      </c>
      <c r="C11" s="14">
        <v>9.0</v>
      </c>
      <c r="D11" s="12" t="s">
        <v>24</v>
      </c>
      <c r="E11" s="17">
        <v>-1.0</v>
      </c>
      <c r="F11" s="16"/>
    </row>
    <row r="12">
      <c r="A12" s="12">
        <v>11.0</v>
      </c>
      <c r="B12" s="13" t="s">
        <v>507</v>
      </c>
      <c r="C12" s="14">
        <v>11.0</v>
      </c>
      <c r="D12" s="12" t="s">
        <v>27</v>
      </c>
      <c r="E12" s="17">
        <v>-1.0</v>
      </c>
      <c r="F12" s="16"/>
    </row>
    <row r="13">
      <c r="A13" s="12">
        <v>12.0</v>
      </c>
      <c r="B13" s="13" t="s">
        <v>509</v>
      </c>
      <c r="C13" s="14">
        <v>12.0</v>
      </c>
      <c r="D13" s="12" t="s">
        <v>63</v>
      </c>
      <c r="E13" s="17">
        <v>-1.0</v>
      </c>
      <c r="F13" s="16"/>
    </row>
    <row r="14">
      <c r="A14" s="12">
        <v>13.0</v>
      </c>
      <c r="B14" s="13" t="s">
        <v>511</v>
      </c>
      <c r="C14" s="14">
        <v>39.0</v>
      </c>
      <c r="D14" s="12" t="s">
        <v>101</v>
      </c>
      <c r="E14" s="18">
        <f>+28</f>
        <v>28</v>
      </c>
      <c r="F14" s="16"/>
    </row>
    <row r="15">
      <c r="A15" s="12">
        <v>14.0</v>
      </c>
      <c r="B15" s="13" t="s">
        <v>513</v>
      </c>
      <c r="C15" s="14">
        <v>15.0</v>
      </c>
      <c r="D15" s="12" t="s">
        <v>42</v>
      </c>
      <c r="E15" s="18">
        <f>+1</f>
        <v>1</v>
      </c>
      <c r="F15" s="16"/>
    </row>
    <row r="16">
      <c r="A16" s="12">
        <v>15.0</v>
      </c>
      <c r="B16" s="13" t="s">
        <v>515</v>
      </c>
      <c r="C16" s="14">
        <v>22.0</v>
      </c>
      <c r="D16" s="12" t="s">
        <v>69</v>
      </c>
      <c r="E16" s="18">
        <f>+7</f>
        <v>7</v>
      </c>
      <c r="F16" s="16"/>
    </row>
    <row r="17">
      <c r="A17" s="12">
        <v>16.0</v>
      </c>
      <c r="B17" s="13" t="s">
        <v>517</v>
      </c>
      <c r="C17" s="14">
        <v>26.0</v>
      </c>
      <c r="D17" s="12" t="s">
        <v>84</v>
      </c>
      <c r="E17" s="18">
        <f>+9</f>
        <v>9</v>
      </c>
      <c r="F17" s="16"/>
    </row>
    <row r="18">
      <c r="A18" s="12">
        <v>17.0</v>
      </c>
      <c r="B18" s="13" t="s">
        <v>519</v>
      </c>
      <c r="C18" s="14">
        <v>13.0</v>
      </c>
      <c r="D18" s="12" t="s">
        <v>36</v>
      </c>
      <c r="E18" s="17">
        <v>-6.0</v>
      </c>
      <c r="F18" s="16"/>
    </row>
    <row r="19">
      <c r="A19" s="12">
        <v>18.0</v>
      </c>
      <c r="B19" s="13" t="s">
        <v>520</v>
      </c>
      <c r="C19" s="14">
        <v>24.0</v>
      </c>
      <c r="D19" s="12" t="s">
        <v>81</v>
      </c>
      <c r="E19" s="18">
        <f>+6</f>
        <v>6</v>
      </c>
      <c r="F19" s="16"/>
    </row>
    <row r="20">
      <c r="A20" s="12">
        <v>19.0</v>
      </c>
      <c r="B20" s="13" t="s">
        <v>522</v>
      </c>
      <c r="C20" s="14">
        <v>14.0</v>
      </c>
      <c r="D20" s="12" t="s">
        <v>39</v>
      </c>
      <c r="E20" s="17">
        <v>-6.0</v>
      </c>
      <c r="F20" s="16"/>
    </row>
    <row r="21">
      <c r="A21" s="12">
        <v>20.0</v>
      </c>
      <c r="B21" s="13" t="s">
        <v>524</v>
      </c>
      <c r="C21" s="14">
        <v>16.0</v>
      </c>
      <c r="D21" s="12" t="s">
        <v>45</v>
      </c>
      <c r="E21" s="17">
        <v>-7.0</v>
      </c>
      <c r="F21" s="16"/>
    </row>
    <row r="22">
      <c r="A22" s="12">
        <v>21.0</v>
      </c>
      <c r="B22" s="13" t="s">
        <v>526</v>
      </c>
      <c r="C22" s="14">
        <v>20.0</v>
      </c>
      <c r="D22" s="12" t="s">
        <v>66</v>
      </c>
      <c r="E22" s="17">
        <v>-2.0</v>
      </c>
      <c r="F22" s="16"/>
    </row>
    <row r="23">
      <c r="A23" s="12">
        <v>22.0</v>
      </c>
      <c r="B23" s="13" t="s">
        <v>528</v>
      </c>
      <c r="C23" s="14">
        <v>85.0</v>
      </c>
      <c r="D23" s="12" t="s">
        <v>175</v>
      </c>
      <c r="E23" s="18">
        <f>+69</f>
        <v>69</v>
      </c>
      <c r="F23" s="16"/>
    </row>
    <row r="24">
      <c r="A24" s="12">
        <v>23.0</v>
      </c>
      <c r="B24" s="13" t="s">
        <v>530</v>
      </c>
      <c r="C24" s="14">
        <v>28.0</v>
      </c>
      <c r="D24" s="12" t="s">
        <v>87</v>
      </c>
      <c r="E24" s="18">
        <f>+7</f>
        <v>7</v>
      </c>
      <c r="F24" s="16"/>
    </row>
    <row r="25">
      <c r="A25" s="12">
        <v>24.0</v>
      </c>
      <c r="B25" s="13" t="s">
        <v>532</v>
      </c>
      <c r="C25" s="14">
        <v>21.0</v>
      </c>
      <c r="D25" s="12" t="s">
        <v>57</v>
      </c>
      <c r="E25" s="17">
        <v>-3.0</v>
      </c>
      <c r="F25" s="16"/>
    </row>
    <row r="26">
      <c r="A26" s="12">
        <v>25.0</v>
      </c>
      <c r="B26" s="13" t="s">
        <v>534</v>
      </c>
      <c r="C26" s="14">
        <v>18.0</v>
      </c>
      <c r="D26" s="12" t="s">
        <v>54</v>
      </c>
      <c r="E26" s="17">
        <v>-8.0</v>
      </c>
      <c r="F26" s="16"/>
    </row>
    <row r="27">
      <c r="A27" s="12">
        <v>26.0</v>
      </c>
      <c r="B27" s="13" t="s">
        <v>535</v>
      </c>
      <c r="C27" s="14">
        <v>19.0</v>
      </c>
      <c r="D27" s="12" t="s">
        <v>48</v>
      </c>
      <c r="E27" s="17">
        <v>-9.0</v>
      </c>
      <c r="F27" s="16"/>
    </row>
    <row r="28">
      <c r="A28" s="12">
        <v>27.0</v>
      </c>
      <c r="B28" s="13" t="s">
        <v>537</v>
      </c>
      <c r="C28" s="14">
        <v>30.0</v>
      </c>
      <c r="D28" s="12" t="s">
        <v>133</v>
      </c>
      <c r="E28" s="18">
        <f>+5</f>
        <v>5</v>
      </c>
      <c r="F28" s="16"/>
    </row>
    <row r="29">
      <c r="A29" s="12">
        <v>28.0</v>
      </c>
      <c r="B29" s="13" t="s">
        <v>539</v>
      </c>
      <c r="C29" s="14">
        <v>25.0</v>
      </c>
      <c r="D29" s="12" t="s">
        <v>60</v>
      </c>
      <c r="E29" s="17">
        <v>-6.0</v>
      </c>
      <c r="F29" s="16"/>
    </row>
    <row r="30">
      <c r="A30" s="12">
        <v>29.0</v>
      </c>
      <c r="B30" s="13" t="s">
        <v>541</v>
      </c>
      <c r="C30" s="14">
        <v>27.0</v>
      </c>
      <c r="D30" s="12" t="s">
        <v>94</v>
      </c>
      <c r="E30" s="17">
        <v>-2.0</v>
      </c>
      <c r="F30" s="16"/>
    </row>
    <row r="31">
      <c r="A31" s="12">
        <v>30.0</v>
      </c>
      <c r="B31" s="13" t="s">
        <v>543</v>
      </c>
      <c r="C31" s="14">
        <v>35.0</v>
      </c>
      <c r="D31" s="12" t="s">
        <v>98</v>
      </c>
      <c r="E31" s="18">
        <f>+5</f>
        <v>5</v>
      </c>
      <c r="F31" s="16"/>
    </row>
    <row r="32">
      <c r="A32" s="12">
        <v>31.0</v>
      </c>
      <c r="B32" s="13" t="s">
        <v>545</v>
      </c>
      <c r="C32" s="14">
        <v>47.0</v>
      </c>
      <c r="D32" s="12" t="s">
        <v>111</v>
      </c>
      <c r="E32" s="18">
        <f>+20</f>
        <v>20</v>
      </c>
      <c r="F32" s="16"/>
    </row>
    <row r="33">
      <c r="A33" s="12">
        <v>32.0</v>
      </c>
      <c r="B33" s="13" t="s">
        <v>547</v>
      </c>
      <c r="C33" s="14">
        <v>17.0</v>
      </c>
      <c r="D33" s="12" t="s">
        <v>51</v>
      </c>
      <c r="E33" s="17">
        <v>-17.0</v>
      </c>
      <c r="F33" s="16"/>
    </row>
    <row r="34">
      <c r="A34" s="12">
        <v>33.0</v>
      </c>
      <c r="B34" s="13" t="s">
        <v>549</v>
      </c>
      <c r="C34" s="14">
        <v>32.0</v>
      </c>
      <c r="D34" s="12" t="s">
        <v>141</v>
      </c>
      <c r="E34" s="15">
        <f>+0</f>
        <v>0</v>
      </c>
      <c r="F34" s="16"/>
    </row>
    <row r="35">
      <c r="A35" s="12">
        <v>34.0</v>
      </c>
      <c r="B35" s="13" t="s">
        <v>551</v>
      </c>
      <c r="C35" s="14">
        <v>38.0</v>
      </c>
      <c r="D35" s="12" t="s">
        <v>78</v>
      </c>
      <c r="E35" s="18">
        <f>+5</f>
        <v>5</v>
      </c>
      <c r="F35" s="16"/>
    </row>
    <row r="36">
      <c r="A36" s="12">
        <v>35.0</v>
      </c>
      <c r="B36" s="13" t="s">
        <v>553</v>
      </c>
      <c r="C36" s="14">
        <v>44.0</v>
      </c>
      <c r="D36" s="12" t="s">
        <v>121</v>
      </c>
      <c r="E36" s="18">
        <f>+9</f>
        <v>9</v>
      </c>
      <c r="F36" s="16"/>
    </row>
    <row r="37">
      <c r="A37" s="12">
        <v>36.0</v>
      </c>
      <c r="B37" s="13" t="s">
        <v>555</v>
      </c>
      <c r="C37" s="14">
        <v>23.0</v>
      </c>
      <c r="D37" s="12" t="s">
        <v>72</v>
      </c>
      <c r="E37" s="17">
        <v>-15.0</v>
      </c>
      <c r="F37" s="16"/>
    </row>
    <row r="38">
      <c r="A38" s="12">
        <v>37.0</v>
      </c>
      <c r="B38" s="13" t="s">
        <v>557</v>
      </c>
      <c r="C38" s="14">
        <v>34.0</v>
      </c>
      <c r="D38" s="12" t="s">
        <v>75</v>
      </c>
      <c r="E38" s="17">
        <v>-2.0</v>
      </c>
      <c r="F38" s="16"/>
    </row>
    <row r="39">
      <c r="A39" s="12">
        <v>38.0</v>
      </c>
      <c r="B39" s="13" t="s">
        <v>558</v>
      </c>
      <c r="C39" s="14">
        <v>37.0</v>
      </c>
      <c r="D39" s="12" t="s">
        <v>105</v>
      </c>
      <c r="E39" s="17">
        <v>-2.0</v>
      </c>
      <c r="F39" s="16"/>
    </row>
    <row r="40">
      <c r="A40" s="12">
        <v>39.0</v>
      </c>
      <c r="B40" s="13" t="s">
        <v>560</v>
      </c>
      <c r="C40" s="14">
        <v>31.0</v>
      </c>
      <c r="D40" s="12" t="s">
        <v>103</v>
      </c>
      <c r="E40" s="17">
        <v>-9.0</v>
      </c>
      <c r="F40" s="16"/>
    </row>
    <row r="41">
      <c r="A41" s="12">
        <v>40.0</v>
      </c>
      <c r="B41" s="13" t="s">
        <v>562</v>
      </c>
      <c r="C41" s="14">
        <v>58.0</v>
      </c>
      <c r="D41" s="12" t="s">
        <v>151</v>
      </c>
      <c r="E41" s="18">
        <f t="shared" ref="E41:E42" si="3">+21</f>
        <v>21</v>
      </c>
      <c r="F41" s="16"/>
    </row>
    <row r="42">
      <c r="A42" s="12">
        <v>41.0</v>
      </c>
      <c r="B42" s="13" t="s">
        <v>564</v>
      </c>
      <c r="C42" s="14">
        <v>62.0</v>
      </c>
      <c r="D42" s="12" t="s">
        <v>155</v>
      </c>
      <c r="E42" s="18">
        <f t="shared" si="3"/>
        <v>21</v>
      </c>
      <c r="F42" s="16"/>
    </row>
    <row r="43">
      <c r="A43" s="12">
        <v>42.0</v>
      </c>
      <c r="B43" s="13" t="s">
        <v>566</v>
      </c>
      <c r="C43" s="14">
        <v>65.0</v>
      </c>
      <c r="D43" s="12" t="s">
        <v>149</v>
      </c>
      <c r="E43" s="18">
        <f>+22</f>
        <v>22</v>
      </c>
      <c r="F43" s="16"/>
    </row>
    <row r="44">
      <c r="A44" s="12">
        <v>43.0</v>
      </c>
      <c r="B44" s="13" t="s">
        <v>568</v>
      </c>
      <c r="C44" s="14">
        <v>91.0</v>
      </c>
      <c r="D44" s="12" t="s">
        <v>181</v>
      </c>
      <c r="E44" s="18">
        <f>+49</f>
        <v>49</v>
      </c>
      <c r="F44" s="16"/>
    </row>
    <row r="45">
      <c r="A45" s="12">
        <v>44.0</v>
      </c>
      <c r="B45" s="13" t="s">
        <v>570</v>
      </c>
      <c r="C45" s="14">
        <v>51.0</v>
      </c>
      <c r="D45" s="12" t="s">
        <v>135</v>
      </c>
      <c r="E45" s="18">
        <f>+6</f>
        <v>6</v>
      </c>
      <c r="F45" s="16"/>
    </row>
    <row r="46">
      <c r="A46" s="12">
        <v>45.0</v>
      </c>
      <c r="B46" s="13" t="s">
        <v>572</v>
      </c>
      <c r="C46" s="14">
        <v>76.0</v>
      </c>
      <c r="D46" s="12" t="s">
        <v>173</v>
      </c>
      <c r="E46" s="18">
        <f>+32</f>
        <v>32</v>
      </c>
      <c r="F46" s="16"/>
    </row>
    <row r="47">
      <c r="A47" s="12">
        <v>46.0</v>
      </c>
      <c r="B47" s="13" t="s">
        <v>574</v>
      </c>
      <c r="C47" s="14">
        <v>33.0</v>
      </c>
      <c r="D47" s="12" t="s">
        <v>96</v>
      </c>
      <c r="E47" s="17">
        <v>-16.0</v>
      </c>
      <c r="F47" s="16"/>
    </row>
    <row r="48">
      <c r="A48" s="12">
        <v>47.0</v>
      </c>
      <c r="B48" s="13" t="s">
        <v>576</v>
      </c>
      <c r="C48" s="14">
        <v>70.0</v>
      </c>
      <c r="D48" s="12" t="s">
        <v>169</v>
      </c>
      <c r="E48" s="18">
        <f>+24</f>
        <v>24</v>
      </c>
      <c r="F48" s="16"/>
    </row>
    <row r="49">
      <c r="A49" s="12">
        <v>48.0</v>
      </c>
      <c r="B49" s="13" t="s">
        <v>578</v>
      </c>
      <c r="C49" s="14">
        <v>52.0</v>
      </c>
      <c r="D49" s="12" t="s">
        <v>147</v>
      </c>
      <c r="E49" s="18">
        <f>+4</f>
        <v>4</v>
      </c>
      <c r="F49" s="16"/>
    </row>
    <row r="50">
      <c r="A50" s="12">
        <v>49.0</v>
      </c>
      <c r="B50" s="13" t="s">
        <v>580</v>
      </c>
      <c r="C50" s="14">
        <v>72.0</v>
      </c>
      <c r="D50" s="12" t="s">
        <v>171</v>
      </c>
      <c r="E50" s="18">
        <f>+25</f>
        <v>25</v>
      </c>
      <c r="F50" s="16"/>
    </row>
    <row r="51">
      <c r="A51" s="12">
        <v>50.0</v>
      </c>
      <c r="B51" s="13" t="s">
        <v>582</v>
      </c>
      <c r="C51" s="14">
        <v>45.0</v>
      </c>
      <c r="D51" s="12" t="s">
        <v>117</v>
      </c>
      <c r="E51" s="17">
        <v>-6.0</v>
      </c>
      <c r="F51" s="16"/>
    </row>
    <row r="52">
      <c r="A52" s="12">
        <v>51.0</v>
      </c>
      <c r="B52" s="13" t="s">
        <v>584</v>
      </c>
      <c r="C52" s="14">
        <v>49.0</v>
      </c>
      <c r="D52" s="12" t="s">
        <v>131</v>
      </c>
      <c r="E52" s="17">
        <v>-3.0</v>
      </c>
      <c r="F52" s="16"/>
    </row>
    <row r="53">
      <c r="A53" s="12">
        <v>52.0</v>
      </c>
      <c r="B53" s="13" t="s">
        <v>586</v>
      </c>
      <c r="C53" s="14">
        <v>42.0</v>
      </c>
      <c r="D53" s="12" t="s">
        <v>119</v>
      </c>
      <c r="E53" s="17">
        <v>-13.0</v>
      </c>
      <c r="F53" s="16"/>
    </row>
    <row r="54">
      <c r="A54" s="12">
        <v>53.0</v>
      </c>
      <c r="B54" s="13" t="s">
        <v>588</v>
      </c>
      <c r="C54" s="14">
        <v>97.0</v>
      </c>
      <c r="D54" s="12" t="s">
        <v>183</v>
      </c>
      <c r="E54" s="18">
        <f>+47</f>
        <v>47</v>
      </c>
      <c r="F54" s="16"/>
    </row>
    <row r="55">
      <c r="A55" s="12">
        <v>54.0</v>
      </c>
      <c r="B55" s="13" t="s">
        <v>590</v>
      </c>
      <c r="C55" s="14">
        <v>77.0</v>
      </c>
      <c r="D55" s="12" t="s">
        <v>157</v>
      </c>
      <c r="E55" s="18">
        <f>+24</f>
        <v>24</v>
      </c>
      <c r="F55" s="16"/>
    </row>
    <row r="56">
      <c r="A56" s="12">
        <v>55.0</v>
      </c>
      <c r="B56" s="13" t="s">
        <v>593</v>
      </c>
      <c r="C56" s="14">
        <v>87.0</v>
      </c>
      <c r="D56" s="12" t="s">
        <v>177</v>
      </c>
      <c r="E56" s="18">
        <f>+33</f>
        <v>33</v>
      </c>
      <c r="F56" s="16"/>
    </row>
    <row r="57">
      <c r="A57" s="12">
        <v>56.0</v>
      </c>
      <c r="B57" s="13" t="s">
        <v>595</v>
      </c>
      <c r="C57" s="14">
        <v>63.0</v>
      </c>
      <c r="D57" s="12" t="s">
        <v>139</v>
      </c>
      <c r="E57" s="18">
        <f>+7</f>
        <v>7</v>
      </c>
      <c r="F57" s="16"/>
    </row>
    <row r="58">
      <c r="A58" s="12">
        <v>57.0</v>
      </c>
      <c r="B58" s="13" t="s">
        <v>597</v>
      </c>
      <c r="C58" s="14">
        <v>43.0</v>
      </c>
      <c r="D58" s="12" t="s">
        <v>107</v>
      </c>
      <c r="E58" s="17">
        <v>-14.0</v>
      </c>
      <c r="F58" s="16"/>
    </row>
    <row r="59">
      <c r="A59" s="12">
        <v>58.0</v>
      </c>
      <c r="B59" s="13" t="s">
        <v>599</v>
      </c>
      <c r="C59" s="14">
        <v>48.0</v>
      </c>
      <c r="D59" s="12" t="s">
        <v>113</v>
      </c>
      <c r="E59" s="17">
        <v>-11.0</v>
      </c>
      <c r="F59" s="16"/>
    </row>
    <row r="60">
      <c r="A60" s="12">
        <v>59.0</v>
      </c>
      <c r="B60" s="13" t="s">
        <v>601</v>
      </c>
      <c r="C60" s="14">
        <v>29.0</v>
      </c>
      <c r="D60" s="12" t="s">
        <v>123</v>
      </c>
      <c r="E60" s="17">
        <v>-32.0</v>
      </c>
      <c r="F60" s="16"/>
    </row>
    <row r="61">
      <c r="A61" s="12">
        <v>60.0</v>
      </c>
      <c r="B61" s="13" t="s">
        <v>603</v>
      </c>
      <c r="C61" s="14">
        <v>89.0</v>
      </c>
      <c r="D61" s="12" t="s">
        <v>187</v>
      </c>
      <c r="E61" s="18">
        <f>+31</f>
        <v>31</v>
      </c>
      <c r="F61" s="16"/>
    </row>
    <row r="62">
      <c r="A62" s="12">
        <v>61.0</v>
      </c>
      <c r="B62" s="13" t="s">
        <v>605</v>
      </c>
      <c r="C62" s="14">
        <v>94.0</v>
      </c>
      <c r="D62" s="12" t="s">
        <v>219</v>
      </c>
      <c r="E62" s="18">
        <f>+34</f>
        <v>34</v>
      </c>
      <c r="F62" s="16"/>
    </row>
    <row r="63">
      <c r="A63" s="12">
        <v>62.0</v>
      </c>
      <c r="B63" s="13" t="s">
        <v>607</v>
      </c>
      <c r="C63" s="14">
        <v>68.0</v>
      </c>
      <c r="D63" s="12" t="s">
        <v>165</v>
      </c>
      <c r="E63" s="18">
        <f>+6</f>
        <v>6</v>
      </c>
      <c r="F63" s="16"/>
    </row>
    <row r="64">
      <c r="A64" s="12">
        <v>63.0</v>
      </c>
      <c r="B64" s="13" t="s">
        <v>609</v>
      </c>
      <c r="C64" s="14">
        <v>50.0</v>
      </c>
      <c r="D64" s="12" t="s">
        <v>143</v>
      </c>
      <c r="E64" s="17">
        <v>-13.0</v>
      </c>
      <c r="F64" s="16"/>
    </row>
    <row r="65">
      <c r="A65" s="12">
        <v>64.0</v>
      </c>
      <c r="B65" s="13" t="s">
        <v>611</v>
      </c>
      <c r="C65" s="14">
        <v>81.0</v>
      </c>
      <c r="D65" s="12" t="s">
        <v>179</v>
      </c>
      <c r="E65" s="18">
        <f>+17</f>
        <v>17</v>
      </c>
      <c r="F65" s="16"/>
    </row>
    <row r="66">
      <c r="A66" s="12">
        <v>65.0</v>
      </c>
      <c r="B66" s="13" t="s">
        <v>613</v>
      </c>
      <c r="C66" s="14">
        <v>66.0</v>
      </c>
      <c r="D66" s="12" t="s">
        <v>153</v>
      </c>
      <c r="E66" s="18">
        <f>+1</f>
        <v>1</v>
      </c>
      <c r="F66" s="16"/>
    </row>
    <row r="67">
      <c r="A67" s="12">
        <v>66.0</v>
      </c>
      <c r="B67" s="13" t="s">
        <v>614</v>
      </c>
      <c r="C67" s="14">
        <v>53.0</v>
      </c>
      <c r="D67" s="12" t="s">
        <v>159</v>
      </c>
      <c r="E67" s="17">
        <v>-14.0</v>
      </c>
      <c r="F67" s="16"/>
    </row>
    <row r="68">
      <c r="A68" s="12">
        <v>67.0</v>
      </c>
      <c r="B68" s="13" t="s">
        <v>616</v>
      </c>
      <c r="C68" s="14">
        <v>78.0</v>
      </c>
      <c r="D68" s="12" t="s">
        <v>199</v>
      </c>
      <c r="E68" s="18">
        <f>+9</f>
        <v>9</v>
      </c>
      <c r="F68" s="16"/>
    </row>
    <row r="69">
      <c r="A69" s="12">
        <v>68.0</v>
      </c>
      <c r="B69" s="13" t="s">
        <v>618</v>
      </c>
      <c r="C69" s="14">
        <v>40.0</v>
      </c>
      <c r="D69" s="12" t="s">
        <v>92</v>
      </c>
      <c r="E69" s="17">
        <v>-30.0</v>
      </c>
      <c r="F69" s="16"/>
    </row>
    <row r="70">
      <c r="A70" s="12">
        <v>69.0</v>
      </c>
      <c r="B70" s="13" t="s">
        <v>620</v>
      </c>
      <c r="C70" s="14">
        <v>41.0</v>
      </c>
      <c r="D70" s="12" t="s">
        <v>109</v>
      </c>
      <c r="E70" s="17">
        <v>-30.0</v>
      </c>
      <c r="F70" s="16"/>
    </row>
    <row r="71">
      <c r="A71" s="12">
        <v>70.0</v>
      </c>
      <c r="B71" s="13" t="s">
        <v>621</v>
      </c>
      <c r="C71" s="14">
        <v>88.0</v>
      </c>
      <c r="D71" s="12" t="s">
        <v>185</v>
      </c>
      <c r="E71" s="18">
        <f>+20</f>
        <v>20</v>
      </c>
      <c r="F71" s="16"/>
    </row>
    <row r="72">
      <c r="A72" s="12">
        <v>71.0</v>
      </c>
      <c r="B72" s="13" t="s">
        <v>622</v>
      </c>
      <c r="C72" s="14">
        <v>102.0</v>
      </c>
      <c r="D72" s="12" t="s">
        <v>191</v>
      </c>
      <c r="E72" s="18">
        <f>+36</f>
        <v>36</v>
      </c>
      <c r="F72" s="16"/>
    </row>
    <row r="73">
      <c r="A73" s="12">
        <v>72.0</v>
      </c>
      <c r="B73" s="13" t="s">
        <v>624</v>
      </c>
      <c r="C73" s="14">
        <v>82.0</v>
      </c>
      <c r="D73" s="12" t="s">
        <v>193</v>
      </c>
      <c r="E73" s="18">
        <f>+9</f>
        <v>9</v>
      </c>
      <c r="F73" s="16"/>
    </row>
    <row r="74">
      <c r="A74" s="12">
        <v>73.0</v>
      </c>
      <c r="B74" s="13" t="s">
        <v>626</v>
      </c>
      <c r="C74" s="14">
        <v>101.0</v>
      </c>
      <c r="D74" s="12" t="s">
        <v>195</v>
      </c>
      <c r="E74" s="18">
        <f>+26</f>
        <v>26</v>
      </c>
      <c r="F74" s="16"/>
    </row>
    <row r="75">
      <c r="A75" s="12">
        <v>74.0</v>
      </c>
      <c r="B75" s="13" t="s">
        <v>628</v>
      </c>
      <c r="C75" s="14">
        <v>103.0</v>
      </c>
      <c r="D75" s="12" t="s">
        <v>197</v>
      </c>
      <c r="E75" s="18">
        <f>+29</f>
        <v>29</v>
      </c>
      <c r="F75" s="16"/>
    </row>
    <row r="76">
      <c r="A76" s="12">
        <v>75.0</v>
      </c>
      <c r="B76" s="13" t="s">
        <v>630</v>
      </c>
      <c r="C76" s="14">
        <v>64.0</v>
      </c>
      <c r="D76" s="12" t="s">
        <v>145</v>
      </c>
      <c r="E76" s="17">
        <v>-13.0</v>
      </c>
      <c r="F76" s="16"/>
    </row>
    <row r="77">
      <c r="A77" s="12">
        <v>76.0</v>
      </c>
      <c r="B77" s="13" t="s">
        <v>631</v>
      </c>
      <c r="C77" s="14">
        <v>46.0</v>
      </c>
      <c r="D77" s="12" t="s">
        <v>129</v>
      </c>
      <c r="E77" s="17">
        <v>-34.0</v>
      </c>
      <c r="F77" s="16"/>
    </row>
    <row r="78">
      <c r="A78" s="12">
        <v>77.0</v>
      </c>
      <c r="B78" s="13" t="s">
        <v>642</v>
      </c>
      <c r="C78" s="14">
        <v>95.0</v>
      </c>
      <c r="D78" s="12" t="s">
        <v>201</v>
      </c>
      <c r="E78" s="18">
        <f>+19</f>
        <v>19</v>
      </c>
      <c r="F78" s="16"/>
    </row>
    <row r="79">
      <c r="A79" s="12">
        <v>78.0</v>
      </c>
      <c r="B79" s="13" t="s">
        <v>644</v>
      </c>
      <c r="C79" s="14">
        <v>55.0</v>
      </c>
      <c r="D79" s="12" t="s">
        <v>161</v>
      </c>
      <c r="E79" s="17">
        <v>-26.0</v>
      </c>
      <c r="F79" s="16"/>
    </row>
    <row r="80">
      <c r="A80" s="12">
        <v>79.0</v>
      </c>
      <c r="B80" s="13" t="s">
        <v>646</v>
      </c>
      <c r="C80" s="14">
        <v>207.0</v>
      </c>
      <c r="D80" s="12" t="s">
        <v>207</v>
      </c>
      <c r="E80" s="20" t="s">
        <v>231</v>
      </c>
      <c r="F80" s="16"/>
    </row>
    <row r="81">
      <c r="A81" s="12">
        <v>80.0</v>
      </c>
      <c r="B81" s="13" t="s">
        <v>648</v>
      </c>
      <c r="C81" s="14">
        <v>67.0</v>
      </c>
      <c r="D81" s="12" t="s">
        <v>163</v>
      </c>
      <c r="E81" s="17">
        <v>-15.0</v>
      </c>
      <c r="F81" s="16"/>
    </row>
    <row r="82">
      <c r="A82" s="12">
        <v>81.0</v>
      </c>
      <c r="B82" s="13" t="s">
        <v>650</v>
      </c>
      <c r="C82" s="14">
        <v>98.0</v>
      </c>
      <c r="D82" s="12" t="s">
        <v>189</v>
      </c>
      <c r="E82" s="18">
        <f>+15</f>
        <v>15</v>
      </c>
      <c r="F82" s="16"/>
    </row>
    <row r="83">
      <c r="A83" s="12">
        <v>82.0</v>
      </c>
      <c r="B83" s="13" t="s">
        <v>652</v>
      </c>
      <c r="C83" s="14">
        <v>90.0</v>
      </c>
      <c r="D83" s="12" t="s">
        <v>217</v>
      </c>
      <c r="E83" s="18">
        <f>+4</f>
        <v>4</v>
      </c>
      <c r="F83" s="16"/>
    </row>
    <row r="84">
      <c r="A84" s="12">
        <v>83.0</v>
      </c>
      <c r="B84" s="13" t="s">
        <v>654</v>
      </c>
      <c r="C84" s="14">
        <v>104.0</v>
      </c>
      <c r="D84" s="12" t="s">
        <v>307</v>
      </c>
      <c r="E84" s="18">
        <f>+19</f>
        <v>19</v>
      </c>
      <c r="F84" s="16"/>
    </row>
    <row r="85">
      <c r="A85" s="12">
        <v>84.0</v>
      </c>
      <c r="B85" s="13" t="s">
        <v>656</v>
      </c>
      <c r="C85" s="14">
        <v>293.0</v>
      </c>
      <c r="D85" s="12" t="s">
        <v>438</v>
      </c>
      <c r="E85" s="20" t="s">
        <v>231</v>
      </c>
      <c r="F85" s="16"/>
    </row>
    <row r="86">
      <c r="A86" s="12">
        <v>85.0</v>
      </c>
      <c r="B86" s="13" t="s">
        <v>658</v>
      </c>
      <c r="C86" s="14">
        <v>298.0</v>
      </c>
      <c r="D86" s="12" t="s">
        <v>463</v>
      </c>
      <c r="E86" s="20" t="s">
        <v>231</v>
      </c>
      <c r="F86" s="16"/>
    </row>
    <row r="87">
      <c r="A87" s="12">
        <v>86.0</v>
      </c>
      <c r="B87" s="13" t="s">
        <v>660</v>
      </c>
      <c r="C87" s="14">
        <v>61.0</v>
      </c>
      <c r="D87" s="12" t="s">
        <v>137</v>
      </c>
      <c r="E87" s="17">
        <v>-26.0</v>
      </c>
      <c r="F87" s="16"/>
    </row>
    <row r="88">
      <c r="A88" s="12">
        <v>87.0</v>
      </c>
      <c r="B88" s="13" t="s">
        <v>663</v>
      </c>
      <c r="C88" s="14">
        <v>270.0</v>
      </c>
      <c r="D88" s="12" t="s">
        <v>203</v>
      </c>
      <c r="E88" s="20" t="s">
        <v>231</v>
      </c>
      <c r="F88" s="16"/>
    </row>
    <row r="89">
      <c r="A89" s="12">
        <v>88.0</v>
      </c>
      <c r="B89" s="13" t="s">
        <v>669</v>
      </c>
      <c r="C89" s="14">
        <v>60.0</v>
      </c>
      <c r="D89" s="12" t="s">
        <v>127</v>
      </c>
      <c r="E89" s="17">
        <v>-29.0</v>
      </c>
      <c r="F89" s="16"/>
    </row>
    <row r="90">
      <c r="A90" s="12">
        <v>89.0</v>
      </c>
      <c r="B90" s="13" t="s">
        <v>671</v>
      </c>
      <c r="C90" s="14">
        <v>54.0</v>
      </c>
      <c r="D90" s="12" t="s">
        <v>115</v>
      </c>
      <c r="E90" s="17">
        <v>-36.0</v>
      </c>
      <c r="F90" s="16"/>
    </row>
    <row r="91">
      <c r="A91" s="12">
        <v>90.0</v>
      </c>
      <c r="B91" s="13" t="s">
        <v>673</v>
      </c>
      <c r="C91" s="14">
        <v>299.0</v>
      </c>
      <c r="D91" s="12" t="s">
        <v>205</v>
      </c>
      <c r="E91" s="20" t="s">
        <v>231</v>
      </c>
      <c r="F91" s="16"/>
    </row>
    <row r="92">
      <c r="A92" s="12">
        <v>91.0</v>
      </c>
      <c r="B92" s="13" t="s">
        <v>675</v>
      </c>
      <c r="C92" s="14">
        <v>56.0</v>
      </c>
      <c r="D92" s="12" t="s">
        <v>125</v>
      </c>
      <c r="E92" s="17">
        <v>-36.0</v>
      </c>
      <c r="F92" s="16"/>
    </row>
    <row r="93">
      <c r="A93" s="12">
        <v>92.0</v>
      </c>
      <c r="B93" s="13" t="s">
        <v>677</v>
      </c>
      <c r="C93" s="14">
        <v>105.0</v>
      </c>
      <c r="D93" s="12" t="s">
        <v>167</v>
      </c>
      <c r="E93" s="18">
        <f>+14</f>
        <v>14</v>
      </c>
      <c r="F93" s="16"/>
    </row>
    <row r="94">
      <c r="A94" s="12">
        <v>93.0</v>
      </c>
      <c r="B94" s="13" t="s">
        <v>678</v>
      </c>
      <c r="C94" s="14">
        <v>106.0</v>
      </c>
      <c r="D94" s="12" t="s">
        <v>680</v>
      </c>
      <c r="E94" s="18">
        <f>+13</f>
        <v>13</v>
      </c>
      <c r="F94" s="1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</hyperlinks>
  <drawing r:id="rId9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221</v>
      </c>
    </row>
    <row r="2">
      <c r="A2" s="22" t="s">
        <v>224</v>
      </c>
    </row>
    <row r="3">
      <c r="A3" s="22" t="s">
        <v>225</v>
      </c>
    </row>
    <row r="4">
      <c r="A4" s="23">
        <v>1.0</v>
      </c>
    </row>
    <row r="5">
      <c r="A5" s="23" t="s">
        <v>226</v>
      </c>
    </row>
    <row r="6">
      <c r="A6" s="25" t="s">
        <v>227</v>
      </c>
    </row>
    <row r="7">
      <c r="A7" s="25" t="s">
        <v>228</v>
      </c>
    </row>
    <row r="8">
      <c r="A8" s="25" t="s">
        <v>229</v>
      </c>
    </row>
    <row r="9">
      <c r="A9" s="27">
        <v>19.0</v>
      </c>
    </row>
    <row r="10">
      <c r="A10" s="28" t="s">
        <v>224</v>
      </c>
    </row>
    <row r="11">
      <c r="A11" s="27" t="s">
        <v>231</v>
      </c>
    </row>
    <row r="12">
      <c r="A12" s="28" t="s">
        <v>232</v>
      </c>
    </row>
    <row r="13">
      <c r="A13" s="30" t="s">
        <v>233</v>
      </c>
    </row>
    <row r="14">
      <c r="A14" s="28" t="s">
        <v>225</v>
      </c>
    </row>
    <row r="15">
      <c r="A15" s="23">
        <v>2.0</v>
      </c>
    </row>
    <row r="16">
      <c r="A16" s="23" t="s">
        <v>277</v>
      </c>
    </row>
    <row r="17">
      <c r="A17" s="25" t="s">
        <v>278</v>
      </c>
    </row>
    <row r="18">
      <c r="A18" s="25" t="s">
        <v>279</v>
      </c>
    </row>
    <row r="19">
      <c r="A19" s="25" t="s">
        <v>265</v>
      </c>
    </row>
    <row r="20">
      <c r="A20" s="27">
        <v>39.9</v>
      </c>
    </row>
    <row r="21">
      <c r="A21" s="28" t="s">
        <v>224</v>
      </c>
    </row>
    <row r="22">
      <c r="A22" s="27" t="s">
        <v>231</v>
      </c>
    </row>
    <row r="23">
      <c r="A23" s="28" t="s">
        <v>232</v>
      </c>
    </row>
    <row r="24">
      <c r="A24" s="30" t="s">
        <v>233</v>
      </c>
    </row>
    <row r="25">
      <c r="A25" s="28" t="s">
        <v>225</v>
      </c>
    </row>
    <row r="26">
      <c r="A26" s="23">
        <v>3.0</v>
      </c>
    </row>
    <row r="27">
      <c r="A27" s="23" t="s">
        <v>235</v>
      </c>
    </row>
    <row r="28">
      <c r="A28" s="25" t="s">
        <v>236</v>
      </c>
    </row>
    <row r="29">
      <c r="A29" s="25" t="s">
        <v>237</v>
      </c>
    </row>
    <row r="30">
      <c r="A30" s="25" t="s">
        <v>238</v>
      </c>
    </row>
    <row r="31">
      <c r="A31" s="27">
        <v>50.8</v>
      </c>
    </row>
    <row r="32">
      <c r="A32" s="28" t="s">
        <v>224</v>
      </c>
    </row>
    <row r="33">
      <c r="A33" s="27" t="s">
        <v>231</v>
      </c>
    </row>
    <row r="34">
      <c r="A34" s="28" t="s">
        <v>232</v>
      </c>
    </row>
    <row r="35">
      <c r="A35" s="30" t="s">
        <v>233</v>
      </c>
    </row>
    <row r="36">
      <c r="A36" s="28" t="s">
        <v>225</v>
      </c>
    </row>
    <row r="37">
      <c r="A37" s="23">
        <v>4.0</v>
      </c>
    </row>
    <row r="38">
      <c r="A38" s="23" t="s">
        <v>240</v>
      </c>
    </row>
    <row r="39">
      <c r="A39" s="25" t="s">
        <v>242</v>
      </c>
    </row>
    <row r="40">
      <c r="A40" s="25" t="s">
        <v>243</v>
      </c>
    </row>
    <row r="41">
      <c r="A41" s="25" t="s">
        <v>244</v>
      </c>
    </row>
    <row r="42">
      <c r="A42" s="27">
        <v>57.2</v>
      </c>
    </row>
    <row r="43">
      <c r="A43" s="28" t="s">
        <v>224</v>
      </c>
    </row>
    <row r="44">
      <c r="A44" s="27" t="s">
        <v>231</v>
      </c>
    </row>
    <row r="45">
      <c r="A45" s="28" t="s">
        <v>232</v>
      </c>
    </row>
    <row r="46">
      <c r="A46" s="30" t="s">
        <v>233</v>
      </c>
    </row>
    <row r="47">
      <c r="A47" s="28" t="s">
        <v>225</v>
      </c>
    </row>
    <row r="48">
      <c r="A48" s="23">
        <v>5.0</v>
      </c>
    </row>
    <row r="49">
      <c r="A49" s="23" t="s">
        <v>245</v>
      </c>
    </row>
    <row r="50">
      <c r="A50" s="25" t="s">
        <v>246</v>
      </c>
    </row>
    <row r="51">
      <c r="A51" s="25" t="s">
        <v>247</v>
      </c>
    </row>
    <row r="52">
      <c r="A52" s="25" t="s">
        <v>248</v>
      </c>
    </row>
    <row r="53">
      <c r="A53" s="27">
        <v>81.5</v>
      </c>
    </row>
    <row r="54">
      <c r="A54" s="28" t="s">
        <v>224</v>
      </c>
    </row>
    <row r="55">
      <c r="A55" s="27" t="s">
        <v>231</v>
      </c>
    </row>
    <row r="56">
      <c r="A56" s="28" t="s">
        <v>232</v>
      </c>
    </row>
    <row r="57">
      <c r="A57" s="30" t="s">
        <v>233</v>
      </c>
    </row>
    <row r="58">
      <c r="A58" s="28" t="s">
        <v>225</v>
      </c>
    </row>
    <row r="59">
      <c r="A59" s="23">
        <v>6.0</v>
      </c>
    </row>
    <row r="60">
      <c r="A60" s="23" t="s">
        <v>251</v>
      </c>
    </row>
    <row r="61">
      <c r="A61" s="25" t="s">
        <v>252</v>
      </c>
    </row>
    <row r="62">
      <c r="A62" s="25" t="s">
        <v>253</v>
      </c>
    </row>
    <row r="63">
      <c r="A63" s="25" t="s">
        <v>254</v>
      </c>
    </row>
    <row r="64">
      <c r="A64" s="27">
        <v>67.8</v>
      </c>
    </row>
    <row r="65">
      <c r="A65" s="28" t="s">
        <v>224</v>
      </c>
    </row>
    <row r="66">
      <c r="A66" s="27" t="s">
        <v>231</v>
      </c>
    </row>
    <row r="67">
      <c r="A67" s="28" t="s">
        <v>232</v>
      </c>
    </row>
    <row r="68">
      <c r="A68" s="30" t="s">
        <v>233</v>
      </c>
    </row>
    <row r="69">
      <c r="A69" s="28" t="s">
        <v>225</v>
      </c>
    </row>
    <row r="70">
      <c r="A70" s="23">
        <v>7.0</v>
      </c>
    </row>
    <row r="71">
      <c r="A71" s="23" t="s">
        <v>257</v>
      </c>
    </row>
    <row r="72">
      <c r="A72" s="25" t="s">
        <v>258</v>
      </c>
    </row>
    <row r="73">
      <c r="A73" s="25" t="s">
        <v>259</v>
      </c>
    </row>
    <row r="74">
      <c r="A74" s="25" t="s">
        <v>248</v>
      </c>
    </row>
    <row r="75">
      <c r="A75" s="27">
        <v>84.5</v>
      </c>
    </row>
    <row r="76">
      <c r="A76" s="28" t="s">
        <v>224</v>
      </c>
    </row>
    <row r="77">
      <c r="A77" s="27" t="s">
        <v>231</v>
      </c>
    </row>
    <row r="78">
      <c r="A78" s="28" t="s">
        <v>232</v>
      </c>
    </row>
    <row r="79">
      <c r="A79" s="30" t="s">
        <v>233</v>
      </c>
    </row>
    <row r="80">
      <c r="A80" s="28" t="s">
        <v>225</v>
      </c>
    </row>
    <row r="81">
      <c r="A81" s="23">
        <v>8.0</v>
      </c>
    </row>
    <row r="82">
      <c r="A82" s="23" t="s">
        <v>260</v>
      </c>
    </row>
    <row r="83">
      <c r="A83" s="25" t="s">
        <v>262</v>
      </c>
    </row>
    <row r="84">
      <c r="A84" s="25" t="s">
        <v>263</v>
      </c>
    </row>
    <row r="85">
      <c r="A85" s="25" t="s">
        <v>265</v>
      </c>
    </row>
    <row r="86">
      <c r="A86" s="27">
        <v>87.0</v>
      </c>
    </row>
    <row r="87">
      <c r="A87" s="28" t="s">
        <v>224</v>
      </c>
    </row>
    <row r="88">
      <c r="A88" s="27" t="s">
        <v>231</v>
      </c>
    </row>
    <row r="89">
      <c r="A89" s="28" t="s">
        <v>232</v>
      </c>
    </row>
    <row r="90">
      <c r="A90" s="30" t="s">
        <v>233</v>
      </c>
    </row>
    <row r="91">
      <c r="A91" s="28" t="s">
        <v>225</v>
      </c>
    </row>
    <row r="92">
      <c r="A92" s="23">
        <v>9.0</v>
      </c>
    </row>
    <row r="93">
      <c r="A93" s="23" t="s">
        <v>266</v>
      </c>
    </row>
    <row r="94">
      <c r="A94" s="25" t="s">
        <v>267</v>
      </c>
    </row>
    <row r="95">
      <c r="A95" s="25" t="s">
        <v>268</v>
      </c>
    </row>
    <row r="96">
      <c r="A96" s="25" t="s">
        <v>244</v>
      </c>
    </row>
    <row r="97">
      <c r="A97" s="27">
        <v>289.2</v>
      </c>
    </row>
    <row r="98">
      <c r="A98" s="28" t="s">
        <v>224</v>
      </c>
    </row>
    <row r="99">
      <c r="A99" s="27" t="s">
        <v>231</v>
      </c>
    </row>
    <row r="100">
      <c r="A100" s="28" t="s">
        <v>232</v>
      </c>
    </row>
    <row r="101">
      <c r="A101" s="30" t="s">
        <v>233</v>
      </c>
    </row>
    <row r="102">
      <c r="A102" s="28" t="s">
        <v>225</v>
      </c>
    </row>
    <row r="103">
      <c r="A103" s="23">
        <v>10.0</v>
      </c>
    </row>
    <row r="104">
      <c r="A104" s="23" t="s">
        <v>339</v>
      </c>
    </row>
    <row r="105">
      <c r="A105" s="25" t="s">
        <v>340</v>
      </c>
    </row>
    <row r="106">
      <c r="A106" s="25" t="s">
        <v>341</v>
      </c>
    </row>
    <row r="107">
      <c r="A107" s="25" t="s">
        <v>248</v>
      </c>
    </row>
    <row r="108">
      <c r="A108" s="27">
        <v>104.0</v>
      </c>
    </row>
    <row r="109">
      <c r="A109" s="28" t="s">
        <v>224</v>
      </c>
    </row>
    <row r="110">
      <c r="A110" s="27" t="s">
        <v>231</v>
      </c>
    </row>
    <row r="111">
      <c r="A111" s="28" t="s">
        <v>232</v>
      </c>
    </row>
    <row r="112">
      <c r="A112" s="30" t="s">
        <v>233</v>
      </c>
    </row>
    <row r="113">
      <c r="A113" s="28" t="s">
        <v>225</v>
      </c>
    </row>
    <row r="114">
      <c r="A114" s="23">
        <v>11.0</v>
      </c>
    </row>
    <row r="115">
      <c r="A115" s="23" t="s">
        <v>271</v>
      </c>
    </row>
    <row r="116">
      <c r="A116" s="25" t="s">
        <v>258</v>
      </c>
    </row>
    <row r="117">
      <c r="A117" s="25" t="s">
        <v>272</v>
      </c>
    </row>
    <row r="118">
      <c r="A118" s="25" t="s">
        <v>248</v>
      </c>
    </row>
    <row r="119">
      <c r="A119" s="27">
        <v>112.8</v>
      </c>
    </row>
    <row r="120">
      <c r="A120" s="28" t="s">
        <v>224</v>
      </c>
    </row>
    <row r="121">
      <c r="A121" s="27" t="s">
        <v>231</v>
      </c>
    </row>
    <row r="122">
      <c r="A122" s="28" t="s">
        <v>232</v>
      </c>
    </row>
    <row r="123">
      <c r="A123" s="30" t="s">
        <v>233</v>
      </c>
    </row>
    <row r="124">
      <c r="A124" s="28" t="s">
        <v>225</v>
      </c>
    </row>
    <row r="125">
      <c r="A125" s="23">
        <v>12.0</v>
      </c>
    </row>
    <row r="126">
      <c r="A126" s="23" t="s">
        <v>275</v>
      </c>
    </row>
    <row r="127">
      <c r="A127" s="25" t="s">
        <v>262</v>
      </c>
    </row>
    <row r="128">
      <c r="A128" s="25" t="s">
        <v>276</v>
      </c>
    </row>
    <row r="129">
      <c r="A129" s="25" t="s">
        <v>265</v>
      </c>
    </row>
    <row r="130">
      <c r="A130" s="27">
        <v>94.9</v>
      </c>
    </row>
    <row r="131">
      <c r="A131" s="28" t="s">
        <v>224</v>
      </c>
    </row>
    <row r="132">
      <c r="A132" s="27" t="s">
        <v>231</v>
      </c>
    </row>
    <row r="133">
      <c r="A133" s="28" t="s">
        <v>232</v>
      </c>
    </row>
    <row r="134">
      <c r="A134" s="30" t="s">
        <v>233</v>
      </c>
    </row>
    <row r="135">
      <c r="A135" s="28" t="s">
        <v>225</v>
      </c>
    </row>
    <row r="136">
      <c r="A136" s="23">
        <v>13.0</v>
      </c>
    </row>
    <row r="137">
      <c r="A137" s="23" t="s">
        <v>281</v>
      </c>
    </row>
    <row r="138">
      <c r="A138" s="25" t="s">
        <v>282</v>
      </c>
    </row>
    <row r="139">
      <c r="A139" s="25" t="s">
        <v>284</v>
      </c>
    </row>
    <row r="140">
      <c r="A140" s="25" t="s">
        <v>238</v>
      </c>
    </row>
    <row r="141">
      <c r="A141" s="27">
        <v>140.7</v>
      </c>
    </row>
    <row r="142">
      <c r="A142" s="28" t="s">
        <v>224</v>
      </c>
    </row>
    <row r="143">
      <c r="A143" s="27" t="s">
        <v>231</v>
      </c>
    </row>
    <row r="144">
      <c r="A144" s="28" t="s">
        <v>232</v>
      </c>
    </row>
    <row r="145">
      <c r="A145" s="30" t="s">
        <v>233</v>
      </c>
    </row>
    <row r="146">
      <c r="A146" s="28" t="s">
        <v>225</v>
      </c>
    </row>
    <row r="147">
      <c r="A147" s="23">
        <v>14.0</v>
      </c>
    </row>
    <row r="148">
      <c r="A148" s="23" t="s">
        <v>285</v>
      </c>
    </row>
    <row r="149">
      <c r="A149" s="25" t="s">
        <v>286</v>
      </c>
    </row>
    <row r="150">
      <c r="A150" s="25" t="s">
        <v>287</v>
      </c>
    </row>
    <row r="151">
      <c r="A151" s="25" t="s">
        <v>254</v>
      </c>
    </row>
    <row r="152">
      <c r="A152" s="27">
        <v>131.6</v>
      </c>
    </row>
    <row r="153">
      <c r="A153" s="28" t="s">
        <v>224</v>
      </c>
    </row>
    <row r="154">
      <c r="A154" s="27" t="s">
        <v>231</v>
      </c>
    </row>
    <row r="155">
      <c r="A155" s="28" t="s">
        <v>232</v>
      </c>
    </row>
    <row r="156">
      <c r="A156" s="30" t="s">
        <v>233</v>
      </c>
    </row>
    <row r="157">
      <c r="A157" s="28" t="s">
        <v>225</v>
      </c>
    </row>
    <row r="158">
      <c r="A158" s="23">
        <v>15.0</v>
      </c>
    </row>
    <row r="159">
      <c r="A159" s="23" t="s">
        <v>290</v>
      </c>
    </row>
    <row r="160">
      <c r="A160" s="25" t="s">
        <v>278</v>
      </c>
    </row>
    <row r="161">
      <c r="A161" s="25" t="s">
        <v>291</v>
      </c>
    </row>
    <row r="162">
      <c r="A162" s="25" t="s">
        <v>265</v>
      </c>
    </row>
    <row r="163">
      <c r="A163" s="27">
        <v>194.0</v>
      </c>
    </row>
    <row r="164">
      <c r="A164" s="28" t="s">
        <v>224</v>
      </c>
    </row>
    <row r="165">
      <c r="A165" s="27" t="s">
        <v>231</v>
      </c>
    </row>
    <row r="166">
      <c r="A166" s="28" t="s">
        <v>232</v>
      </c>
    </row>
    <row r="167">
      <c r="A167" s="30" t="s">
        <v>233</v>
      </c>
    </row>
    <row r="168">
      <c r="A168" s="28" t="s">
        <v>225</v>
      </c>
    </row>
    <row r="169">
      <c r="A169" s="23">
        <v>16.0</v>
      </c>
    </row>
    <row r="170">
      <c r="A170" s="23" t="s">
        <v>292</v>
      </c>
    </row>
    <row r="171">
      <c r="A171" s="25" t="s">
        <v>293</v>
      </c>
    </row>
    <row r="172">
      <c r="A172" s="25" t="s">
        <v>295</v>
      </c>
    </row>
    <row r="173">
      <c r="A173" s="25" t="s">
        <v>296</v>
      </c>
    </row>
    <row r="174">
      <c r="A174" s="27">
        <v>135.2</v>
      </c>
    </row>
    <row r="175">
      <c r="A175" s="28" t="s">
        <v>224</v>
      </c>
    </row>
    <row r="176">
      <c r="A176" s="27" t="s">
        <v>231</v>
      </c>
    </row>
    <row r="177">
      <c r="A177" s="28" t="s">
        <v>232</v>
      </c>
    </row>
    <row r="178">
      <c r="A178" s="30" t="s">
        <v>233</v>
      </c>
    </row>
    <row r="179">
      <c r="A179" s="28" t="s">
        <v>225</v>
      </c>
    </row>
    <row r="180">
      <c r="A180" s="23">
        <v>17.0</v>
      </c>
    </row>
    <row r="181">
      <c r="A181" s="23" t="s">
        <v>298</v>
      </c>
    </row>
    <row r="182">
      <c r="A182" s="25" t="s">
        <v>252</v>
      </c>
    </row>
    <row r="183">
      <c r="A183" s="25" t="s">
        <v>299</v>
      </c>
    </row>
    <row r="184">
      <c r="A184" s="25" t="s">
        <v>254</v>
      </c>
    </row>
    <row r="185">
      <c r="A185" s="27">
        <v>130.4</v>
      </c>
    </row>
    <row r="186">
      <c r="A186" s="28" t="s">
        <v>224</v>
      </c>
    </row>
    <row r="187">
      <c r="A187" s="27" t="s">
        <v>231</v>
      </c>
    </row>
    <row r="188">
      <c r="A188" s="28" t="s">
        <v>232</v>
      </c>
    </row>
    <row r="189">
      <c r="A189" s="30" t="s">
        <v>233</v>
      </c>
    </row>
    <row r="190">
      <c r="A190" s="28" t="s">
        <v>225</v>
      </c>
    </row>
    <row r="191">
      <c r="A191" s="23">
        <v>18.0</v>
      </c>
    </row>
    <row r="192">
      <c r="A192" s="23" t="s">
        <v>301</v>
      </c>
    </row>
    <row r="193">
      <c r="A193" s="25" t="s">
        <v>302</v>
      </c>
    </row>
    <row r="194">
      <c r="A194" s="25" t="s">
        <v>304</v>
      </c>
    </row>
    <row r="195">
      <c r="A195" s="25" t="s">
        <v>254</v>
      </c>
    </row>
    <row r="196">
      <c r="A196" s="27">
        <v>216.4</v>
      </c>
    </row>
    <row r="197">
      <c r="A197" s="28" t="s">
        <v>224</v>
      </c>
    </row>
    <row r="198">
      <c r="A198" s="27" t="s">
        <v>231</v>
      </c>
    </row>
    <row r="199">
      <c r="A199" s="28" t="s">
        <v>232</v>
      </c>
    </row>
    <row r="200">
      <c r="A200" s="30" t="s">
        <v>233</v>
      </c>
    </row>
    <row r="201">
      <c r="A201" s="28" t="s">
        <v>225</v>
      </c>
    </row>
    <row r="202">
      <c r="A202" s="23">
        <v>19.0</v>
      </c>
    </row>
    <row r="203">
      <c r="A203" s="23" t="s">
        <v>305</v>
      </c>
    </row>
    <row r="204">
      <c r="A204" s="25" t="s">
        <v>267</v>
      </c>
    </row>
    <row r="205">
      <c r="A205" s="25" t="s">
        <v>306</v>
      </c>
    </row>
    <row r="206">
      <c r="A206" s="25" t="s">
        <v>244</v>
      </c>
    </row>
    <row r="207">
      <c r="A207" s="27">
        <v>315.0</v>
      </c>
    </row>
    <row r="208">
      <c r="A208" s="28" t="s">
        <v>224</v>
      </c>
    </row>
    <row r="209">
      <c r="A209" s="27" t="s">
        <v>231</v>
      </c>
    </row>
    <row r="210">
      <c r="A210" s="28" t="s">
        <v>232</v>
      </c>
    </row>
    <row r="211">
      <c r="A211" s="30" t="s">
        <v>233</v>
      </c>
    </row>
    <row r="212">
      <c r="A212" s="28" t="s">
        <v>225</v>
      </c>
    </row>
    <row r="213">
      <c r="A213" s="23">
        <v>20.0</v>
      </c>
    </row>
    <row r="214">
      <c r="A214" s="23" t="s">
        <v>309</v>
      </c>
    </row>
    <row r="215">
      <c r="A215" s="25" t="s">
        <v>236</v>
      </c>
    </row>
    <row r="216">
      <c r="A216" s="25" t="s">
        <v>310</v>
      </c>
    </row>
    <row r="217">
      <c r="A217" s="25" t="s">
        <v>238</v>
      </c>
    </row>
    <row r="218">
      <c r="A218" s="27">
        <v>152.1</v>
      </c>
    </row>
    <row r="219">
      <c r="A219" s="28" t="s">
        <v>224</v>
      </c>
    </row>
    <row r="220">
      <c r="A220" s="27" t="s">
        <v>231</v>
      </c>
    </row>
    <row r="221">
      <c r="A221" s="28" t="s">
        <v>232</v>
      </c>
    </row>
    <row r="222">
      <c r="A222" s="30" t="s">
        <v>233</v>
      </c>
    </row>
    <row r="223">
      <c r="A223" s="28" t="s">
        <v>225</v>
      </c>
    </row>
    <row r="224">
      <c r="A224" s="23">
        <v>21.0</v>
      </c>
    </row>
    <row r="225">
      <c r="A225" s="23" t="s">
        <v>368</v>
      </c>
    </row>
    <row r="226">
      <c r="A226" s="25" t="s">
        <v>227</v>
      </c>
    </row>
    <row r="227">
      <c r="A227" s="25" t="s">
        <v>370</v>
      </c>
    </row>
    <row r="228">
      <c r="A228" s="25" t="s">
        <v>229</v>
      </c>
    </row>
    <row r="229">
      <c r="A229" s="27">
        <v>239.1</v>
      </c>
    </row>
    <row r="230">
      <c r="A230" s="28" t="s">
        <v>224</v>
      </c>
    </row>
    <row r="231">
      <c r="A231" s="27" t="s">
        <v>231</v>
      </c>
    </row>
    <row r="232">
      <c r="A232" s="28" t="s">
        <v>232</v>
      </c>
    </row>
    <row r="233">
      <c r="A233" s="30" t="s">
        <v>233</v>
      </c>
    </row>
    <row r="234">
      <c r="A234" s="28" t="s">
        <v>225</v>
      </c>
    </row>
    <row r="235">
      <c r="A235" s="23">
        <v>22.0</v>
      </c>
    </row>
    <row r="236">
      <c r="A236" s="23" t="s">
        <v>312</v>
      </c>
    </row>
    <row r="237">
      <c r="A237" s="25" t="s">
        <v>314</v>
      </c>
    </row>
    <row r="238">
      <c r="A238" s="25" t="s">
        <v>315</v>
      </c>
    </row>
    <row r="239">
      <c r="A239" s="25" t="s">
        <v>244</v>
      </c>
    </row>
    <row r="240">
      <c r="A240" s="27">
        <v>206.3</v>
      </c>
    </row>
    <row r="241">
      <c r="A241" s="28" t="s">
        <v>224</v>
      </c>
    </row>
    <row r="242">
      <c r="A242" s="27" t="s">
        <v>231</v>
      </c>
    </row>
    <row r="243">
      <c r="A243" s="28" t="s">
        <v>232</v>
      </c>
    </row>
    <row r="244">
      <c r="A244" s="30" t="s">
        <v>233</v>
      </c>
    </row>
    <row r="245">
      <c r="A245" s="28" t="s">
        <v>225</v>
      </c>
    </row>
    <row r="246">
      <c r="A246" s="23">
        <v>23.0</v>
      </c>
    </row>
    <row r="247">
      <c r="A247" s="23" t="s">
        <v>316</v>
      </c>
    </row>
    <row r="248">
      <c r="A248" s="25" t="s">
        <v>317</v>
      </c>
    </row>
    <row r="249">
      <c r="A249" s="25" t="s">
        <v>318</v>
      </c>
    </row>
    <row r="250">
      <c r="A250" s="25" t="s">
        <v>265</v>
      </c>
    </row>
    <row r="251">
      <c r="A251" s="27">
        <v>232.5</v>
      </c>
    </row>
    <row r="252">
      <c r="A252" s="28" t="s">
        <v>224</v>
      </c>
    </row>
    <row r="253">
      <c r="A253" s="27" t="s">
        <v>231</v>
      </c>
    </row>
    <row r="254">
      <c r="A254" s="28" t="s">
        <v>232</v>
      </c>
    </row>
    <row r="255">
      <c r="A255" s="30" t="s">
        <v>233</v>
      </c>
    </row>
    <row r="256">
      <c r="A256" s="28" t="s">
        <v>225</v>
      </c>
    </row>
    <row r="257">
      <c r="A257" s="23">
        <v>24.0</v>
      </c>
    </row>
    <row r="258">
      <c r="A258" s="23" t="s">
        <v>321</v>
      </c>
    </row>
    <row r="259">
      <c r="A259" s="25" t="s">
        <v>322</v>
      </c>
    </row>
    <row r="260">
      <c r="A260" s="25" t="s">
        <v>323</v>
      </c>
    </row>
    <row r="261">
      <c r="A261" s="25" t="s">
        <v>324</v>
      </c>
    </row>
    <row r="262">
      <c r="A262" s="27">
        <v>223.7</v>
      </c>
    </row>
    <row r="263">
      <c r="A263" s="28" t="s">
        <v>224</v>
      </c>
    </row>
    <row r="264">
      <c r="A264" s="27" t="s">
        <v>231</v>
      </c>
    </row>
    <row r="265">
      <c r="A265" s="28" t="s">
        <v>232</v>
      </c>
    </row>
    <row r="266">
      <c r="A266" s="30" t="s">
        <v>233</v>
      </c>
    </row>
    <row r="267">
      <c r="A267" s="28" t="s">
        <v>225</v>
      </c>
    </row>
    <row r="268">
      <c r="A268" s="23">
        <v>25.0</v>
      </c>
    </row>
    <row r="269">
      <c r="A269" s="23" t="s">
        <v>326</v>
      </c>
    </row>
    <row r="270">
      <c r="A270" s="25" t="s">
        <v>328</v>
      </c>
    </row>
    <row r="271">
      <c r="A271" s="25" t="s">
        <v>329</v>
      </c>
    </row>
    <row r="272">
      <c r="A272" s="25" t="s">
        <v>330</v>
      </c>
    </row>
    <row r="273">
      <c r="A273" s="27">
        <v>184.0</v>
      </c>
    </row>
    <row r="274">
      <c r="A274" s="28" t="s">
        <v>224</v>
      </c>
    </row>
    <row r="275">
      <c r="A275" s="27" t="s">
        <v>231</v>
      </c>
    </row>
    <row r="276">
      <c r="A276" s="28" t="s">
        <v>232</v>
      </c>
    </row>
    <row r="277">
      <c r="A277" s="30" t="s">
        <v>233</v>
      </c>
    </row>
    <row r="278">
      <c r="A278" s="28" t="s">
        <v>225</v>
      </c>
    </row>
    <row r="279">
      <c r="A279" s="23">
        <v>26.0</v>
      </c>
    </row>
    <row r="280">
      <c r="A280" s="23" t="s">
        <v>331</v>
      </c>
    </row>
    <row r="281">
      <c r="A281" s="25" t="s">
        <v>332</v>
      </c>
    </row>
    <row r="282">
      <c r="A282" s="25" t="s">
        <v>333</v>
      </c>
    </row>
    <row r="283">
      <c r="A283" s="25" t="s">
        <v>248</v>
      </c>
    </row>
    <row r="284">
      <c r="A284" s="27">
        <v>188.3</v>
      </c>
    </row>
    <row r="285">
      <c r="A285" s="28" t="s">
        <v>224</v>
      </c>
    </row>
    <row r="286">
      <c r="A286" s="27" t="s">
        <v>231</v>
      </c>
    </row>
    <row r="287">
      <c r="A287" s="28" t="s">
        <v>232</v>
      </c>
    </row>
    <row r="288">
      <c r="A288" s="30" t="s">
        <v>233</v>
      </c>
    </row>
    <row r="289">
      <c r="A289" s="28" t="s">
        <v>225</v>
      </c>
    </row>
    <row r="290">
      <c r="A290" s="23">
        <v>27.0</v>
      </c>
    </row>
    <row r="291">
      <c r="A291" s="23" t="s">
        <v>336</v>
      </c>
    </row>
    <row r="292">
      <c r="A292" s="25" t="s">
        <v>293</v>
      </c>
    </row>
    <row r="293">
      <c r="A293" s="25" t="s">
        <v>337</v>
      </c>
    </row>
    <row r="294">
      <c r="A294" s="25" t="s">
        <v>296</v>
      </c>
    </row>
    <row r="295">
      <c r="A295" s="27">
        <v>338.8</v>
      </c>
    </row>
    <row r="296">
      <c r="A296" s="28" t="s">
        <v>224</v>
      </c>
    </row>
    <row r="297">
      <c r="A297" s="27" t="s">
        <v>231</v>
      </c>
    </row>
    <row r="298">
      <c r="A298" s="28" t="s">
        <v>232</v>
      </c>
    </row>
    <row r="299">
      <c r="A299" s="30" t="s">
        <v>233</v>
      </c>
    </row>
    <row r="300">
      <c r="A300" s="28" t="s">
        <v>225</v>
      </c>
    </row>
    <row r="301">
      <c r="A301" s="23">
        <v>28.0</v>
      </c>
    </row>
    <row r="302">
      <c r="A302" s="23" t="s">
        <v>343</v>
      </c>
    </row>
    <row r="303">
      <c r="A303" s="25" t="s">
        <v>328</v>
      </c>
    </row>
    <row r="304">
      <c r="A304" s="25" t="s">
        <v>344</v>
      </c>
    </row>
    <row r="305">
      <c r="A305" s="25" t="s">
        <v>330</v>
      </c>
    </row>
    <row r="306">
      <c r="A306" s="27">
        <v>999.0</v>
      </c>
    </row>
    <row r="307">
      <c r="A307" s="28" t="s">
        <v>224</v>
      </c>
    </row>
    <row r="308">
      <c r="A308" s="27" t="s">
        <v>231</v>
      </c>
    </row>
    <row r="309">
      <c r="A309" s="28" t="s">
        <v>232</v>
      </c>
    </row>
    <row r="310">
      <c r="A310" s="30" t="s">
        <v>233</v>
      </c>
    </row>
    <row r="311">
      <c r="A311" s="28" t="s">
        <v>225</v>
      </c>
    </row>
    <row r="312">
      <c r="A312" s="23">
        <v>29.0</v>
      </c>
    </row>
    <row r="313">
      <c r="A313" s="23" t="s">
        <v>347</v>
      </c>
    </row>
    <row r="314">
      <c r="A314" s="25" t="s">
        <v>348</v>
      </c>
    </row>
    <row r="315">
      <c r="A315" s="25" t="s">
        <v>349</v>
      </c>
    </row>
    <row r="316">
      <c r="A316" s="25" t="s">
        <v>296</v>
      </c>
    </row>
    <row r="317">
      <c r="A317" s="27">
        <v>276.7</v>
      </c>
    </row>
    <row r="318">
      <c r="A318" s="28" t="s">
        <v>224</v>
      </c>
    </row>
    <row r="319">
      <c r="A319" s="27" t="s">
        <v>231</v>
      </c>
    </row>
    <row r="320">
      <c r="A320" s="28" t="s">
        <v>232</v>
      </c>
    </row>
    <row r="321">
      <c r="A321" s="30" t="s">
        <v>233</v>
      </c>
    </row>
    <row r="322">
      <c r="A322" s="28" t="s">
        <v>225</v>
      </c>
    </row>
    <row r="323">
      <c r="A323" s="23">
        <v>30.0</v>
      </c>
    </row>
    <row r="324">
      <c r="A324" s="23" t="s">
        <v>350</v>
      </c>
    </row>
    <row r="325">
      <c r="A325" s="25" t="s">
        <v>317</v>
      </c>
    </row>
    <row r="326">
      <c r="A326" s="25" t="s">
        <v>352</v>
      </c>
    </row>
    <row r="327">
      <c r="A327" s="25" t="s">
        <v>265</v>
      </c>
    </row>
    <row r="328">
      <c r="A328" s="27">
        <v>289.1</v>
      </c>
    </row>
    <row r="329">
      <c r="A329" s="28" t="s">
        <v>224</v>
      </c>
    </row>
    <row r="330">
      <c r="A330" s="27" t="s">
        <v>231</v>
      </c>
    </row>
    <row r="331">
      <c r="A331" s="28" t="s">
        <v>232</v>
      </c>
    </row>
    <row r="332">
      <c r="A332" s="30" t="s">
        <v>233</v>
      </c>
    </row>
    <row r="333">
      <c r="A333" s="28" t="s">
        <v>225</v>
      </c>
    </row>
    <row r="334">
      <c r="A334" s="23">
        <v>31.0</v>
      </c>
    </row>
    <row r="335">
      <c r="A335" s="23" t="s">
        <v>418</v>
      </c>
    </row>
    <row r="336">
      <c r="A336" s="25" t="s">
        <v>282</v>
      </c>
    </row>
    <row r="337">
      <c r="A337" s="25" t="s">
        <v>419</v>
      </c>
    </row>
    <row r="338">
      <c r="A338" s="25" t="s">
        <v>238</v>
      </c>
    </row>
    <row r="339">
      <c r="A339" s="27">
        <v>247.0</v>
      </c>
    </row>
    <row r="340">
      <c r="A340" s="28" t="s">
        <v>224</v>
      </c>
    </row>
    <row r="341">
      <c r="A341" s="27" t="s">
        <v>231</v>
      </c>
    </row>
    <row r="342">
      <c r="A342" s="28" t="s">
        <v>232</v>
      </c>
    </row>
    <row r="343">
      <c r="A343" s="30" t="s">
        <v>233</v>
      </c>
    </row>
    <row r="344">
      <c r="A344" s="28" t="s">
        <v>225</v>
      </c>
    </row>
    <row r="345">
      <c r="A345" s="23">
        <v>32.0</v>
      </c>
    </row>
    <row r="346">
      <c r="A346" s="23" t="s">
        <v>354</v>
      </c>
    </row>
    <row r="347">
      <c r="A347" s="25" t="s">
        <v>317</v>
      </c>
    </row>
    <row r="348">
      <c r="A348" s="25" t="s">
        <v>355</v>
      </c>
    </row>
    <row r="349">
      <c r="A349" s="25" t="s">
        <v>265</v>
      </c>
    </row>
    <row r="350">
      <c r="A350" s="27">
        <v>157.1</v>
      </c>
    </row>
    <row r="351">
      <c r="A351" s="28" t="s">
        <v>224</v>
      </c>
    </row>
    <row r="352">
      <c r="A352" s="27" t="s">
        <v>231</v>
      </c>
    </row>
    <row r="353">
      <c r="A353" s="28" t="s">
        <v>232</v>
      </c>
    </row>
    <row r="354">
      <c r="A354" s="30" t="s">
        <v>233</v>
      </c>
    </row>
    <row r="355">
      <c r="A355" s="28" t="s">
        <v>225</v>
      </c>
    </row>
    <row r="356">
      <c r="A356" s="23">
        <v>33.0</v>
      </c>
    </row>
    <row r="357">
      <c r="A357" s="23" t="s">
        <v>358</v>
      </c>
    </row>
    <row r="358">
      <c r="A358" s="25" t="s">
        <v>359</v>
      </c>
    </row>
    <row r="359">
      <c r="A359" s="25" t="s">
        <v>360</v>
      </c>
    </row>
    <row r="360">
      <c r="A360" s="25" t="s">
        <v>330</v>
      </c>
    </row>
    <row r="361">
      <c r="A361" s="27">
        <v>164.2</v>
      </c>
    </row>
    <row r="362">
      <c r="A362" s="28" t="s">
        <v>224</v>
      </c>
    </row>
    <row r="363">
      <c r="A363" s="27" t="s">
        <v>231</v>
      </c>
    </row>
    <row r="364">
      <c r="A364" s="28" t="s">
        <v>232</v>
      </c>
    </row>
    <row r="365">
      <c r="A365" s="30" t="s">
        <v>233</v>
      </c>
    </row>
    <row r="366">
      <c r="A366" s="28" t="s">
        <v>225</v>
      </c>
    </row>
    <row r="367">
      <c r="A367" s="23">
        <v>34.0</v>
      </c>
    </row>
    <row r="368">
      <c r="A368" s="23" t="s">
        <v>365</v>
      </c>
    </row>
    <row r="369">
      <c r="A369" s="25" t="s">
        <v>322</v>
      </c>
    </row>
    <row r="370">
      <c r="A370" s="25" t="s">
        <v>366</v>
      </c>
    </row>
    <row r="371">
      <c r="A371" s="25" t="s">
        <v>324</v>
      </c>
    </row>
    <row r="372">
      <c r="A372" s="27">
        <v>200.2</v>
      </c>
    </row>
    <row r="373">
      <c r="A373" s="28" t="s">
        <v>224</v>
      </c>
    </row>
    <row r="374">
      <c r="A374" s="27" t="s">
        <v>231</v>
      </c>
    </row>
    <row r="375">
      <c r="A375" s="28" t="s">
        <v>232</v>
      </c>
    </row>
    <row r="376">
      <c r="A376" s="30" t="s">
        <v>233</v>
      </c>
    </row>
    <row r="377">
      <c r="A377" s="28" t="s">
        <v>225</v>
      </c>
    </row>
    <row r="378">
      <c r="A378" s="23">
        <v>35.0</v>
      </c>
    </row>
    <row r="379">
      <c r="A379" s="23" t="s">
        <v>361</v>
      </c>
    </row>
    <row r="380">
      <c r="A380" s="25" t="s">
        <v>340</v>
      </c>
    </row>
    <row r="381">
      <c r="A381" s="25" t="s">
        <v>362</v>
      </c>
    </row>
    <row r="382">
      <c r="A382" s="25" t="s">
        <v>248</v>
      </c>
    </row>
    <row r="383">
      <c r="A383" s="27">
        <v>252.1</v>
      </c>
    </row>
    <row r="384">
      <c r="A384" s="28" t="s">
        <v>224</v>
      </c>
    </row>
    <row r="385">
      <c r="A385" s="27" t="s">
        <v>231</v>
      </c>
    </row>
    <row r="386">
      <c r="A386" s="28" t="s">
        <v>232</v>
      </c>
    </row>
    <row r="387">
      <c r="A387" s="30" t="s">
        <v>233</v>
      </c>
    </row>
    <row r="388">
      <c r="A388" s="28" t="s">
        <v>225</v>
      </c>
    </row>
    <row r="389">
      <c r="A389" s="23">
        <v>36.0</v>
      </c>
    </row>
    <row r="390">
      <c r="A390" s="23" t="s">
        <v>371</v>
      </c>
    </row>
    <row r="391">
      <c r="A391" s="25" t="s">
        <v>242</v>
      </c>
    </row>
    <row r="392">
      <c r="A392" s="25" t="s">
        <v>372</v>
      </c>
    </row>
    <row r="393">
      <c r="A393" s="25" t="s">
        <v>244</v>
      </c>
    </row>
    <row r="394">
      <c r="A394" s="27">
        <v>285.0</v>
      </c>
    </row>
    <row r="395">
      <c r="A395" s="28" t="s">
        <v>224</v>
      </c>
    </row>
    <row r="396">
      <c r="A396" s="27" t="s">
        <v>231</v>
      </c>
    </row>
    <row r="397">
      <c r="A397" s="28" t="s">
        <v>232</v>
      </c>
    </row>
    <row r="398">
      <c r="A398" s="30" t="s">
        <v>233</v>
      </c>
    </row>
    <row r="399">
      <c r="A399" s="28" t="s">
        <v>225</v>
      </c>
    </row>
    <row r="400">
      <c r="A400" s="23">
        <v>37.0</v>
      </c>
    </row>
    <row r="401">
      <c r="A401" s="23" t="s">
        <v>375</v>
      </c>
    </row>
    <row r="402">
      <c r="A402" s="25" t="s">
        <v>376</v>
      </c>
    </row>
    <row r="403">
      <c r="A403" s="25" t="s">
        <v>377</v>
      </c>
    </row>
    <row r="404">
      <c r="A404" s="25" t="s">
        <v>324</v>
      </c>
    </row>
    <row r="405">
      <c r="A405" s="27">
        <v>244.0</v>
      </c>
    </row>
    <row r="406">
      <c r="A406" s="28" t="s">
        <v>224</v>
      </c>
    </row>
    <row r="407">
      <c r="A407" s="27" t="s">
        <v>231</v>
      </c>
    </row>
    <row r="408">
      <c r="A408" s="28" t="s">
        <v>232</v>
      </c>
    </row>
    <row r="409">
      <c r="A409" s="30" t="s">
        <v>233</v>
      </c>
    </row>
    <row r="410">
      <c r="A410" s="28" t="s">
        <v>225</v>
      </c>
    </row>
    <row r="411">
      <c r="A411" s="23">
        <v>38.0</v>
      </c>
    </row>
    <row r="412">
      <c r="A412" s="23" t="s">
        <v>380</v>
      </c>
    </row>
    <row r="413">
      <c r="A413" s="25" t="s">
        <v>381</v>
      </c>
    </row>
    <row r="414">
      <c r="A414" s="25" t="s">
        <v>382</v>
      </c>
    </row>
    <row r="415">
      <c r="A415" s="25" t="s">
        <v>265</v>
      </c>
    </row>
    <row r="416">
      <c r="A416" s="27">
        <v>321.6</v>
      </c>
    </row>
    <row r="417">
      <c r="A417" s="28" t="s">
        <v>224</v>
      </c>
    </row>
    <row r="418">
      <c r="A418" s="27" t="s">
        <v>231</v>
      </c>
    </row>
    <row r="419">
      <c r="A419" s="28" t="s">
        <v>232</v>
      </c>
    </row>
    <row r="420">
      <c r="A420" s="30" t="s">
        <v>233</v>
      </c>
    </row>
    <row r="421">
      <c r="A421" s="28" t="s">
        <v>225</v>
      </c>
    </row>
    <row r="422">
      <c r="A422" s="23">
        <v>39.0</v>
      </c>
    </row>
    <row r="423">
      <c r="A423" s="23" t="s">
        <v>451</v>
      </c>
    </row>
    <row r="424">
      <c r="A424" s="25" t="s">
        <v>262</v>
      </c>
    </row>
    <row r="425">
      <c r="A425" s="25" t="s">
        <v>452</v>
      </c>
    </row>
    <row r="426">
      <c r="A426" s="25" t="s">
        <v>265</v>
      </c>
    </row>
    <row r="427">
      <c r="A427" s="27">
        <v>265.1</v>
      </c>
    </row>
    <row r="428">
      <c r="A428" s="28" t="s">
        <v>224</v>
      </c>
    </row>
    <row r="429">
      <c r="A429" s="27" t="s">
        <v>231</v>
      </c>
    </row>
    <row r="430">
      <c r="A430" s="28" t="s">
        <v>232</v>
      </c>
    </row>
    <row r="431">
      <c r="A431" s="30" t="s">
        <v>233</v>
      </c>
    </row>
    <row r="432">
      <c r="A432" s="28" t="s">
        <v>225</v>
      </c>
    </row>
    <row r="433">
      <c r="A433" s="23">
        <v>40.0</v>
      </c>
    </row>
    <row r="434">
      <c r="A434" s="23" t="s">
        <v>383</v>
      </c>
    </row>
    <row r="435">
      <c r="A435" s="25" t="s">
        <v>286</v>
      </c>
    </row>
    <row r="436">
      <c r="A436" s="25" t="s">
        <v>385</v>
      </c>
    </row>
    <row r="437">
      <c r="A437" s="25" t="s">
        <v>254</v>
      </c>
    </row>
    <row r="438">
      <c r="A438" s="27">
        <v>327.1</v>
      </c>
    </row>
    <row r="439">
      <c r="A439" s="28" t="s">
        <v>224</v>
      </c>
    </row>
    <row r="440">
      <c r="A440" s="27" t="s">
        <v>231</v>
      </c>
    </row>
    <row r="441">
      <c r="A441" s="28" t="s">
        <v>232</v>
      </c>
    </row>
    <row r="442">
      <c r="A442" s="30" t="s">
        <v>233</v>
      </c>
    </row>
    <row r="443">
      <c r="A443" s="28" t="s">
        <v>225</v>
      </c>
    </row>
    <row r="444">
      <c r="A444" s="23">
        <v>41.0</v>
      </c>
    </row>
    <row r="445">
      <c r="A445" s="23" t="s">
        <v>387</v>
      </c>
    </row>
    <row r="446">
      <c r="A446" s="25" t="s">
        <v>242</v>
      </c>
    </row>
    <row r="447">
      <c r="A447" s="25" t="s">
        <v>388</v>
      </c>
    </row>
    <row r="448">
      <c r="A448" s="25" t="s">
        <v>244</v>
      </c>
    </row>
    <row r="449">
      <c r="A449" s="27">
        <v>319.8</v>
      </c>
    </row>
    <row r="450">
      <c r="A450" s="28" t="s">
        <v>224</v>
      </c>
    </row>
    <row r="451">
      <c r="A451" s="27" t="s">
        <v>231</v>
      </c>
    </row>
    <row r="452">
      <c r="A452" s="28" t="s">
        <v>232</v>
      </c>
    </row>
    <row r="453">
      <c r="A453" s="30" t="s">
        <v>233</v>
      </c>
    </row>
    <row r="454">
      <c r="A454" s="28" t="s">
        <v>225</v>
      </c>
    </row>
    <row r="455">
      <c r="A455" s="23">
        <v>42.0</v>
      </c>
    </row>
    <row r="456">
      <c r="A456" s="23" t="s">
        <v>391</v>
      </c>
    </row>
    <row r="457">
      <c r="A457" s="25" t="s">
        <v>392</v>
      </c>
    </row>
    <row r="458">
      <c r="A458" s="25" t="s">
        <v>393</v>
      </c>
    </row>
    <row r="459">
      <c r="A459" s="25" t="s">
        <v>324</v>
      </c>
    </row>
    <row r="460">
      <c r="A460" s="27">
        <v>283.1</v>
      </c>
    </row>
    <row r="461">
      <c r="A461" s="28" t="s">
        <v>224</v>
      </c>
    </row>
    <row r="462">
      <c r="A462" s="27" t="s">
        <v>231</v>
      </c>
    </row>
    <row r="463">
      <c r="A463" s="28" t="s">
        <v>232</v>
      </c>
    </row>
    <row r="464">
      <c r="A464" s="30" t="s">
        <v>233</v>
      </c>
    </row>
    <row r="465">
      <c r="A465" s="28" t="s">
        <v>225</v>
      </c>
    </row>
    <row r="466">
      <c r="A466" s="23">
        <v>43.0</v>
      </c>
    </row>
    <row r="467">
      <c r="A467" s="23" t="s">
        <v>395</v>
      </c>
    </row>
    <row r="468">
      <c r="A468" s="25" t="s">
        <v>396</v>
      </c>
    </row>
    <row r="469">
      <c r="A469" s="25" t="s">
        <v>397</v>
      </c>
    </row>
    <row r="470">
      <c r="A470" s="25" t="s">
        <v>254</v>
      </c>
    </row>
    <row r="471">
      <c r="A471" s="27">
        <v>999.0</v>
      </c>
    </row>
    <row r="472">
      <c r="A472" s="28" t="s">
        <v>224</v>
      </c>
    </row>
    <row r="473">
      <c r="A473" s="27" t="s">
        <v>231</v>
      </c>
    </row>
    <row r="474">
      <c r="A474" s="28" t="s">
        <v>232</v>
      </c>
    </row>
    <row r="475">
      <c r="A475" s="30" t="s">
        <v>233</v>
      </c>
    </row>
    <row r="476">
      <c r="A476" s="28" t="s">
        <v>225</v>
      </c>
    </row>
    <row r="477">
      <c r="A477" s="23">
        <v>44.0</v>
      </c>
    </row>
    <row r="478">
      <c r="A478" s="23" t="s">
        <v>399</v>
      </c>
    </row>
    <row r="479">
      <c r="A479" s="25" t="s">
        <v>282</v>
      </c>
    </row>
    <row r="480">
      <c r="A480" s="25" t="s">
        <v>400</v>
      </c>
    </row>
    <row r="481">
      <c r="A481" s="25" t="s">
        <v>238</v>
      </c>
    </row>
    <row r="482">
      <c r="A482" s="27">
        <v>320.7</v>
      </c>
    </row>
    <row r="483">
      <c r="A483" s="28" t="s">
        <v>224</v>
      </c>
    </row>
    <row r="484">
      <c r="A484" s="27" t="s">
        <v>231</v>
      </c>
    </row>
    <row r="485">
      <c r="A485" s="28" t="s">
        <v>232</v>
      </c>
    </row>
    <row r="486">
      <c r="A486" s="30" t="s">
        <v>233</v>
      </c>
    </row>
    <row r="487">
      <c r="A487" s="28" t="s">
        <v>225</v>
      </c>
    </row>
    <row r="488">
      <c r="A488" s="23">
        <v>45.0</v>
      </c>
    </row>
    <row r="489">
      <c r="A489" s="23" t="s">
        <v>661</v>
      </c>
    </row>
    <row r="490">
      <c r="A490" s="25" t="s">
        <v>252</v>
      </c>
    </row>
    <row r="491">
      <c r="A491" s="25" t="s">
        <v>662</v>
      </c>
    </row>
    <row r="492">
      <c r="A492" s="25" t="s">
        <v>254</v>
      </c>
    </row>
    <row r="493">
      <c r="A493" s="27">
        <v>347.3</v>
      </c>
    </row>
    <row r="494">
      <c r="A494" s="28" t="s">
        <v>224</v>
      </c>
    </row>
    <row r="495">
      <c r="A495" s="27" t="s">
        <v>231</v>
      </c>
    </row>
    <row r="496">
      <c r="A496" s="28" t="s">
        <v>232</v>
      </c>
    </row>
    <row r="497">
      <c r="A497" s="30" t="s">
        <v>233</v>
      </c>
    </row>
    <row r="498">
      <c r="A498" s="28" t="s">
        <v>225</v>
      </c>
    </row>
    <row r="499">
      <c r="A499" s="23">
        <v>46.0</v>
      </c>
    </row>
    <row r="500">
      <c r="A500" s="23" t="s">
        <v>665</v>
      </c>
    </row>
    <row r="501">
      <c r="A501" s="25" t="s">
        <v>258</v>
      </c>
    </row>
    <row r="502">
      <c r="A502" s="25" t="s">
        <v>666</v>
      </c>
    </row>
    <row r="503">
      <c r="A503" s="25" t="s">
        <v>248</v>
      </c>
    </row>
    <row r="504">
      <c r="A504" s="27">
        <v>328.4</v>
      </c>
    </row>
    <row r="505">
      <c r="A505" s="28" t="s">
        <v>224</v>
      </c>
    </row>
    <row r="506">
      <c r="A506" s="27" t="s">
        <v>231</v>
      </c>
    </row>
    <row r="507">
      <c r="A507" s="28" t="s">
        <v>232</v>
      </c>
    </row>
    <row r="508">
      <c r="A508" s="30" t="s">
        <v>233</v>
      </c>
    </row>
    <row r="509">
      <c r="A509" s="28" t="s">
        <v>225</v>
      </c>
    </row>
    <row r="510">
      <c r="A510" s="23">
        <v>47.0</v>
      </c>
    </row>
    <row r="511">
      <c r="A511" s="23" t="s">
        <v>667</v>
      </c>
    </row>
    <row r="512">
      <c r="A512" s="25" t="s">
        <v>328</v>
      </c>
    </row>
    <row r="513">
      <c r="A513" s="25" t="s">
        <v>668</v>
      </c>
    </row>
    <row r="514">
      <c r="A514" s="25" t="s">
        <v>330</v>
      </c>
    </row>
    <row r="515">
      <c r="A515" s="27">
        <v>246.2</v>
      </c>
    </row>
    <row r="516">
      <c r="A516" s="28" t="s">
        <v>224</v>
      </c>
    </row>
    <row r="517">
      <c r="A517" s="27" t="s">
        <v>231</v>
      </c>
    </row>
    <row r="518">
      <c r="A518" s="28" t="s">
        <v>232</v>
      </c>
    </row>
    <row r="519">
      <c r="A519" s="30" t="s">
        <v>233</v>
      </c>
    </row>
    <row r="520">
      <c r="A520" s="28" t="s">
        <v>225</v>
      </c>
    </row>
    <row r="521">
      <c r="A521" s="23">
        <v>48.0</v>
      </c>
    </row>
    <row r="522">
      <c r="A522" s="23" t="s">
        <v>403</v>
      </c>
    </row>
    <row r="523">
      <c r="A523" s="25" t="s">
        <v>227</v>
      </c>
    </row>
    <row r="524">
      <c r="A524" s="25" t="s">
        <v>404</v>
      </c>
    </row>
    <row r="525">
      <c r="A525" s="25" t="s">
        <v>229</v>
      </c>
    </row>
    <row r="526">
      <c r="A526" s="27">
        <v>344.6</v>
      </c>
    </row>
    <row r="527">
      <c r="A527" s="28" t="s">
        <v>224</v>
      </c>
    </row>
    <row r="528">
      <c r="A528" s="27" t="s">
        <v>231</v>
      </c>
    </row>
    <row r="529">
      <c r="A529" s="28" t="s">
        <v>232</v>
      </c>
    </row>
    <row r="530">
      <c r="A530" s="30" t="s">
        <v>233</v>
      </c>
    </row>
    <row r="531">
      <c r="A531" s="28" t="s">
        <v>225</v>
      </c>
    </row>
    <row r="532">
      <c r="A532" s="23">
        <v>49.0</v>
      </c>
    </row>
    <row r="533">
      <c r="A533" s="23" t="s">
        <v>407</v>
      </c>
    </row>
    <row r="534">
      <c r="A534" s="25" t="s">
        <v>408</v>
      </c>
    </row>
    <row r="535">
      <c r="A535" s="25" t="s">
        <v>409</v>
      </c>
    </row>
    <row r="536">
      <c r="A536" s="25" t="s">
        <v>248</v>
      </c>
    </row>
    <row r="537">
      <c r="A537" s="27">
        <v>312.4</v>
      </c>
    </row>
    <row r="538">
      <c r="A538" s="28" t="s">
        <v>224</v>
      </c>
    </row>
    <row r="539">
      <c r="A539" s="27" t="s">
        <v>231</v>
      </c>
    </row>
    <row r="540">
      <c r="A540" s="28" t="s">
        <v>232</v>
      </c>
    </row>
    <row r="541">
      <c r="A541" s="30" t="s">
        <v>233</v>
      </c>
    </row>
    <row r="542">
      <c r="A542" s="28" t="s">
        <v>225</v>
      </c>
    </row>
    <row r="543">
      <c r="A543" s="23">
        <v>50.0</v>
      </c>
    </row>
    <row r="544">
      <c r="A544" s="23" t="s">
        <v>414</v>
      </c>
    </row>
    <row r="545">
      <c r="A545" s="25" t="s">
        <v>293</v>
      </c>
    </row>
    <row r="546">
      <c r="A546" s="25" t="s">
        <v>415</v>
      </c>
    </row>
    <row r="547">
      <c r="A547" s="25" t="s">
        <v>296</v>
      </c>
    </row>
    <row r="548">
      <c r="A548" s="27">
        <v>270.6</v>
      </c>
    </row>
    <row r="549">
      <c r="A549" s="28" t="s">
        <v>224</v>
      </c>
    </row>
    <row r="550">
      <c r="A550" s="27" t="s">
        <v>231</v>
      </c>
    </row>
    <row r="551">
      <c r="A551" s="28" t="s">
        <v>232</v>
      </c>
    </row>
    <row r="552">
      <c r="A552" s="30" t="s">
        <v>233</v>
      </c>
    </row>
    <row r="553">
      <c r="A553" s="28" t="s">
        <v>225</v>
      </c>
    </row>
    <row r="554">
      <c r="A554" s="23">
        <v>51.0</v>
      </c>
    </row>
    <row r="555">
      <c r="A555" s="23" t="s">
        <v>410</v>
      </c>
    </row>
    <row r="556">
      <c r="A556" s="25" t="s">
        <v>408</v>
      </c>
    </row>
    <row r="557">
      <c r="A557" s="25" t="s">
        <v>412</v>
      </c>
    </row>
    <row r="558">
      <c r="A558" s="25" t="s">
        <v>248</v>
      </c>
    </row>
    <row r="559">
      <c r="A559" s="27">
        <v>325.3</v>
      </c>
    </row>
    <row r="560">
      <c r="A560" s="28" t="s">
        <v>224</v>
      </c>
    </row>
    <row r="561">
      <c r="A561" s="27" t="s">
        <v>231</v>
      </c>
    </row>
    <row r="562">
      <c r="A562" s="28" t="s">
        <v>232</v>
      </c>
    </row>
    <row r="563">
      <c r="A563" s="30" t="s">
        <v>233</v>
      </c>
    </row>
    <row r="564">
      <c r="A564" s="28" t="s">
        <v>225</v>
      </c>
    </row>
    <row r="565">
      <c r="A565" s="23">
        <v>52.0</v>
      </c>
    </row>
    <row r="566">
      <c r="A566" s="23" t="s">
        <v>420</v>
      </c>
    </row>
    <row r="567">
      <c r="A567" s="25" t="s">
        <v>422</v>
      </c>
    </row>
    <row r="568">
      <c r="A568" s="25" t="s">
        <v>423</v>
      </c>
    </row>
    <row r="569">
      <c r="A569" s="25" t="s">
        <v>296</v>
      </c>
    </row>
    <row r="570">
      <c r="A570" s="27">
        <v>999.0</v>
      </c>
    </row>
    <row r="571">
      <c r="A571" s="28" t="s">
        <v>224</v>
      </c>
    </row>
    <row r="572">
      <c r="A572" s="27" t="s">
        <v>231</v>
      </c>
    </row>
    <row r="573">
      <c r="A573" s="28" t="s">
        <v>232</v>
      </c>
    </row>
    <row r="574">
      <c r="A574" s="30" t="s">
        <v>233</v>
      </c>
    </row>
    <row r="575">
      <c r="A575" s="28" t="s">
        <v>225</v>
      </c>
    </row>
    <row r="576">
      <c r="A576" s="23">
        <v>53.0</v>
      </c>
    </row>
    <row r="577">
      <c r="A577" s="23" t="s">
        <v>425</v>
      </c>
    </row>
    <row r="578">
      <c r="A578" s="25" t="s">
        <v>278</v>
      </c>
    </row>
    <row r="579">
      <c r="A579" s="25" t="s">
        <v>426</v>
      </c>
    </row>
    <row r="580">
      <c r="A580" s="25" t="s">
        <v>265</v>
      </c>
    </row>
    <row r="581">
      <c r="A581" s="27">
        <v>341.4</v>
      </c>
    </row>
    <row r="582">
      <c r="A582" s="28" t="s">
        <v>224</v>
      </c>
    </row>
    <row r="583">
      <c r="A583" s="27" t="s">
        <v>231</v>
      </c>
    </row>
    <row r="584">
      <c r="A584" s="28" t="s">
        <v>232</v>
      </c>
    </row>
    <row r="585">
      <c r="A585" s="30" t="s">
        <v>233</v>
      </c>
    </row>
    <row r="586">
      <c r="A586" s="28" t="s">
        <v>225</v>
      </c>
    </row>
    <row r="587">
      <c r="A587" s="23">
        <v>54.0</v>
      </c>
    </row>
    <row r="588">
      <c r="A588" s="23" t="s">
        <v>429</v>
      </c>
    </row>
    <row r="589">
      <c r="A589" s="25" t="s">
        <v>293</v>
      </c>
    </row>
    <row r="590">
      <c r="A590" s="25" t="s">
        <v>430</v>
      </c>
    </row>
    <row r="591">
      <c r="A591" s="25" t="s">
        <v>296</v>
      </c>
    </row>
    <row r="592">
      <c r="A592" s="27">
        <v>999.0</v>
      </c>
    </row>
    <row r="593">
      <c r="A593" s="28" t="s">
        <v>224</v>
      </c>
    </row>
    <row r="594">
      <c r="A594" s="27" t="s">
        <v>231</v>
      </c>
    </row>
    <row r="595">
      <c r="A595" s="28" t="s">
        <v>232</v>
      </c>
    </row>
    <row r="596">
      <c r="A596" s="30" t="s">
        <v>233</v>
      </c>
    </row>
    <row r="597">
      <c r="A597" s="28" t="s">
        <v>225</v>
      </c>
    </row>
    <row r="598">
      <c r="A598" s="23">
        <v>55.0</v>
      </c>
    </row>
    <row r="599">
      <c r="A599" s="23" t="s">
        <v>432</v>
      </c>
    </row>
    <row r="600">
      <c r="A600" s="25" t="s">
        <v>433</v>
      </c>
    </row>
    <row r="601">
      <c r="A601" s="25" t="s">
        <v>435</v>
      </c>
    </row>
    <row r="602">
      <c r="A602" s="25" t="s">
        <v>324</v>
      </c>
    </row>
    <row r="603">
      <c r="A603" s="27">
        <v>327.5</v>
      </c>
    </row>
    <row r="604">
      <c r="A604" s="28" t="s">
        <v>224</v>
      </c>
    </row>
    <row r="605">
      <c r="A605" s="27" t="s">
        <v>231</v>
      </c>
    </row>
    <row r="606">
      <c r="A606" s="28" t="s">
        <v>232</v>
      </c>
    </row>
    <row r="607">
      <c r="A607" s="30" t="s">
        <v>233</v>
      </c>
    </row>
    <row r="608">
      <c r="A608" s="28" t="s">
        <v>225</v>
      </c>
    </row>
    <row r="609">
      <c r="A609" s="23">
        <v>56.0</v>
      </c>
    </row>
    <row r="610">
      <c r="A610" s="23" t="s">
        <v>436</v>
      </c>
    </row>
    <row r="611">
      <c r="A611" s="25" t="s">
        <v>340</v>
      </c>
    </row>
    <row r="612">
      <c r="A612" s="25" t="s">
        <v>437</v>
      </c>
    </row>
    <row r="613">
      <c r="A613" s="25" t="s">
        <v>248</v>
      </c>
    </row>
    <row r="614">
      <c r="A614" s="27">
        <v>320.0</v>
      </c>
    </row>
    <row r="615">
      <c r="A615" s="28" t="s">
        <v>224</v>
      </c>
    </row>
    <row r="616">
      <c r="A616" s="27" t="s">
        <v>231</v>
      </c>
    </row>
    <row r="617">
      <c r="A617" s="28" t="s">
        <v>232</v>
      </c>
    </row>
    <row r="618">
      <c r="A618" s="30" t="s">
        <v>233</v>
      </c>
    </row>
    <row r="619">
      <c r="A619" s="28" t="s">
        <v>225</v>
      </c>
    </row>
    <row r="620">
      <c r="A620" s="23">
        <v>57.0</v>
      </c>
    </row>
    <row r="621">
      <c r="A621" s="23" t="s">
        <v>440</v>
      </c>
    </row>
    <row r="622">
      <c r="A622" s="25" t="s">
        <v>441</v>
      </c>
    </row>
    <row r="623">
      <c r="A623" s="25" t="s">
        <v>442</v>
      </c>
    </row>
    <row r="624">
      <c r="A624" s="25" t="s">
        <v>244</v>
      </c>
    </row>
    <row r="625">
      <c r="A625" s="27">
        <v>334.7</v>
      </c>
    </row>
    <row r="626">
      <c r="A626" s="28" t="s">
        <v>224</v>
      </c>
    </row>
    <row r="627">
      <c r="A627" s="27" t="s">
        <v>231</v>
      </c>
    </row>
    <row r="628">
      <c r="A628" s="28" t="s">
        <v>232</v>
      </c>
    </row>
    <row r="629">
      <c r="A629" s="30" t="s">
        <v>233</v>
      </c>
    </row>
    <row r="630">
      <c r="A630" s="28" t="s">
        <v>225</v>
      </c>
    </row>
    <row r="631">
      <c r="A631" s="23">
        <v>58.0</v>
      </c>
    </row>
    <row r="632">
      <c r="A632" s="23" t="s">
        <v>443</v>
      </c>
    </row>
    <row r="633">
      <c r="A633" s="25" t="s">
        <v>242</v>
      </c>
    </row>
    <row r="634">
      <c r="A634" s="25" t="s">
        <v>444</v>
      </c>
    </row>
    <row r="635">
      <c r="A635" s="25" t="s">
        <v>244</v>
      </c>
    </row>
    <row r="636">
      <c r="A636" s="27">
        <v>999.0</v>
      </c>
    </row>
    <row r="637">
      <c r="A637" s="28" t="s">
        <v>224</v>
      </c>
    </row>
    <row r="638">
      <c r="A638" s="27" t="s">
        <v>231</v>
      </c>
    </row>
    <row r="639">
      <c r="A639" s="28" t="s">
        <v>232</v>
      </c>
    </row>
    <row r="640">
      <c r="A640" s="30" t="s">
        <v>233</v>
      </c>
    </row>
    <row r="641">
      <c r="A641" s="28" t="s">
        <v>225</v>
      </c>
    </row>
    <row r="642">
      <c r="A642" s="23">
        <v>59.0</v>
      </c>
    </row>
    <row r="643">
      <c r="A643" s="23" t="s">
        <v>683</v>
      </c>
    </row>
    <row r="644">
      <c r="A644" s="25" t="s">
        <v>322</v>
      </c>
    </row>
    <row r="645">
      <c r="A645" s="25" t="s">
        <v>684</v>
      </c>
    </row>
    <row r="646">
      <c r="A646" s="25" t="s">
        <v>324</v>
      </c>
    </row>
    <row r="647">
      <c r="A647" s="27">
        <v>999.0</v>
      </c>
    </row>
    <row r="648">
      <c r="A648" s="28" t="s">
        <v>224</v>
      </c>
    </row>
    <row r="649">
      <c r="A649" s="27" t="s">
        <v>231</v>
      </c>
    </row>
    <row r="650">
      <c r="A650" s="28" t="s">
        <v>232</v>
      </c>
    </row>
    <row r="651">
      <c r="A651" s="30" t="s">
        <v>233</v>
      </c>
    </row>
    <row r="652">
      <c r="A652" s="28" t="s">
        <v>225</v>
      </c>
    </row>
    <row r="653">
      <c r="A653" s="23">
        <v>60.0</v>
      </c>
    </row>
    <row r="654">
      <c r="A654" s="23" t="s">
        <v>445</v>
      </c>
    </row>
    <row r="655">
      <c r="A655" s="25" t="s">
        <v>282</v>
      </c>
    </row>
    <row r="656">
      <c r="A656" s="25" t="s">
        <v>446</v>
      </c>
    </row>
    <row r="657">
      <c r="A657" s="25" t="s">
        <v>238</v>
      </c>
    </row>
    <row r="658">
      <c r="A658" s="27">
        <v>999.0</v>
      </c>
    </row>
    <row r="659">
      <c r="A659" s="28" t="s">
        <v>224</v>
      </c>
    </row>
    <row r="660">
      <c r="A660" s="27" t="s">
        <v>231</v>
      </c>
    </row>
    <row r="661">
      <c r="A661" s="28" t="s">
        <v>232</v>
      </c>
    </row>
    <row r="662">
      <c r="A662" s="30" t="s">
        <v>233</v>
      </c>
    </row>
    <row r="663">
      <c r="A663" s="28" t="s">
        <v>225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/>
      <c r="B1" s="26"/>
      <c r="C1" s="29" t="s">
        <v>623</v>
      </c>
    </row>
    <row r="2">
      <c r="A2" s="9" t="s">
        <v>457</v>
      </c>
      <c r="B2" s="10" t="s">
        <v>458</v>
      </c>
      <c r="C2" s="11" t="s">
        <v>224</v>
      </c>
      <c r="D2" s="9" t="s">
        <v>459</v>
      </c>
      <c r="E2" s="9" t="s">
        <v>460</v>
      </c>
      <c r="F2" s="9" t="s">
        <v>461</v>
      </c>
    </row>
    <row r="3">
      <c r="A3" s="12">
        <v>1.0</v>
      </c>
      <c r="B3" s="13" t="s">
        <v>625</v>
      </c>
      <c r="C3" s="14">
        <v>1.0</v>
      </c>
      <c r="D3" s="12" t="s">
        <v>6</v>
      </c>
      <c r="E3" s="15">
        <f t="shared" ref="E3:E5" si="1">+0</f>
        <v>0</v>
      </c>
      <c r="F3" s="16"/>
    </row>
    <row r="4">
      <c r="A4" s="12">
        <v>2.0</v>
      </c>
      <c r="B4" s="13" t="s">
        <v>627</v>
      </c>
      <c r="C4" s="14">
        <v>2.0</v>
      </c>
      <c r="D4" s="12" t="s">
        <v>9</v>
      </c>
      <c r="E4" s="15">
        <f t="shared" si="1"/>
        <v>0</v>
      </c>
      <c r="F4" s="16"/>
    </row>
    <row r="5">
      <c r="A5" s="12">
        <v>3.0</v>
      </c>
      <c r="B5" s="13" t="s">
        <v>629</v>
      </c>
      <c r="C5" s="14">
        <v>3.0</v>
      </c>
      <c r="D5" s="12" t="s">
        <v>15</v>
      </c>
      <c r="E5" s="15">
        <f t="shared" si="1"/>
        <v>0</v>
      </c>
      <c r="F5" s="16"/>
    </row>
    <row r="6">
      <c r="A6" s="12">
        <v>4.0</v>
      </c>
      <c r="B6" s="13" t="s">
        <v>632</v>
      </c>
      <c r="C6" s="14">
        <v>6.0</v>
      </c>
      <c r="D6" s="12" t="s">
        <v>18</v>
      </c>
      <c r="E6" s="18">
        <f>+2</f>
        <v>2</v>
      </c>
      <c r="F6" s="16"/>
    </row>
    <row r="7">
      <c r="A7" s="12">
        <v>5.0</v>
      </c>
      <c r="B7" s="13" t="s">
        <v>633</v>
      </c>
      <c r="C7" s="14">
        <v>4.0</v>
      </c>
      <c r="D7" s="12" t="s">
        <v>12</v>
      </c>
      <c r="E7" s="17">
        <v>-1.0</v>
      </c>
      <c r="F7" s="16"/>
    </row>
    <row r="8">
      <c r="A8" s="12">
        <v>6.0</v>
      </c>
      <c r="B8" s="13" t="s">
        <v>634</v>
      </c>
      <c r="C8" s="14">
        <v>13.0</v>
      </c>
      <c r="D8" s="12" t="s">
        <v>45</v>
      </c>
      <c r="E8" s="18">
        <f t="shared" ref="E8:E9" si="2">+7</f>
        <v>7</v>
      </c>
      <c r="F8" s="16"/>
    </row>
    <row r="9">
      <c r="A9" s="12">
        <v>7.0</v>
      </c>
      <c r="B9" s="13" t="s">
        <v>635</v>
      </c>
      <c r="C9" s="14">
        <v>14.0</v>
      </c>
      <c r="D9" s="12" t="s">
        <v>27</v>
      </c>
      <c r="E9" s="18">
        <f t="shared" si="2"/>
        <v>7</v>
      </c>
      <c r="F9" s="16"/>
    </row>
    <row r="10">
      <c r="A10" s="12">
        <v>8.0</v>
      </c>
      <c r="B10" s="13" t="s">
        <v>636</v>
      </c>
      <c r="C10" s="14">
        <v>10.0</v>
      </c>
      <c r="D10" s="12" t="s">
        <v>36</v>
      </c>
      <c r="E10" s="18">
        <f>+2</f>
        <v>2</v>
      </c>
      <c r="F10" s="16"/>
    </row>
    <row r="11">
      <c r="A11" s="12">
        <v>9.0</v>
      </c>
      <c r="B11" s="13" t="s">
        <v>637</v>
      </c>
      <c r="C11" s="14">
        <v>20.0</v>
      </c>
      <c r="D11" s="12" t="s">
        <v>39</v>
      </c>
      <c r="E11" s="18">
        <f t="shared" ref="E11:E12" si="3">+11</f>
        <v>11</v>
      </c>
      <c r="F11" s="16"/>
    </row>
    <row r="12">
      <c r="A12" s="12">
        <v>10.0</v>
      </c>
      <c r="B12" s="13" t="s">
        <v>638</v>
      </c>
      <c r="C12" s="14">
        <v>21.0</v>
      </c>
      <c r="D12" s="12" t="s">
        <v>60</v>
      </c>
      <c r="E12" s="18">
        <f t="shared" si="3"/>
        <v>11</v>
      </c>
      <c r="F12" s="16"/>
    </row>
    <row r="13">
      <c r="A13" s="12">
        <v>11.0</v>
      </c>
      <c r="B13" s="13" t="s">
        <v>639</v>
      </c>
      <c r="C13" s="14">
        <v>7.0</v>
      </c>
      <c r="D13" s="12" t="s">
        <v>21</v>
      </c>
      <c r="E13" s="17">
        <v>-4.0</v>
      </c>
      <c r="F13" s="16"/>
    </row>
    <row r="14">
      <c r="A14" s="12">
        <v>12.0</v>
      </c>
      <c r="B14" s="13" t="s">
        <v>640</v>
      </c>
      <c r="C14" s="14">
        <v>9.0</v>
      </c>
      <c r="D14" s="12" t="s">
        <v>24</v>
      </c>
      <c r="E14" s="17">
        <v>-3.0</v>
      </c>
      <c r="F14" s="16"/>
    </row>
    <row r="15">
      <c r="A15" s="12">
        <v>13.0</v>
      </c>
      <c r="B15" s="13" t="s">
        <v>641</v>
      </c>
      <c r="C15" s="14">
        <v>18.0</v>
      </c>
      <c r="D15" s="12" t="s">
        <v>57</v>
      </c>
      <c r="E15" s="18">
        <f>+5</f>
        <v>5</v>
      </c>
      <c r="F15" s="16"/>
    </row>
    <row r="16">
      <c r="A16" s="12">
        <v>14.0</v>
      </c>
      <c r="B16" s="13" t="s">
        <v>643</v>
      </c>
      <c r="C16" s="14">
        <v>22.0</v>
      </c>
      <c r="D16" s="12" t="s">
        <v>42</v>
      </c>
      <c r="E16" s="18">
        <f>+8</f>
        <v>8</v>
      </c>
      <c r="F16" s="16"/>
    </row>
    <row r="17">
      <c r="A17" s="12">
        <v>15.0</v>
      </c>
      <c r="B17" s="13" t="s">
        <v>645</v>
      </c>
      <c r="C17" s="14">
        <v>17.0</v>
      </c>
      <c r="D17" s="12" t="s">
        <v>48</v>
      </c>
      <c r="E17" s="18">
        <f>+2</f>
        <v>2</v>
      </c>
      <c r="F17" s="16"/>
    </row>
    <row r="18">
      <c r="A18" s="12">
        <v>16.0</v>
      </c>
      <c r="B18" s="13" t="s">
        <v>647</v>
      </c>
      <c r="C18" s="14">
        <v>28.0</v>
      </c>
      <c r="D18" s="12" t="s">
        <v>66</v>
      </c>
      <c r="E18" s="18">
        <f>+12</f>
        <v>12</v>
      </c>
      <c r="F18" s="16"/>
    </row>
    <row r="19">
      <c r="A19" s="12">
        <v>17.0</v>
      </c>
      <c r="B19" s="13" t="s">
        <v>649</v>
      </c>
      <c r="C19" s="14">
        <v>12.0</v>
      </c>
      <c r="D19" s="12" t="s">
        <v>30</v>
      </c>
      <c r="E19" s="17">
        <v>-5.0</v>
      </c>
      <c r="F19" s="16"/>
    </row>
    <row r="20">
      <c r="A20" s="12">
        <v>18.0</v>
      </c>
      <c r="B20" s="13" t="s">
        <v>651</v>
      </c>
      <c r="C20" s="14">
        <v>15.0</v>
      </c>
      <c r="D20" s="12" t="s">
        <v>63</v>
      </c>
      <c r="E20" s="17">
        <v>-3.0</v>
      </c>
      <c r="F20" s="16"/>
    </row>
    <row r="21">
      <c r="A21" s="12">
        <v>19.0</v>
      </c>
      <c r="B21" s="13" t="s">
        <v>653</v>
      </c>
      <c r="C21" s="14">
        <v>24.0</v>
      </c>
      <c r="D21" s="12" t="s">
        <v>51</v>
      </c>
      <c r="E21" s="18">
        <f>+5</f>
        <v>5</v>
      </c>
      <c r="F21" s="16"/>
    </row>
    <row r="22">
      <c r="A22" s="12">
        <v>20.0</v>
      </c>
      <c r="B22" s="13" t="s">
        <v>655</v>
      </c>
      <c r="C22" s="14">
        <v>23.0</v>
      </c>
      <c r="D22" s="12" t="s">
        <v>75</v>
      </c>
      <c r="E22" s="18">
        <f>+3</f>
        <v>3</v>
      </c>
      <c r="F22" s="16"/>
    </row>
    <row r="23">
      <c r="A23" s="12">
        <v>21.0</v>
      </c>
      <c r="B23" s="13" t="s">
        <v>657</v>
      </c>
      <c r="C23" s="14">
        <v>27.0</v>
      </c>
      <c r="D23" s="12" t="s">
        <v>54</v>
      </c>
      <c r="E23" s="18">
        <f>+6</f>
        <v>6</v>
      </c>
      <c r="F23" s="16"/>
    </row>
    <row r="24">
      <c r="A24" s="12">
        <v>22.0</v>
      </c>
      <c r="B24" s="13" t="s">
        <v>659</v>
      </c>
      <c r="C24" s="14">
        <v>36.0</v>
      </c>
      <c r="D24" s="12" t="s">
        <v>121</v>
      </c>
      <c r="E24" s="18">
        <f>+14</f>
        <v>14</v>
      </c>
      <c r="F24" s="16"/>
    </row>
    <row r="25">
      <c r="A25" s="12">
        <v>23.0</v>
      </c>
      <c r="B25" s="13" t="s">
        <v>664</v>
      </c>
      <c r="C25" s="14">
        <v>5.0</v>
      </c>
      <c r="D25" s="12" t="s">
        <v>33</v>
      </c>
      <c r="E25" s="17">
        <v>-18.0</v>
      </c>
      <c r="F25" s="16"/>
    </row>
    <row r="26">
      <c r="A26" s="12">
        <v>24.0</v>
      </c>
      <c r="B26" s="13" t="s">
        <v>670</v>
      </c>
      <c r="C26" s="14">
        <v>31.0</v>
      </c>
      <c r="D26" s="12" t="s">
        <v>78</v>
      </c>
      <c r="E26" s="18">
        <f>+7</f>
        <v>7</v>
      </c>
      <c r="F26" s="16"/>
    </row>
    <row r="27">
      <c r="A27" s="12">
        <v>25.0</v>
      </c>
      <c r="B27" s="13" t="s">
        <v>672</v>
      </c>
      <c r="C27" s="14">
        <v>30.0</v>
      </c>
      <c r="D27" s="12" t="s">
        <v>72</v>
      </c>
      <c r="E27" s="18">
        <f>+5</f>
        <v>5</v>
      </c>
      <c r="F27" s="16"/>
    </row>
    <row r="28">
      <c r="A28" s="12">
        <v>26.0</v>
      </c>
      <c r="B28" s="13" t="s">
        <v>674</v>
      </c>
      <c r="C28" s="14">
        <v>34.0</v>
      </c>
      <c r="D28" s="12" t="s">
        <v>119</v>
      </c>
      <c r="E28" s="18">
        <f>+8</f>
        <v>8</v>
      </c>
      <c r="F28" s="16"/>
    </row>
    <row r="29">
      <c r="A29" s="12">
        <v>27.0</v>
      </c>
      <c r="B29" s="13" t="s">
        <v>676</v>
      </c>
      <c r="C29" s="14">
        <v>37.0</v>
      </c>
      <c r="D29" s="12" t="s">
        <v>129</v>
      </c>
      <c r="E29" s="18">
        <f>+10</f>
        <v>10</v>
      </c>
      <c r="F29" s="16"/>
    </row>
    <row r="30">
      <c r="A30" s="12">
        <v>28.0</v>
      </c>
      <c r="B30" s="13" t="s">
        <v>679</v>
      </c>
      <c r="C30" s="14">
        <v>42.0</v>
      </c>
      <c r="D30" s="12" t="s">
        <v>135</v>
      </c>
      <c r="E30" s="18">
        <f>+14</f>
        <v>14</v>
      </c>
      <c r="F30" s="16"/>
    </row>
    <row r="31">
      <c r="A31" s="12">
        <v>29.0</v>
      </c>
      <c r="B31" s="13" t="s">
        <v>681</v>
      </c>
      <c r="C31" s="14">
        <v>25.0</v>
      </c>
      <c r="D31" s="12" t="s">
        <v>103</v>
      </c>
      <c r="E31" s="17">
        <v>-4.0</v>
      </c>
      <c r="F31" s="16"/>
    </row>
    <row r="32">
      <c r="A32" s="12">
        <v>30.0</v>
      </c>
      <c r="B32" s="13" t="s">
        <v>682</v>
      </c>
      <c r="C32" s="14">
        <v>45.0</v>
      </c>
      <c r="D32" s="12" t="s">
        <v>159</v>
      </c>
      <c r="E32" s="18">
        <f>+15</f>
        <v>15</v>
      </c>
      <c r="F32" s="16"/>
    </row>
    <row r="33">
      <c r="A33" s="12">
        <v>31.0</v>
      </c>
      <c r="B33" s="13" t="s">
        <v>685</v>
      </c>
      <c r="C33" s="14">
        <v>8.0</v>
      </c>
      <c r="D33" s="12" t="s">
        <v>90</v>
      </c>
      <c r="E33" s="17">
        <v>-23.0</v>
      </c>
      <c r="F33" s="16"/>
    </row>
    <row r="34">
      <c r="A34" s="12">
        <v>32.0</v>
      </c>
      <c r="B34" s="13" t="s">
        <v>686</v>
      </c>
      <c r="C34" s="14">
        <v>61.0</v>
      </c>
      <c r="D34" s="12" t="s">
        <v>127</v>
      </c>
      <c r="E34" s="18">
        <f>+29</f>
        <v>29</v>
      </c>
      <c r="F34" s="16"/>
    </row>
    <row r="35">
      <c r="A35" s="12">
        <v>33.0</v>
      </c>
      <c r="B35" s="13" t="s">
        <v>687</v>
      </c>
      <c r="C35" s="14">
        <v>29.0</v>
      </c>
      <c r="D35" s="12" t="s">
        <v>69</v>
      </c>
      <c r="E35" s="17">
        <v>-4.0</v>
      </c>
      <c r="F35" s="16"/>
    </row>
    <row r="36">
      <c r="A36" s="12">
        <v>34.0</v>
      </c>
      <c r="B36" s="13" t="s">
        <v>688</v>
      </c>
      <c r="C36" s="14">
        <v>56.0</v>
      </c>
      <c r="D36" s="12" t="s">
        <v>115</v>
      </c>
      <c r="E36" s="18">
        <f>+22</f>
        <v>22</v>
      </c>
      <c r="F36" s="16"/>
    </row>
    <row r="37">
      <c r="A37" s="12">
        <v>35.0</v>
      </c>
      <c r="B37" s="13" t="s">
        <v>690</v>
      </c>
      <c r="C37" s="14">
        <v>48.0</v>
      </c>
      <c r="D37" s="12" t="s">
        <v>107</v>
      </c>
      <c r="E37" s="18">
        <f>+13</f>
        <v>13</v>
      </c>
      <c r="F37" s="16"/>
    </row>
    <row r="38">
      <c r="A38" s="12">
        <v>36.0</v>
      </c>
      <c r="B38" s="13" t="s">
        <v>694</v>
      </c>
      <c r="C38" s="14">
        <v>43.0</v>
      </c>
      <c r="D38" s="12" t="s">
        <v>96</v>
      </c>
      <c r="E38" s="18">
        <f>+7</f>
        <v>7</v>
      </c>
      <c r="F38" s="16"/>
    </row>
    <row r="39">
      <c r="A39" s="12">
        <v>37.0</v>
      </c>
      <c r="B39" s="13" t="s">
        <v>697</v>
      </c>
      <c r="C39" s="14">
        <v>62.0</v>
      </c>
      <c r="D39" s="12" t="s">
        <v>137</v>
      </c>
      <c r="E39" s="18">
        <f>+25</f>
        <v>25</v>
      </c>
      <c r="F39" s="16"/>
    </row>
    <row r="40">
      <c r="A40" s="12">
        <v>38.0</v>
      </c>
      <c r="B40" s="13" t="s">
        <v>702</v>
      </c>
      <c r="C40" s="14">
        <v>16.0</v>
      </c>
      <c r="D40" s="12" t="s">
        <v>123</v>
      </c>
      <c r="E40" s="17">
        <v>-22.0</v>
      </c>
      <c r="F40" s="16"/>
    </row>
    <row r="41">
      <c r="A41" s="12">
        <v>39.0</v>
      </c>
      <c r="B41" s="13" t="s">
        <v>706</v>
      </c>
      <c r="C41" s="14">
        <v>38.0</v>
      </c>
      <c r="D41" s="12" t="s">
        <v>84</v>
      </c>
      <c r="E41" s="17">
        <v>-1.0</v>
      </c>
      <c r="F41" s="16"/>
    </row>
    <row r="42">
      <c r="A42" s="12">
        <v>40.0</v>
      </c>
      <c r="B42" s="13" t="s">
        <v>709</v>
      </c>
      <c r="C42" s="14">
        <v>35.0</v>
      </c>
      <c r="D42" s="12" t="s">
        <v>81</v>
      </c>
      <c r="E42" s="17">
        <v>-5.0</v>
      </c>
      <c r="F42" s="16"/>
    </row>
    <row r="43">
      <c r="A43" s="12">
        <v>41.0</v>
      </c>
      <c r="B43" s="13" t="s">
        <v>712</v>
      </c>
      <c r="C43" s="14">
        <v>66.0</v>
      </c>
      <c r="D43" s="12" t="s">
        <v>139</v>
      </c>
      <c r="E43" s="18">
        <f>+25</f>
        <v>25</v>
      </c>
      <c r="F43" s="16"/>
    </row>
    <row r="44">
      <c r="A44" s="12">
        <v>42.0</v>
      </c>
      <c r="B44" s="13" t="s">
        <v>716</v>
      </c>
      <c r="C44" s="14">
        <v>58.0</v>
      </c>
      <c r="D44" s="12" t="s">
        <v>199</v>
      </c>
      <c r="E44" s="18">
        <f>+16</f>
        <v>16</v>
      </c>
      <c r="F44" s="16"/>
    </row>
    <row r="45">
      <c r="A45" s="12">
        <v>43.0</v>
      </c>
      <c r="B45" s="13" t="s">
        <v>720</v>
      </c>
      <c r="C45" s="14">
        <v>41.0</v>
      </c>
      <c r="D45" s="12" t="s">
        <v>87</v>
      </c>
      <c r="E45" s="17">
        <v>-2.0</v>
      </c>
      <c r="F45" s="16"/>
    </row>
    <row r="46">
      <c r="A46" s="12">
        <v>44.0</v>
      </c>
      <c r="B46" s="13" t="s">
        <v>723</v>
      </c>
      <c r="C46" s="14">
        <v>54.0</v>
      </c>
      <c r="D46" s="12" t="s">
        <v>113</v>
      </c>
      <c r="E46" s="18">
        <f>+10</f>
        <v>10</v>
      </c>
      <c r="F46" s="16"/>
    </row>
    <row r="47">
      <c r="A47" s="12">
        <v>45.0</v>
      </c>
      <c r="B47" s="13" t="s">
        <v>727</v>
      </c>
      <c r="C47" s="14">
        <v>33.0</v>
      </c>
      <c r="D47" s="12" t="s">
        <v>92</v>
      </c>
      <c r="E47" s="17">
        <v>-12.0</v>
      </c>
      <c r="F47" s="16"/>
    </row>
    <row r="48">
      <c r="A48" s="12">
        <v>46.0</v>
      </c>
      <c r="B48" s="13" t="s">
        <v>730</v>
      </c>
      <c r="C48" s="14">
        <v>72.0</v>
      </c>
      <c r="D48" s="12" t="s">
        <v>157</v>
      </c>
      <c r="E48" s="18">
        <f>+26</f>
        <v>26</v>
      </c>
      <c r="F48" s="16"/>
    </row>
    <row r="49">
      <c r="A49" s="12">
        <v>47.0</v>
      </c>
      <c r="B49" s="13" t="s">
        <v>735</v>
      </c>
      <c r="C49" s="14">
        <v>40.0</v>
      </c>
      <c r="D49" s="12" t="s">
        <v>131</v>
      </c>
      <c r="E49" s="17">
        <v>-7.0</v>
      </c>
      <c r="F49" s="16"/>
    </row>
    <row r="50">
      <c r="A50" s="12">
        <v>48.0</v>
      </c>
      <c r="B50" s="13" t="s">
        <v>737</v>
      </c>
      <c r="C50" s="14">
        <v>68.0</v>
      </c>
      <c r="D50" s="12" t="s">
        <v>153</v>
      </c>
      <c r="E50" s="18">
        <f>+20</f>
        <v>20</v>
      </c>
      <c r="F50" s="16"/>
    </row>
    <row r="51">
      <c r="A51" s="12">
        <v>49.0</v>
      </c>
      <c r="B51" s="13" t="s">
        <v>741</v>
      </c>
      <c r="C51" s="14">
        <v>46.0</v>
      </c>
      <c r="D51" s="12" t="s">
        <v>98</v>
      </c>
      <c r="E51" s="17">
        <v>-3.0</v>
      </c>
      <c r="F51" s="16"/>
    </row>
    <row r="52">
      <c r="A52" s="12">
        <v>52.0</v>
      </c>
      <c r="B52" s="13" t="s">
        <v>745</v>
      </c>
      <c r="C52" s="14">
        <v>53.0</v>
      </c>
      <c r="D52" s="12" t="s">
        <v>161</v>
      </c>
      <c r="E52" s="18">
        <f>+1</f>
        <v>1</v>
      </c>
      <c r="F52" s="16"/>
    </row>
    <row r="53">
      <c r="A53" s="12">
        <v>53.0</v>
      </c>
      <c r="B53" s="13" t="s">
        <v>749</v>
      </c>
      <c r="C53" s="14">
        <v>32.0</v>
      </c>
      <c r="D53" s="12" t="s">
        <v>105</v>
      </c>
      <c r="E53" s="17">
        <v>-21.0</v>
      </c>
      <c r="F53" s="16"/>
    </row>
    <row r="54">
      <c r="A54" s="12">
        <v>54.0</v>
      </c>
      <c r="B54" s="13" t="s">
        <v>752</v>
      </c>
      <c r="C54" s="14">
        <v>39.0</v>
      </c>
      <c r="D54" s="12" t="s">
        <v>109</v>
      </c>
      <c r="E54" s="17">
        <v>-15.0</v>
      </c>
      <c r="F54" s="16"/>
    </row>
    <row r="55">
      <c r="A55" s="12">
        <v>55.0</v>
      </c>
      <c r="B55" s="13" t="s">
        <v>756</v>
      </c>
      <c r="C55" s="14">
        <v>19.0</v>
      </c>
      <c r="D55" s="12" t="s">
        <v>133</v>
      </c>
      <c r="E55" s="17">
        <v>-36.0</v>
      </c>
      <c r="F55" s="16"/>
    </row>
    <row r="56">
      <c r="A56" s="12">
        <v>56.0</v>
      </c>
      <c r="B56" s="13" t="s">
        <v>759</v>
      </c>
      <c r="C56" s="14">
        <v>47.0</v>
      </c>
      <c r="D56" s="12" t="s">
        <v>101</v>
      </c>
      <c r="E56" s="17">
        <v>-9.0</v>
      </c>
      <c r="F56" s="16"/>
    </row>
    <row r="57">
      <c r="A57" s="12">
        <v>57.0</v>
      </c>
      <c r="B57" s="13" t="s">
        <v>763</v>
      </c>
      <c r="C57" s="14">
        <v>73.0</v>
      </c>
      <c r="D57" s="12" t="s">
        <v>239</v>
      </c>
      <c r="E57" s="18">
        <f>+16</f>
        <v>16</v>
      </c>
      <c r="F57" s="16"/>
    </row>
    <row r="58">
      <c r="A58" s="12">
        <v>58.0</v>
      </c>
      <c r="B58" s="13" t="s">
        <v>767</v>
      </c>
      <c r="C58" s="14">
        <v>11.0</v>
      </c>
      <c r="D58" s="12" t="s">
        <v>94</v>
      </c>
      <c r="E58" s="17">
        <v>-47.0</v>
      </c>
      <c r="F58" s="16"/>
    </row>
    <row r="59">
      <c r="A59" s="12">
        <v>59.0</v>
      </c>
      <c r="B59" s="13" t="s">
        <v>1089</v>
      </c>
      <c r="C59" s="14">
        <v>49.0</v>
      </c>
      <c r="D59" s="12" t="s">
        <v>117</v>
      </c>
      <c r="E59" s="17">
        <v>-10.0</v>
      </c>
      <c r="F59" s="16"/>
    </row>
    <row r="60">
      <c r="A60" s="12">
        <v>60.0</v>
      </c>
      <c r="B60" s="13" t="s">
        <v>1096</v>
      </c>
      <c r="C60" s="14">
        <v>85.0</v>
      </c>
      <c r="D60" s="12" t="s">
        <v>191</v>
      </c>
      <c r="E60" s="18">
        <f>+25</f>
        <v>25</v>
      </c>
      <c r="F60" s="16"/>
    </row>
    <row r="61">
      <c r="A61" s="12">
        <v>62.0</v>
      </c>
      <c r="B61" s="13" t="s">
        <v>1102</v>
      </c>
      <c r="C61" s="14">
        <v>52.0</v>
      </c>
      <c r="D61" s="12" t="s">
        <v>193</v>
      </c>
      <c r="E61" s="17">
        <v>-10.0</v>
      </c>
      <c r="F61" s="16"/>
    </row>
    <row r="62">
      <c r="A62" s="12">
        <v>64.0</v>
      </c>
      <c r="B62" s="13" t="s">
        <v>1110</v>
      </c>
      <c r="C62" s="14">
        <v>44.0</v>
      </c>
      <c r="D62" s="12" t="s">
        <v>145</v>
      </c>
      <c r="E62" s="17">
        <v>-20.0</v>
      </c>
      <c r="F62" s="16"/>
    </row>
    <row r="63">
      <c r="A63" s="12">
        <v>65.0</v>
      </c>
      <c r="B63" s="13" t="s">
        <v>1116</v>
      </c>
      <c r="C63" s="14">
        <v>71.0</v>
      </c>
      <c r="D63" s="12" t="s">
        <v>230</v>
      </c>
      <c r="E63" s="18">
        <f>+6</f>
        <v>6</v>
      </c>
      <c r="F63" s="16"/>
    </row>
    <row r="64">
      <c r="A64" s="12">
        <v>66.0</v>
      </c>
      <c r="B64" s="13" t="s">
        <v>1121</v>
      </c>
      <c r="C64" s="14">
        <v>65.0</v>
      </c>
      <c r="D64" s="12" t="s">
        <v>209</v>
      </c>
      <c r="E64" s="17">
        <v>-1.0</v>
      </c>
      <c r="F64" s="16"/>
    </row>
    <row r="65">
      <c r="A65" s="12">
        <v>67.0</v>
      </c>
      <c r="B65" s="13" t="s">
        <v>1128</v>
      </c>
      <c r="C65" s="14">
        <v>76.0</v>
      </c>
      <c r="D65" s="12" t="s">
        <v>175</v>
      </c>
      <c r="E65" s="18">
        <f>+9</f>
        <v>9</v>
      </c>
      <c r="F65" s="16"/>
    </row>
    <row r="66">
      <c r="A66" s="12">
        <v>68.0</v>
      </c>
      <c r="B66" s="13" t="s">
        <v>1134</v>
      </c>
      <c r="C66" s="14">
        <v>51.0</v>
      </c>
      <c r="D66" s="12" t="s">
        <v>149</v>
      </c>
      <c r="E66" s="17">
        <v>-17.0</v>
      </c>
      <c r="F66" s="16"/>
    </row>
    <row r="67">
      <c r="A67" s="12">
        <v>69.0</v>
      </c>
      <c r="B67" s="13" t="s">
        <v>1139</v>
      </c>
      <c r="C67" s="14">
        <v>26.0</v>
      </c>
      <c r="D67" s="12" t="s">
        <v>141</v>
      </c>
      <c r="E67" s="17">
        <v>-43.0</v>
      </c>
      <c r="F67" s="16"/>
    </row>
    <row r="68">
      <c r="A68" s="12">
        <v>70.0</v>
      </c>
      <c r="B68" s="13" t="s">
        <v>1145</v>
      </c>
      <c r="C68" s="14">
        <v>57.0</v>
      </c>
      <c r="D68" s="12" t="s">
        <v>125</v>
      </c>
      <c r="E68" s="17">
        <v>-13.0</v>
      </c>
      <c r="F68" s="16"/>
    </row>
    <row r="69">
      <c r="A69" s="12">
        <v>71.0</v>
      </c>
      <c r="B69" s="13" t="s">
        <v>1152</v>
      </c>
      <c r="C69" s="14">
        <v>92.0</v>
      </c>
      <c r="D69" s="12" t="s">
        <v>261</v>
      </c>
      <c r="E69" s="18">
        <f>+21</f>
        <v>21</v>
      </c>
      <c r="F69" s="16"/>
    </row>
    <row r="70">
      <c r="A70" s="12">
        <v>73.0</v>
      </c>
      <c r="B70" s="13" t="s">
        <v>1158</v>
      </c>
      <c r="C70" s="14">
        <v>82.0</v>
      </c>
      <c r="D70" s="12" t="s">
        <v>189</v>
      </c>
      <c r="E70" s="18">
        <f>+9</f>
        <v>9</v>
      </c>
      <c r="F70" s="16"/>
    </row>
    <row r="71">
      <c r="A71" s="12">
        <v>74.0</v>
      </c>
      <c r="B71" s="13" t="s">
        <v>1165</v>
      </c>
      <c r="C71" s="14">
        <v>70.0</v>
      </c>
      <c r="D71" s="12" t="s">
        <v>147</v>
      </c>
      <c r="E71" s="17">
        <v>-4.0</v>
      </c>
      <c r="F71" s="16"/>
    </row>
    <row r="72">
      <c r="A72" s="12">
        <v>75.0</v>
      </c>
      <c r="B72" s="13" t="s">
        <v>1173</v>
      </c>
      <c r="C72" s="14">
        <v>103.0</v>
      </c>
      <c r="D72" s="12" t="s">
        <v>334</v>
      </c>
      <c r="E72" s="18">
        <f>+28</f>
        <v>28</v>
      </c>
      <c r="F72" s="16"/>
    </row>
    <row r="73">
      <c r="A73" s="12">
        <v>76.0</v>
      </c>
      <c r="B73" s="13" t="s">
        <v>1179</v>
      </c>
      <c r="C73" s="14">
        <v>67.0</v>
      </c>
      <c r="D73" s="12" t="s">
        <v>222</v>
      </c>
      <c r="E73" s="17">
        <v>-9.0</v>
      </c>
      <c r="F73" s="16"/>
    </row>
    <row r="74">
      <c r="A74" s="12">
        <v>77.0</v>
      </c>
      <c r="B74" s="13" t="s">
        <v>1184</v>
      </c>
      <c r="C74" s="14">
        <v>50.0</v>
      </c>
      <c r="D74" s="12" t="s">
        <v>111</v>
      </c>
      <c r="E74" s="17">
        <v>-27.0</v>
      </c>
      <c r="F74" s="16"/>
    </row>
    <row r="75">
      <c r="A75" s="12">
        <v>78.0</v>
      </c>
      <c r="B75" s="13" t="s">
        <v>1190</v>
      </c>
      <c r="C75" s="14">
        <v>59.0</v>
      </c>
      <c r="D75" s="12" t="s">
        <v>201</v>
      </c>
      <c r="E75" s="17">
        <v>-19.0</v>
      </c>
      <c r="F75" s="16"/>
    </row>
    <row r="76">
      <c r="A76" s="12">
        <v>79.0</v>
      </c>
      <c r="B76" s="13" t="s">
        <v>1196</v>
      </c>
      <c r="C76" s="14">
        <v>88.0</v>
      </c>
      <c r="D76" s="12" t="s">
        <v>205</v>
      </c>
      <c r="E76" s="18">
        <f>+9</f>
        <v>9</v>
      </c>
      <c r="F76" s="16"/>
    </row>
    <row r="77">
      <c r="A77" s="12">
        <v>83.0</v>
      </c>
      <c r="B77" s="13" t="s">
        <v>1202</v>
      </c>
      <c r="C77" s="14">
        <v>98.0</v>
      </c>
      <c r="D77" s="12" t="s">
        <v>269</v>
      </c>
      <c r="E77" s="18">
        <f>+15</f>
        <v>15</v>
      </c>
      <c r="F77" s="16"/>
    </row>
    <row r="78">
      <c r="A78" s="12">
        <v>84.0</v>
      </c>
      <c r="B78" s="13" t="s">
        <v>1210</v>
      </c>
      <c r="C78" s="14">
        <v>108.0</v>
      </c>
      <c r="D78" s="12" t="s">
        <v>367</v>
      </c>
      <c r="E78" s="18">
        <f>+24</f>
        <v>24</v>
      </c>
      <c r="F78" s="16"/>
    </row>
    <row r="79">
      <c r="A79" s="12">
        <v>85.0</v>
      </c>
      <c r="B79" s="13" t="s">
        <v>1217</v>
      </c>
      <c r="C79" s="14">
        <v>78.0</v>
      </c>
      <c r="D79" s="12" t="s">
        <v>177</v>
      </c>
      <c r="E79" s="17">
        <v>-7.0</v>
      </c>
      <c r="F79" s="16"/>
    </row>
    <row r="80">
      <c r="A80" s="12">
        <v>86.0</v>
      </c>
      <c r="B80" s="13" t="s">
        <v>1223</v>
      </c>
      <c r="C80" s="14">
        <v>64.0</v>
      </c>
      <c r="D80" s="12" t="s">
        <v>143</v>
      </c>
      <c r="E80" s="17">
        <v>-22.0</v>
      </c>
      <c r="F80" s="16"/>
    </row>
    <row r="81">
      <c r="A81" s="12">
        <v>87.0</v>
      </c>
      <c r="B81" s="13" t="s">
        <v>1229</v>
      </c>
      <c r="C81" s="14">
        <v>79.0</v>
      </c>
      <c r="D81" s="12" t="s">
        <v>181</v>
      </c>
      <c r="E81" s="17">
        <v>-8.0</v>
      </c>
      <c r="F81" s="16"/>
    </row>
    <row r="82">
      <c r="A82" s="12">
        <v>88.0</v>
      </c>
      <c r="B82" s="13" t="s">
        <v>1238</v>
      </c>
      <c r="C82" s="14">
        <v>111.0</v>
      </c>
      <c r="D82" s="12" t="s">
        <v>378</v>
      </c>
      <c r="E82" s="18">
        <f>+23</f>
        <v>23</v>
      </c>
      <c r="F82" s="16"/>
    </row>
    <row r="83">
      <c r="A83" s="12">
        <v>89.0</v>
      </c>
      <c r="B83" s="13" t="s">
        <v>1244</v>
      </c>
      <c r="C83" s="14">
        <v>63.0</v>
      </c>
      <c r="D83" s="12" t="s">
        <v>207</v>
      </c>
      <c r="E83" s="17">
        <v>-26.0</v>
      </c>
      <c r="F83" s="16"/>
    </row>
    <row r="84">
      <c r="A84" s="12">
        <v>90.0</v>
      </c>
      <c r="B84" s="13" t="s">
        <v>1253</v>
      </c>
      <c r="C84" s="14">
        <v>119.0</v>
      </c>
      <c r="D84" s="12" t="s">
        <v>394</v>
      </c>
      <c r="E84" s="18">
        <f>+29</f>
        <v>29</v>
      </c>
      <c r="F84" s="16"/>
    </row>
    <row r="85">
      <c r="A85" s="12">
        <v>91.0</v>
      </c>
      <c r="B85" s="13" t="s">
        <v>1260</v>
      </c>
      <c r="C85" s="14">
        <v>91.0</v>
      </c>
      <c r="D85" s="12" t="s">
        <v>215</v>
      </c>
      <c r="E85" s="15">
        <f>+0</f>
        <v>0</v>
      </c>
      <c r="F85" s="16"/>
    </row>
    <row r="86">
      <c r="A86" s="12">
        <v>92.0</v>
      </c>
      <c r="B86" s="13" t="s">
        <v>1266</v>
      </c>
      <c r="C86" s="14">
        <v>105.0</v>
      </c>
      <c r="D86" s="12" t="s">
        <v>356</v>
      </c>
      <c r="E86" s="18">
        <f>+13</f>
        <v>13</v>
      </c>
      <c r="F86" s="16"/>
    </row>
    <row r="87">
      <c r="A87" s="12">
        <v>94.0</v>
      </c>
      <c r="B87" s="13" t="s">
        <v>1276</v>
      </c>
      <c r="C87" s="14">
        <v>83.0</v>
      </c>
      <c r="D87" s="12" t="s">
        <v>155</v>
      </c>
      <c r="E87" s="17">
        <v>-11.0</v>
      </c>
      <c r="F87" s="16"/>
    </row>
    <row r="88">
      <c r="A88" s="12">
        <v>96.0</v>
      </c>
      <c r="B88" s="13" t="s">
        <v>1282</v>
      </c>
      <c r="C88" s="14">
        <v>107.0</v>
      </c>
      <c r="D88" s="12" t="s">
        <v>363</v>
      </c>
      <c r="E88" s="18">
        <f>+11</f>
        <v>11</v>
      </c>
      <c r="F88" s="16"/>
    </row>
    <row r="89">
      <c r="A89" s="12">
        <v>97.0</v>
      </c>
      <c r="B89" s="13" t="s">
        <v>1292</v>
      </c>
      <c r="C89" s="14">
        <v>74.0</v>
      </c>
      <c r="D89" s="12" t="s">
        <v>280</v>
      </c>
      <c r="E89" s="17">
        <v>-23.0</v>
      </c>
      <c r="F89" s="16"/>
    </row>
    <row r="90">
      <c r="A90" s="12">
        <v>98.0</v>
      </c>
      <c r="B90" s="13" t="s">
        <v>1297</v>
      </c>
      <c r="C90" s="14">
        <v>55.0</v>
      </c>
      <c r="D90" s="12" t="s">
        <v>195</v>
      </c>
      <c r="E90" s="17">
        <v>-43.0</v>
      </c>
      <c r="F90" s="16"/>
    </row>
    <row r="91">
      <c r="A91" s="12">
        <v>100.0</v>
      </c>
      <c r="B91" s="13" t="s">
        <v>1302</v>
      </c>
      <c r="C91" s="14">
        <v>114.0</v>
      </c>
      <c r="D91" s="12" t="s">
        <v>384</v>
      </c>
      <c r="E91" s="18">
        <f>+14</f>
        <v>14</v>
      </c>
      <c r="F91" s="16"/>
    </row>
    <row r="92">
      <c r="A92" s="12">
        <v>102.0</v>
      </c>
      <c r="B92" s="13" t="s">
        <v>1310</v>
      </c>
      <c r="C92" s="14">
        <v>60.0</v>
      </c>
      <c r="D92" s="12" t="s">
        <v>197</v>
      </c>
      <c r="E92" s="17">
        <v>-42.0</v>
      </c>
      <c r="F92" s="16"/>
    </row>
    <row r="93">
      <c r="A93" s="12">
        <v>103.0</v>
      </c>
      <c r="B93" s="13" t="s">
        <v>1317</v>
      </c>
      <c r="C93" s="14">
        <v>77.0</v>
      </c>
      <c r="D93" s="12" t="s">
        <v>249</v>
      </c>
      <c r="E93" s="17">
        <v>-26.0</v>
      </c>
      <c r="F93" s="16"/>
    </row>
    <row r="94">
      <c r="A94" s="12">
        <v>104.0</v>
      </c>
      <c r="B94" s="13" t="s">
        <v>1322</v>
      </c>
      <c r="C94" s="14">
        <v>81.0</v>
      </c>
      <c r="D94" s="12" t="s">
        <v>183</v>
      </c>
      <c r="E94" s="17">
        <v>-23.0</v>
      </c>
      <c r="F94" s="16"/>
    </row>
    <row r="95">
      <c r="A95" s="12">
        <v>106.0</v>
      </c>
      <c r="B95" s="13" t="s">
        <v>1326</v>
      </c>
      <c r="C95" s="14">
        <v>80.0</v>
      </c>
      <c r="D95" s="12" t="s">
        <v>255</v>
      </c>
      <c r="E95" s="17">
        <v>-26.0</v>
      </c>
      <c r="F95" s="16"/>
    </row>
    <row r="96">
      <c r="A96" s="12">
        <v>107.0</v>
      </c>
      <c r="B96" s="13" t="s">
        <v>1335</v>
      </c>
      <c r="C96" s="14">
        <v>137.0</v>
      </c>
      <c r="D96" s="12" t="s">
        <v>1235</v>
      </c>
      <c r="E96" s="18">
        <f>+30</f>
        <v>30</v>
      </c>
      <c r="F96" s="16"/>
    </row>
    <row r="97">
      <c r="A97" s="12">
        <v>111.0</v>
      </c>
      <c r="B97" s="13" t="s">
        <v>1341</v>
      </c>
      <c r="C97" s="14">
        <v>89.0</v>
      </c>
      <c r="D97" s="12" t="s">
        <v>300</v>
      </c>
      <c r="E97" s="17">
        <v>-22.0</v>
      </c>
      <c r="F97" s="16"/>
    </row>
    <row r="98">
      <c r="A98" s="12">
        <v>112.0</v>
      </c>
      <c r="B98" s="13" t="s">
        <v>1348</v>
      </c>
      <c r="C98" s="14">
        <v>113.0</v>
      </c>
      <c r="D98" s="12" t="s">
        <v>325</v>
      </c>
      <c r="E98" s="18">
        <f>+1</f>
        <v>1</v>
      </c>
      <c r="F98" s="16"/>
    </row>
    <row r="99">
      <c r="A99" s="12">
        <v>113.0</v>
      </c>
      <c r="B99" s="13" t="s">
        <v>1355</v>
      </c>
      <c r="C99" s="14">
        <v>124.0</v>
      </c>
      <c r="D99" s="12" t="s">
        <v>411</v>
      </c>
      <c r="E99" s="18">
        <f>+11</f>
        <v>11</v>
      </c>
      <c r="F99" s="16"/>
    </row>
    <row r="100">
      <c r="A100" s="12">
        <v>114.0</v>
      </c>
      <c r="B100" s="13" t="s">
        <v>1361</v>
      </c>
      <c r="C100" s="14">
        <v>110.0</v>
      </c>
      <c r="D100" s="12" t="s">
        <v>373</v>
      </c>
      <c r="E100" s="17">
        <v>-4.0</v>
      </c>
      <c r="F100" s="16"/>
    </row>
    <row r="101">
      <c r="A101" s="12">
        <v>115.0</v>
      </c>
      <c r="B101" s="13" t="s">
        <v>1369</v>
      </c>
      <c r="C101" s="14">
        <v>86.0</v>
      </c>
      <c r="D101" s="12" t="s">
        <v>203</v>
      </c>
      <c r="E101" s="17">
        <v>-29.0</v>
      </c>
      <c r="F101" s="16"/>
    </row>
    <row r="102">
      <c r="A102" s="12">
        <v>116.0</v>
      </c>
      <c r="B102" s="13" t="s">
        <v>1376</v>
      </c>
      <c r="C102" s="14">
        <v>125.0</v>
      </c>
      <c r="D102" s="12" t="s">
        <v>416</v>
      </c>
      <c r="E102" s="18">
        <f>+9</f>
        <v>9</v>
      </c>
      <c r="F102" s="16"/>
    </row>
    <row r="103">
      <c r="A103" s="12">
        <v>117.0</v>
      </c>
      <c r="B103" s="13" t="s">
        <v>1380</v>
      </c>
      <c r="C103" s="14">
        <v>69.0</v>
      </c>
      <c r="D103" s="12" t="s">
        <v>213</v>
      </c>
      <c r="E103" s="17">
        <v>-48.0</v>
      </c>
      <c r="F103" s="16"/>
    </row>
    <row r="104">
      <c r="A104" s="12">
        <v>118.0</v>
      </c>
      <c r="B104" s="13" t="s">
        <v>1385</v>
      </c>
      <c r="C104" s="14">
        <v>117.0</v>
      </c>
      <c r="D104" s="12" t="s">
        <v>389</v>
      </c>
      <c r="E104" s="17">
        <v>-1.0</v>
      </c>
      <c r="F104" s="16"/>
    </row>
    <row r="105">
      <c r="A105" s="12">
        <v>119.0</v>
      </c>
      <c r="B105" s="13" t="s">
        <v>1391</v>
      </c>
      <c r="C105" s="14">
        <v>118.0</v>
      </c>
      <c r="D105" s="12" t="s">
        <v>1167</v>
      </c>
      <c r="E105" s="17">
        <v>-1.0</v>
      </c>
      <c r="F105" s="16"/>
    </row>
    <row r="106">
      <c r="A106" s="12">
        <v>121.0</v>
      </c>
      <c r="B106" s="13" t="s">
        <v>1396</v>
      </c>
      <c r="C106" s="14">
        <v>87.0</v>
      </c>
      <c r="D106" s="12" t="s">
        <v>163</v>
      </c>
      <c r="E106" s="17">
        <v>-34.0</v>
      </c>
      <c r="F106" s="16"/>
    </row>
    <row r="107">
      <c r="A107" s="12">
        <v>123.0</v>
      </c>
      <c r="B107" s="13" t="s">
        <v>1405</v>
      </c>
      <c r="C107" s="14">
        <v>75.0</v>
      </c>
      <c r="D107" s="12" t="s">
        <v>151</v>
      </c>
      <c r="E107" s="17">
        <v>-48.0</v>
      </c>
      <c r="F107" s="16"/>
    </row>
    <row r="108">
      <c r="A108" s="12">
        <v>124.0</v>
      </c>
      <c r="B108" s="13" t="s">
        <v>1411</v>
      </c>
      <c r="C108" s="14">
        <v>99.0</v>
      </c>
      <c r="D108" s="12" t="s">
        <v>345</v>
      </c>
      <c r="E108" s="17">
        <v>-25.0</v>
      </c>
      <c r="F108" s="16"/>
    </row>
    <row r="109">
      <c r="A109" s="12">
        <v>125.0</v>
      </c>
      <c r="B109" s="13" t="s">
        <v>1417</v>
      </c>
      <c r="C109" s="14">
        <v>132.0</v>
      </c>
      <c r="D109" s="12" t="s">
        <v>1208</v>
      </c>
      <c r="E109" s="18">
        <f>+7</f>
        <v>7</v>
      </c>
      <c r="F109" s="16"/>
    </row>
    <row r="110">
      <c r="A110" s="12">
        <v>126.0</v>
      </c>
      <c r="B110" s="13" t="s">
        <v>1423</v>
      </c>
      <c r="C110" s="14">
        <v>154.0</v>
      </c>
      <c r="D110" s="12" t="s">
        <v>431</v>
      </c>
      <c r="E110" s="18">
        <f>+28</f>
        <v>28</v>
      </c>
      <c r="F110" s="16"/>
    </row>
    <row r="111">
      <c r="A111" s="12">
        <v>127.0</v>
      </c>
      <c r="B111" s="13" t="s">
        <v>1431</v>
      </c>
      <c r="C111" s="14">
        <v>101.0</v>
      </c>
      <c r="D111" s="12" t="s">
        <v>311</v>
      </c>
      <c r="E111" s="17">
        <v>-26.0</v>
      </c>
      <c r="F111" s="16"/>
    </row>
    <row r="112">
      <c r="A112" s="12">
        <v>128.0</v>
      </c>
      <c r="B112" s="13" t="s">
        <v>1439</v>
      </c>
      <c r="C112" s="14">
        <v>115.0</v>
      </c>
      <c r="D112" s="12" t="s">
        <v>173</v>
      </c>
      <c r="E112" s="17">
        <v>-13.0</v>
      </c>
      <c r="F112" s="16"/>
    </row>
    <row r="113">
      <c r="A113" s="12">
        <v>129.0</v>
      </c>
      <c r="B113" s="13" t="s">
        <v>1446</v>
      </c>
      <c r="C113" s="14">
        <v>102.0</v>
      </c>
      <c r="D113" s="12" t="s">
        <v>351</v>
      </c>
      <c r="E113" s="17">
        <v>-27.0</v>
      </c>
      <c r="F113" s="16"/>
    </row>
    <row r="114">
      <c r="A114" s="12">
        <v>130.0</v>
      </c>
      <c r="B114" s="13" t="s">
        <v>1452</v>
      </c>
      <c r="C114" s="14">
        <v>93.0</v>
      </c>
      <c r="D114" s="12" t="s">
        <v>165</v>
      </c>
      <c r="E114" s="17">
        <v>-37.0</v>
      </c>
      <c r="F114" s="16"/>
    </row>
    <row r="115">
      <c r="A115" s="12">
        <v>132.0</v>
      </c>
      <c r="B115" s="13" t="s">
        <v>1458</v>
      </c>
      <c r="C115" s="14">
        <v>147.0</v>
      </c>
      <c r="D115" s="12" t="s">
        <v>1327</v>
      </c>
      <c r="E115" s="18">
        <f>+15</f>
        <v>15</v>
      </c>
      <c r="F115" s="16"/>
    </row>
    <row r="116">
      <c r="A116" s="12">
        <v>133.0</v>
      </c>
      <c r="B116" s="13" t="s">
        <v>1466</v>
      </c>
      <c r="C116" s="14">
        <v>146.0</v>
      </c>
      <c r="D116" s="12" t="s">
        <v>1308</v>
      </c>
      <c r="E116" s="18">
        <f>+13</f>
        <v>13</v>
      </c>
      <c r="F116" s="16"/>
    </row>
    <row r="117">
      <c r="A117" s="12">
        <v>134.0</v>
      </c>
      <c r="B117" s="13" t="s">
        <v>1470</v>
      </c>
      <c r="C117" s="14">
        <v>84.0</v>
      </c>
      <c r="D117" s="12" t="s">
        <v>294</v>
      </c>
      <c r="E117" s="17">
        <v>-50.0</v>
      </c>
      <c r="F117" s="16"/>
    </row>
    <row r="118">
      <c r="A118" s="12">
        <v>135.0</v>
      </c>
      <c r="B118" s="13" t="s">
        <v>1473</v>
      </c>
      <c r="C118" s="14">
        <v>94.0</v>
      </c>
      <c r="D118" s="12" t="s">
        <v>288</v>
      </c>
      <c r="E118" s="17">
        <v>-41.0</v>
      </c>
      <c r="F118" s="16"/>
    </row>
    <row r="119">
      <c r="A119" s="12">
        <v>136.0</v>
      </c>
      <c r="B119" s="13" t="s">
        <v>1476</v>
      </c>
      <c r="C119" s="14">
        <v>158.0</v>
      </c>
      <c r="D119" s="12" t="s">
        <v>1343</v>
      </c>
      <c r="E119" s="18">
        <f>+22</f>
        <v>22</v>
      </c>
      <c r="F119" s="16"/>
    </row>
    <row r="120">
      <c r="A120" s="12">
        <v>138.0</v>
      </c>
      <c r="B120" s="13" t="s">
        <v>1480</v>
      </c>
      <c r="C120" s="14">
        <v>122.0</v>
      </c>
      <c r="D120" s="12" t="s">
        <v>421</v>
      </c>
      <c r="E120" s="17">
        <v>-16.0</v>
      </c>
      <c r="F120" s="16"/>
    </row>
    <row r="121">
      <c r="A121" s="12">
        <v>139.0</v>
      </c>
      <c r="B121" s="13" t="s">
        <v>1483</v>
      </c>
      <c r="C121" s="14">
        <v>109.0</v>
      </c>
      <c r="D121" s="12" t="s">
        <v>1126</v>
      </c>
      <c r="E121" s="17">
        <v>-30.0</v>
      </c>
      <c r="F121" s="16"/>
    </row>
    <row r="122">
      <c r="A122" s="12">
        <v>140.0</v>
      </c>
      <c r="B122" s="13" t="s">
        <v>1486</v>
      </c>
      <c r="C122" s="14">
        <v>96.0</v>
      </c>
      <c r="D122" s="12" t="s">
        <v>338</v>
      </c>
      <c r="E122" s="17">
        <v>-44.0</v>
      </c>
      <c r="F122" s="16"/>
    </row>
    <row r="123">
      <c r="A123" s="12">
        <v>141.0</v>
      </c>
      <c r="B123" s="13" t="s">
        <v>1490</v>
      </c>
      <c r="C123" s="14">
        <v>104.0</v>
      </c>
      <c r="D123" s="12" t="s">
        <v>171</v>
      </c>
      <c r="E123" s="17">
        <v>-37.0</v>
      </c>
      <c r="F123" s="16"/>
    </row>
    <row r="124">
      <c r="A124" s="12">
        <v>142.0</v>
      </c>
      <c r="B124" s="13" t="s">
        <v>1493</v>
      </c>
      <c r="C124" s="14">
        <v>184.0</v>
      </c>
      <c r="D124" s="12" t="s">
        <v>1496</v>
      </c>
      <c r="E124" s="18">
        <f>+42</f>
        <v>42</v>
      </c>
      <c r="F124" s="16"/>
    </row>
    <row r="125">
      <c r="A125" s="12">
        <v>143.0</v>
      </c>
      <c r="B125" s="13" t="s">
        <v>1498</v>
      </c>
      <c r="C125" s="14">
        <v>130.0</v>
      </c>
      <c r="D125" s="12" t="s">
        <v>1204</v>
      </c>
      <c r="E125" s="17">
        <v>-13.0</v>
      </c>
      <c r="F125" s="16"/>
    </row>
    <row r="126">
      <c r="A126" s="12">
        <v>144.0</v>
      </c>
      <c r="B126" s="13" t="s">
        <v>1501</v>
      </c>
      <c r="C126" s="14">
        <v>95.0</v>
      </c>
      <c r="D126" s="12" t="s">
        <v>319</v>
      </c>
      <c r="E126" s="17">
        <v>-49.0</v>
      </c>
      <c r="F126" s="16"/>
    </row>
    <row r="127">
      <c r="A127" s="12">
        <v>145.0</v>
      </c>
      <c r="B127" s="13" t="s">
        <v>1504</v>
      </c>
      <c r="C127" s="14">
        <v>127.0</v>
      </c>
      <c r="D127" s="12" t="s">
        <v>1224</v>
      </c>
      <c r="E127" s="17">
        <v>-18.0</v>
      </c>
      <c r="F127" s="16"/>
    </row>
    <row r="128">
      <c r="A128" s="12">
        <v>146.0</v>
      </c>
      <c r="B128" s="13" t="s">
        <v>1508</v>
      </c>
      <c r="C128" s="14">
        <v>235.0</v>
      </c>
      <c r="D128" s="12" t="s">
        <v>1489</v>
      </c>
      <c r="E128" s="18">
        <f>+89</f>
        <v>89</v>
      </c>
      <c r="F128" s="16"/>
    </row>
    <row r="129">
      <c r="A129" s="12">
        <v>148.0</v>
      </c>
      <c r="B129" s="13" t="s">
        <v>1511</v>
      </c>
      <c r="C129" s="14">
        <v>155.0</v>
      </c>
      <c r="D129" s="12" t="s">
        <v>1352</v>
      </c>
      <c r="E129" s="18">
        <f>+7</f>
        <v>7</v>
      </c>
      <c r="F129" s="16"/>
    </row>
    <row r="130">
      <c r="A130" s="12">
        <v>149.0</v>
      </c>
      <c r="B130" s="13" t="s">
        <v>1515</v>
      </c>
      <c r="C130" s="14">
        <v>133.0</v>
      </c>
      <c r="D130" s="12" t="s">
        <v>1245</v>
      </c>
      <c r="E130" s="17">
        <v>-16.0</v>
      </c>
      <c r="F130" s="16"/>
    </row>
    <row r="131">
      <c r="A131" s="12">
        <v>150.0</v>
      </c>
      <c r="B131" s="13" t="s">
        <v>1519</v>
      </c>
      <c r="C131" s="14">
        <v>254.0</v>
      </c>
      <c r="D131" s="12" t="s">
        <v>1516</v>
      </c>
      <c r="E131" s="20" t="s">
        <v>231</v>
      </c>
      <c r="F131" s="16"/>
    </row>
    <row r="132">
      <c r="A132" s="12">
        <v>151.0</v>
      </c>
      <c r="B132" s="13" t="s">
        <v>1522</v>
      </c>
      <c r="C132" s="14">
        <v>129.0</v>
      </c>
      <c r="D132" s="12" t="s">
        <v>1193</v>
      </c>
      <c r="E132" s="17">
        <v>-22.0</v>
      </c>
      <c r="F132" s="16"/>
    </row>
    <row r="133">
      <c r="A133" s="12">
        <v>152.0</v>
      </c>
      <c r="B133" s="13" t="s">
        <v>1526</v>
      </c>
      <c r="C133" s="14">
        <v>139.0</v>
      </c>
      <c r="D133" s="12" t="s">
        <v>1251</v>
      </c>
      <c r="E133" s="17">
        <v>-13.0</v>
      </c>
      <c r="F133" s="16"/>
    </row>
    <row r="134">
      <c r="A134" s="12">
        <v>153.0</v>
      </c>
      <c r="B134" s="13" t="s">
        <v>1529</v>
      </c>
      <c r="C134" s="14">
        <v>123.0</v>
      </c>
      <c r="D134" s="12" t="s">
        <v>405</v>
      </c>
      <c r="E134" s="17">
        <v>-30.0</v>
      </c>
      <c r="F134" s="16"/>
    </row>
    <row r="135">
      <c r="A135" s="12">
        <v>154.0</v>
      </c>
      <c r="B135" s="13" t="s">
        <v>1532</v>
      </c>
      <c r="C135" s="14">
        <v>126.0</v>
      </c>
      <c r="D135" s="12" t="s">
        <v>1219</v>
      </c>
      <c r="E135" s="17">
        <v>-28.0</v>
      </c>
      <c r="F135" s="16"/>
    </row>
    <row r="136">
      <c r="A136" s="12">
        <v>156.0</v>
      </c>
      <c r="B136" s="13" t="s">
        <v>1535</v>
      </c>
      <c r="C136" s="14">
        <v>116.0</v>
      </c>
      <c r="D136" s="12" t="s">
        <v>179</v>
      </c>
      <c r="E136" s="17">
        <v>-40.0</v>
      </c>
      <c r="F136" s="16"/>
    </row>
    <row r="137">
      <c r="A137" s="12">
        <v>157.0</v>
      </c>
      <c r="B137" s="13" t="s">
        <v>1908</v>
      </c>
      <c r="C137" s="14">
        <v>175.0</v>
      </c>
      <c r="D137" s="12" t="s">
        <v>1426</v>
      </c>
      <c r="E137" s="18">
        <f>+18</f>
        <v>18</v>
      </c>
      <c r="F137" s="16"/>
    </row>
    <row r="138">
      <c r="A138" s="12">
        <v>158.0</v>
      </c>
      <c r="B138" s="13" t="s">
        <v>1914</v>
      </c>
      <c r="C138" s="14">
        <v>131.0</v>
      </c>
      <c r="D138" s="12" t="s">
        <v>1239</v>
      </c>
      <c r="E138" s="17">
        <v>-27.0</v>
      </c>
      <c r="F138" s="16"/>
    </row>
    <row r="139">
      <c r="A139" s="12">
        <v>159.0</v>
      </c>
      <c r="B139" s="13" t="s">
        <v>1919</v>
      </c>
      <c r="C139" s="14">
        <v>240.0</v>
      </c>
      <c r="D139" s="12" t="s">
        <v>1543</v>
      </c>
      <c r="E139" s="18">
        <f>+81</f>
        <v>81</v>
      </c>
      <c r="F139" s="16"/>
    </row>
    <row r="140">
      <c r="A140" s="12">
        <v>160.0</v>
      </c>
      <c r="B140" s="13" t="s">
        <v>1924</v>
      </c>
      <c r="C140" s="14">
        <v>206.0</v>
      </c>
      <c r="D140" s="12" t="s">
        <v>1232</v>
      </c>
      <c r="E140" s="18">
        <f>+46</f>
        <v>46</v>
      </c>
      <c r="F140" s="16"/>
    </row>
    <row r="141">
      <c r="A141" s="12">
        <v>161.0</v>
      </c>
      <c r="B141" s="13" t="s">
        <v>1930</v>
      </c>
      <c r="C141" s="14">
        <v>112.0</v>
      </c>
      <c r="D141" s="12" t="s">
        <v>1148</v>
      </c>
      <c r="E141" s="17">
        <v>-49.0</v>
      </c>
      <c r="F141" s="16"/>
    </row>
    <row r="142">
      <c r="A142" s="12">
        <v>164.0</v>
      </c>
      <c r="B142" s="13" t="s">
        <v>1935</v>
      </c>
      <c r="C142" s="14">
        <v>141.0</v>
      </c>
      <c r="D142" s="12" t="s">
        <v>219</v>
      </c>
      <c r="E142" s="17">
        <v>-23.0</v>
      </c>
      <c r="F142" s="16"/>
    </row>
    <row r="143">
      <c r="A143" s="12">
        <v>165.0</v>
      </c>
      <c r="B143" s="13" t="s">
        <v>1940</v>
      </c>
      <c r="C143" s="14">
        <v>152.0</v>
      </c>
      <c r="D143" s="12" t="s">
        <v>1313</v>
      </c>
      <c r="E143" s="17">
        <v>-13.0</v>
      </c>
      <c r="F143" s="16"/>
    </row>
    <row r="144">
      <c r="A144" s="12">
        <v>167.0</v>
      </c>
      <c r="B144" s="13" t="s">
        <v>1944</v>
      </c>
      <c r="C144" s="14">
        <v>97.0</v>
      </c>
      <c r="D144" s="12" t="s">
        <v>169</v>
      </c>
      <c r="E144" s="17">
        <v>-70.0</v>
      </c>
      <c r="F144" s="16"/>
    </row>
    <row r="145">
      <c r="A145" s="12">
        <v>169.0</v>
      </c>
      <c r="B145" s="13" t="s">
        <v>1949</v>
      </c>
      <c r="C145" s="14">
        <v>134.0</v>
      </c>
      <c r="D145" s="12" t="s">
        <v>187</v>
      </c>
      <c r="E145" s="17">
        <v>-35.0</v>
      </c>
      <c r="F145" s="16"/>
    </row>
    <row r="146">
      <c r="A146" s="12">
        <v>170.0</v>
      </c>
      <c r="B146" s="13" t="s">
        <v>1953</v>
      </c>
      <c r="C146" s="14">
        <v>135.0</v>
      </c>
      <c r="D146" s="12" t="s">
        <v>1267</v>
      </c>
      <c r="E146" s="17">
        <v>-35.0</v>
      </c>
      <c r="F146" s="16"/>
    </row>
    <row r="147">
      <c r="A147" s="12">
        <v>171.0</v>
      </c>
      <c r="B147" s="13" t="s">
        <v>1960</v>
      </c>
      <c r="C147" s="14">
        <v>150.0</v>
      </c>
      <c r="D147" s="12" t="s">
        <v>463</v>
      </c>
      <c r="E147" s="17">
        <v>-21.0</v>
      </c>
      <c r="F147" s="16"/>
    </row>
    <row r="148">
      <c r="A148" s="12">
        <v>174.0</v>
      </c>
      <c r="B148" s="13" t="s">
        <v>1963</v>
      </c>
      <c r="C148" s="14">
        <v>194.0</v>
      </c>
      <c r="D148" s="12" t="s">
        <v>1329</v>
      </c>
      <c r="E148" s="18">
        <f>+20</f>
        <v>20</v>
      </c>
      <c r="F148" s="16"/>
    </row>
    <row r="149">
      <c r="A149" s="12">
        <v>176.0</v>
      </c>
      <c r="B149" s="13" t="s">
        <v>1968</v>
      </c>
      <c r="C149" s="14">
        <v>164.0</v>
      </c>
      <c r="D149" s="12" t="s">
        <v>1412</v>
      </c>
      <c r="E149" s="17">
        <v>-12.0</v>
      </c>
      <c r="F149" s="16"/>
    </row>
    <row r="150">
      <c r="A150" s="12">
        <v>177.0</v>
      </c>
      <c r="B150" s="13" t="s">
        <v>1974</v>
      </c>
      <c r="C150" s="14">
        <v>145.0</v>
      </c>
      <c r="D150" s="12" t="s">
        <v>307</v>
      </c>
      <c r="E150" s="17">
        <v>-32.0</v>
      </c>
      <c r="F150" s="16"/>
    </row>
    <row r="151">
      <c r="A151" s="12">
        <v>178.0</v>
      </c>
      <c r="B151" s="13" t="s">
        <v>1978</v>
      </c>
      <c r="C151" s="14">
        <v>170.0</v>
      </c>
      <c r="D151" s="12" t="s">
        <v>1418</v>
      </c>
      <c r="E151" s="17">
        <v>-8.0</v>
      </c>
      <c r="F151" s="16"/>
    </row>
    <row r="152">
      <c r="A152" s="12">
        <v>179.0</v>
      </c>
      <c r="B152" s="13" t="s">
        <v>1982</v>
      </c>
      <c r="C152" s="14">
        <v>198.0</v>
      </c>
      <c r="D152" s="12" t="s">
        <v>1728</v>
      </c>
      <c r="E152" s="18">
        <f>+19</f>
        <v>19</v>
      </c>
      <c r="F152" s="16"/>
    </row>
    <row r="153">
      <c r="A153" s="12">
        <v>180.0</v>
      </c>
      <c r="B153" s="13" t="s">
        <v>1988</v>
      </c>
      <c r="C153" s="14">
        <v>90.0</v>
      </c>
      <c r="D153" s="12" t="s">
        <v>211</v>
      </c>
      <c r="E153" s="17">
        <v>-90.0</v>
      </c>
      <c r="F153" s="16"/>
    </row>
    <row r="154">
      <c r="A154" s="12">
        <v>183.0</v>
      </c>
      <c r="B154" s="13" t="s">
        <v>1992</v>
      </c>
      <c r="C154" s="14">
        <v>209.0</v>
      </c>
      <c r="D154" s="12" t="s">
        <v>1580</v>
      </c>
      <c r="E154" s="18">
        <f>+26</f>
        <v>26</v>
      </c>
      <c r="F154" s="16"/>
    </row>
    <row r="155">
      <c r="A155" s="12">
        <v>184.0</v>
      </c>
      <c r="B155" s="13" t="s">
        <v>1997</v>
      </c>
      <c r="C155" s="14">
        <v>100.0</v>
      </c>
      <c r="D155" s="12" t="s">
        <v>273</v>
      </c>
      <c r="E155" s="17">
        <v>-84.0</v>
      </c>
      <c r="F155" s="16"/>
    </row>
    <row r="156">
      <c r="A156" s="12">
        <v>186.0</v>
      </c>
      <c r="B156" s="13" t="s">
        <v>2001</v>
      </c>
      <c r="C156" s="14">
        <v>156.0</v>
      </c>
      <c r="D156" s="12" t="s">
        <v>467</v>
      </c>
      <c r="E156" s="17">
        <v>-30.0</v>
      </c>
      <c r="F156" s="16"/>
    </row>
    <row r="157">
      <c r="A157" s="12">
        <v>187.0</v>
      </c>
      <c r="B157" s="13" t="s">
        <v>2005</v>
      </c>
      <c r="C157" s="14">
        <v>167.0</v>
      </c>
      <c r="D157" s="12" t="s">
        <v>475</v>
      </c>
      <c r="E157" s="17">
        <v>-20.0</v>
      </c>
      <c r="F157" s="16"/>
    </row>
    <row r="158">
      <c r="A158" s="12">
        <v>190.0</v>
      </c>
      <c r="B158" s="13" t="s">
        <v>2012</v>
      </c>
      <c r="C158" s="14">
        <v>136.0</v>
      </c>
      <c r="D158" s="12" t="s">
        <v>217</v>
      </c>
      <c r="E158" s="17">
        <v>-54.0</v>
      </c>
      <c r="F158" s="16"/>
    </row>
    <row r="159">
      <c r="A159" s="12">
        <v>192.0</v>
      </c>
      <c r="B159" s="13" t="s">
        <v>2015</v>
      </c>
      <c r="C159" s="14">
        <v>153.0</v>
      </c>
      <c r="D159" s="12" t="s">
        <v>465</v>
      </c>
      <c r="E159" s="17">
        <v>-39.0</v>
      </c>
      <c r="F159" s="16"/>
    </row>
    <row r="160">
      <c r="A160" s="12">
        <v>193.0</v>
      </c>
      <c r="B160" s="13" t="s">
        <v>2020</v>
      </c>
      <c r="C160" s="14">
        <v>227.0</v>
      </c>
      <c r="D160" s="12" t="s">
        <v>1574</v>
      </c>
      <c r="E160" s="18">
        <f>+34</f>
        <v>34</v>
      </c>
      <c r="F160" s="16"/>
    </row>
    <row r="161">
      <c r="A161" s="12">
        <v>196.0</v>
      </c>
      <c r="B161" s="13" t="s">
        <v>2025</v>
      </c>
      <c r="C161" s="14">
        <v>168.0</v>
      </c>
      <c r="D161" s="12" t="s">
        <v>477</v>
      </c>
      <c r="E161" s="17">
        <v>-28.0</v>
      </c>
      <c r="F161" s="16"/>
    </row>
    <row r="162">
      <c r="A162" s="12">
        <v>197.0</v>
      </c>
      <c r="B162" s="13" t="s">
        <v>2029</v>
      </c>
      <c r="C162" s="14">
        <v>197.0</v>
      </c>
      <c r="D162" s="12" t="s">
        <v>1604</v>
      </c>
      <c r="E162" s="15">
        <f>+0</f>
        <v>0</v>
      </c>
      <c r="F162" s="16"/>
    </row>
    <row r="163">
      <c r="A163" s="12">
        <v>198.0</v>
      </c>
      <c r="B163" s="13" t="s">
        <v>2033</v>
      </c>
      <c r="C163" s="14">
        <v>196.0</v>
      </c>
      <c r="D163" s="12" t="s">
        <v>1479</v>
      </c>
      <c r="E163" s="17">
        <v>-2.0</v>
      </c>
      <c r="F163" s="16"/>
    </row>
    <row r="164">
      <c r="A164" s="12">
        <v>199.0</v>
      </c>
      <c r="B164" s="13" t="s">
        <v>2036</v>
      </c>
      <c r="C164" s="14">
        <v>163.0</v>
      </c>
      <c r="D164" s="12" t="s">
        <v>1362</v>
      </c>
      <c r="E164" s="17">
        <v>-36.0</v>
      </c>
      <c r="F164" s="16"/>
    </row>
    <row r="165">
      <c r="A165" s="12">
        <v>201.0</v>
      </c>
      <c r="B165" s="13" t="s">
        <v>2040</v>
      </c>
      <c r="C165" s="14">
        <v>166.0</v>
      </c>
      <c r="D165" s="12" t="s">
        <v>472</v>
      </c>
      <c r="E165" s="17">
        <v>-35.0</v>
      </c>
      <c r="F165" s="16"/>
    </row>
    <row r="166">
      <c r="A166" s="12">
        <v>202.0</v>
      </c>
      <c r="B166" s="13" t="s">
        <v>2044</v>
      </c>
      <c r="C166" s="14">
        <v>169.0</v>
      </c>
      <c r="D166" s="12" t="s">
        <v>1402</v>
      </c>
      <c r="E166" s="17">
        <v>-33.0</v>
      </c>
      <c r="F166" s="16"/>
    </row>
    <row r="167">
      <c r="A167" s="12">
        <v>208.0</v>
      </c>
      <c r="B167" s="13" t="s">
        <v>2048</v>
      </c>
      <c r="C167" s="14">
        <v>219.0</v>
      </c>
      <c r="D167" s="12" t="s">
        <v>1386</v>
      </c>
      <c r="E167" s="18">
        <f>+11</f>
        <v>11</v>
      </c>
      <c r="F167" s="16"/>
    </row>
    <row r="168">
      <c r="A168" s="12">
        <v>209.0</v>
      </c>
      <c r="B168" s="13" t="s">
        <v>2054</v>
      </c>
      <c r="C168" s="14">
        <v>142.0</v>
      </c>
      <c r="D168" s="12" t="s">
        <v>1272</v>
      </c>
      <c r="E168" s="17">
        <v>-67.0</v>
      </c>
      <c r="F168" s="16"/>
    </row>
    <row r="169">
      <c r="A169" s="12">
        <v>211.0</v>
      </c>
      <c r="B169" s="13" t="s">
        <v>2058</v>
      </c>
      <c r="C169" s="14">
        <v>171.0</v>
      </c>
      <c r="D169" s="12" t="s">
        <v>1424</v>
      </c>
      <c r="E169" s="17">
        <v>-40.0</v>
      </c>
      <c r="F169" s="16"/>
    </row>
    <row r="170">
      <c r="A170" s="12">
        <v>212.0</v>
      </c>
      <c r="B170" s="13" t="s">
        <v>2063</v>
      </c>
      <c r="C170" s="14">
        <v>180.0</v>
      </c>
      <c r="D170" s="12" t="s">
        <v>1447</v>
      </c>
      <c r="E170" s="17">
        <v>-32.0</v>
      </c>
      <c r="F170" s="16"/>
    </row>
    <row r="171">
      <c r="A171" s="12">
        <v>217.0</v>
      </c>
      <c r="B171" s="13" t="s">
        <v>2069</v>
      </c>
      <c r="C171" s="14">
        <v>226.0</v>
      </c>
      <c r="D171" s="12" t="s">
        <v>1657</v>
      </c>
      <c r="E171" s="18">
        <f>+9</f>
        <v>9</v>
      </c>
      <c r="F171" s="16"/>
    </row>
    <row r="172">
      <c r="A172" s="12">
        <v>220.0</v>
      </c>
      <c r="B172" s="13" t="s">
        <v>2073</v>
      </c>
      <c r="C172" s="14">
        <v>121.0</v>
      </c>
      <c r="D172" s="12" t="s">
        <v>401</v>
      </c>
      <c r="E172" s="17">
        <v>-99.0</v>
      </c>
      <c r="F172" s="16"/>
    </row>
    <row r="173">
      <c r="A173" s="12">
        <v>223.0</v>
      </c>
      <c r="B173" s="13" t="s">
        <v>2079</v>
      </c>
      <c r="C173" s="14">
        <v>177.0</v>
      </c>
      <c r="D173" s="12" t="s">
        <v>1436</v>
      </c>
      <c r="E173" s="17">
        <v>-46.0</v>
      </c>
      <c r="F173" s="16"/>
    </row>
    <row r="174">
      <c r="A174" s="12">
        <v>227.0</v>
      </c>
      <c r="B174" s="13" t="s">
        <v>2083</v>
      </c>
      <c r="C174" s="14">
        <v>185.0</v>
      </c>
      <c r="D174" s="12" t="s">
        <v>1601</v>
      </c>
      <c r="E174" s="17">
        <v>-42.0</v>
      </c>
      <c r="F174" s="16"/>
    </row>
    <row r="175">
      <c r="A175" s="12">
        <v>228.0</v>
      </c>
      <c r="B175" s="13" t="s">
        <v>2089</v>
      </c>
      <c r="C175" s="14">
        <v>140.0</v>
      </c>
      <c r="D175" s="12" t="s">
        <v>1257</v>
      </c>
      <c r="E175" s="17">
        <v>-88.0</v>
      </c>
      <c r="F175" s="16"/>
    </row>
    <row r="176">
      <c r="A176" s="12">
        <v>229.0</v>
      </c>
      <c r="B176" s="13" t="s">
        <v>2094</v>
      </c>
      <c r="C176" s="14">
        <v>200.0</v>
      </c>
      <c r="D176" s="12" t="s">
        <v>1536</v>
      </c>
      <c r="E176" s="17">
        <v>-29.0</v>
      </c>
      <c r="F176" s="16"/>
    </row>
    <row r="177">
      <c r="A177" s="12">
        <v>230.0</v>
      </c>
      <c r="B177" s="13" t="s">
        <v>2098</v>
      </c>
      <c r="C177" s="14">
        <v>192.0</v>
      </c>
      <c r="D177" s="12" t="s">
        <v>1342</v>
      </c>
      <c r="E177" s="17">
        <v>-38.0</v>
      </c>
      <c r="F177" s="16"/>
    </row>
    <row r="178">
      <c r="A178" s="12">
        <v>231.0</v>
      </c>
      <c r="B178" s="13" t="s">
        <v>2104</v>
      </c>
      <c r="C178" s="14">
        <v>144.0</v>
      </c>
      <c r="D178" s="12" t="s">
        <v>1288</v>
      </c>
      <c r="E178" s="17">
        <v>-87.0</v>
      </c>
      <c r="F178" s="16"/>
    </row>
    <row r="179">
      <c r="A179" s="12">
        <v>232.0</v>
      </c>
      <c r="B179" s="13" t="s">
        <v>2110</v>
      </c>
      <c r="C179" s="14">
        <v>217.0</v>
      </c>
      <c r="D179" s="12" t="s">
        <v>1607</v>
      </c>
      <c r="E179" s="17">
        <v>-15.0</v>
      </c>
      <c r="F179" s="16"/>
    </row>
    <row r="180">
      <c r="A180" s="12">
        <v>233.0</v>
      </c>
      <c r="B180" s="13" t="s">
        <v>2114</v>
      </c>
      <c r="C180" s="14">
        <v>120.0</v>
      </c>
      <c r="D180" s="12" t="s">
        <v>1198</v>
      </c>
      <c r="E180" s="20" t="s">
        <v>231</v>
      </c>
      <c r="F180" s="16"/>
    </row>
    <row r="181">
      <c r="A181" s="12">
        <v>234.0</v>
      </c>
      <c r="B181" s="13" t="s">
        <v>2120</v>
      </c>
      <c r="C181" s="14">
        <v>148.0</v>
      </c>
      <c r="D181" s="12" t="s">
        <v>438</v>
      </c>
      <c r="E181" s="17">
        <v>-86.0</v>
      </c>
      <c r="F181" s="16"/>
    </row>
    <row r="182">
      <c r="A182" s="12">
        <v>235.0</v>
      </c>
      <c r="B182" s="13" t="s">
        <v>2125</v>
      </c>
      <c r="C182" s="14">
        <v>210.0</v>
      </c>
      <c r="D182" s="12" t="s">
        <v>1761</v>
      </c>
      <c r="E182" s="17">
        <v>-25.0</v>
      </c>
      <c r="F182" s="16"/>
    </row>
    <row r="183">
      <c r="A183" s="12">
        <v>238.0</v>
      </c>
      <c r="B183" s="13" t="s">
        <v>2130</v>
      </c>
      <c r="C183" s="14">
        <v>174.0</v>
      </c>
      <c r="D183" s="12" t="s">
        <v>480</v>
      </c>
      <c r="E183" s="17">
        <v>-64.0</v>
      </c>
      <c r="F183" s="16"/>
    </row>
    <row r="184">
      <c r="A184" s="12">
        <v>240.0</v>
      </c>
      <c r="B184" s="13" t="s">
        <v>2133</v>
      </c>
      <c r="C184" s="14">
        <v>263.0</v>
      </c>
      <c r="D184" s="12" t="s">
        <v>1571</v>
      </c>
      <c r="E184" s="18">
        <f>+23</f>
        <v>23</v>
      </c>
      <c r="F184" s="16"/>
    </row>
    <row r="185">
      <c r="A185" s="12">
        <v>242.0</v>
      </c>
      <c r="B185" s="13" t="s">
        <v>2135</v>
      </c>
      <c r="C185" s="14">
        <v>191.0</v>
      </c>
      <c r="D185" s="12" t="s">
        <v>1630</v>
      </c>
      <c r="E185" s="17">
        <v>-51.0</v>
      </c>
      <c r="F185" s="16"/>
    </row>
    <row r="186">
      <c r="A186" s="12">
        <v>246.0</v>
      </c>
      <c r="B186" s="13" t="s">
        <v>2137</v>
      </c>
      <c r="C186" s="14">
        <v>233.0</v>
      </c>
      <c r="D186" s="12" t="s">
        <v>1819</v>
      </c>
      <c r="E186" s="17">
        <v>-13.0</v>
      </c>
      <c r="F186" s="16"/>
    </row>
    <row r="187">
      <c r="A187" s="12">
        <v>249.0</v>
      </c>
      <c r="B187" s="13" t="s">
        <v>2139</v>
      </c>
      <c r="C187" s="14">
        <v>157.0</v>
      </c>
      <c r="D187" s="12" t="s">
        <v>1246</v>
      </c>
      <c r="E187" s="17">
        <v>-92.0</v>
      </c>
      <c r="F187" s="16"/>
    </row>
    <row r="188">
      <c r="A188" s="12">
        <v>250.0</v>
      </c>
      <c r="B188" s="13" t="s">
        <v>2141</v>
      </c>
      <c r="C188" s="14">
        <v>165.0</v>
      </c>
      <c r="D188" s="12" t="s">
        <v>470</v>
      </c>
      <c r="E188" s="17">
        <v>-85.0</v>
      </c>
      <c r="F188" s="16"/>
    </row>
    <row r="189">
      <c r="A189" s="12">
        <v>251.0</v>
      </c>
      <c r="B189" s="13" t="s">
        <v>2143</v>
      </c>
      <c r="C189" s="14">
        <v>224.0</v>
      </c>
      <c r="D189" s="12" t="s">
        <v>1568</v>
      </c>
      <c r="E189" s="17">
        <v>-27.0</v>
      </c>
      <c r="F189" s="16"/>
    </row>
    <row r="190">
      <c r="A190" s="12">
        <v>252.0</v>
      </c>
      <c r="B190" s="13" t="s">
        <v>2146</v>
      </c>
      <c r="C190" s="14">
        <v>189.0</v>
      </c>
      <c r="D190" s="12" t="s">
        <v>1553</v>
      </c>
      <c r="E190" s="17">
        <v>-63.0</v>
      </c>
      <c r="F190" s="16"/>
    </row>
    <row r="191">
      <c r="A191" s="12">
        <v>253.0</v>
      </c>
      <c r="B191" s="13" t="s">
        <v>2149</v>
      </c>
      <c r="C191" s="14">
        <v>143.0</v>
      </c>
      <c r="D191" s="12" t="s">
        <v>1284</v>
      </c>
      <c r="E191" s="20" t="s">
        <v>231</v>
      </c>
      <c r="F191" s="16"/>
    </row>
    <row r="192">
      <c r="A192" s="12">
        <v>258.0</v>
      </c>
      <c r="B192" s="13" t="s">
        <v>2153</v>
      </c>
      <c r="C192" s="14">
        <v>106.0</v>
      </c>
      <c r="D192" s="12" t="s">
        <v>1107</v>
      </c>
      <c r="E192" s="20" t="s">
        <v>231</v>
      </c>
      <c r="F192" s="16"/>
    </row>
    <row r="193">
      <c r="A193" s="12">
        <v>261.0</v>
      </c>
      <c r="B193" s="13" t="s">
        <v>2155</v>
      </c>
      <c r="C193" s="14">
        <v>182.0</v>
      </c>
      <c r="D193" s="12" t="s">
        <v>1665</v>
      </c>
      <c r="E193" s="17">
        <v>-79.0</v>
      </c>
      <c r="F193" s="16"/>
    </row>
    <row r="194">
      <c r="A194" s="12">
        <v>262.0</v>
      </c>
      <c r="B194" s="13" t="s">
        <v>2158</v>
      </c>
      <c r="C194" s="14">
        <v>289.0</v>
      </c>
      <c r="D194" s="12" t="s">
        <v>1822</v>
      </c>
      <c r="E194" s="18">
        <f>+27</f>
        <v>27</v>
      </c>
      <c r="F194" s="16"/>
    </row>
    <row r="195">
      <c r="A195" s="12">
        <v>265.0</v>
      </c>
      <c r="B195" s="13" t="s">
        <v>2162</v>
      </c>
      <c r="C195" s="14">
        <v>179.0</v>
      </c>
      <c r="D195" s="12" t="s">
        <v>1442</v>
      </c>
      <c r="E195" s="17">
        <v>-86.0</v>
      </c>
      <c r="F195" s="16"/>
    </row>
    <row r="196">
      <c r="A196" s="12">
        <v>267.0</v>
      </c>
      <c r="B196" s="13" t="s">
        <v>2166</v>
      </c>
      <c r="C196" s="14">
        <v>204.0</v>
      </c>
      <c r="D196" s="12" t="s">
        <v>1654</v>
      </c>
      <c r="E196" s="17">
        <v>-63.0</v>
      </c>
      <c r="F196" s="16"/>
    </row>
    <row r="197">
      <c r="A197" s="12">
        <v>268.0</v>
      </c>
      <c r="B197" s="13" t="s">
        <v>2169</v>
      </c>
      <c r="C197" s="14">
        <v>211.0</v>
      </c>
      <c r="D197" s="12" t="s">
        <v>1640</v>
      </c>
      <c r="E197" s="17">
        <v>-57.0</v>
      </c>
      <c r="F197" s="16"/>
    </row>
    <row r="198">
      <c r="A198" s="12">
        <v>277.0</v>
      </c>
      <c r="B198" s="13" t="s">
        <v>2172</v>
      </c>
      <c r="C198" s="14">
        <v>181.0</v>
      </c>
      <c r="D198" s="12" t="s">
        <v>1634</v>
      </c>
      <c r="E198" s="17">
        <v>-96.0</v>
      </c>
      <c r="F198" s="16"/>
    </row>
    <row r="199">
      <c r="A199" s="12">
        <v>281.0</v>
      </c>
      <c r="B199" s="13" t="s">
        <v>2174</v>
      </c>
      <c r="C199" s="14">
        <v>160.0</v>
      </c>
      <c r="D199" s="12" t="s">
        <v>1397</v>
      </c>
      <c r="E199" s="20" t="s">
        <v>231</v>
      </c>
      <c r="F199" s="16"/>
    </row>
    <row r="200">
      <c r="A200" s="12">
        <v>283.0</v>
      </c>
      <c r="B200" s="13" t="s">
        <v>2176</v>
      </c>
      <c r="C200" s="14">
        <v>176.0</v>
      </c>
      <c r="D200" s="12" t="s">
        <v>1459</v>
      </c>
      <c r="E200" s="20" t="s">
        <v>231</v>
      </c>
      <c r="F200" s="16"/>
    </row>
    <row r="201">
      <c r="A201" s="12">
        <v>285.0</v>
      </c>
      <c r="B201" s="13" t="s">
        <v>2178</v>
      </c>
      <c r="C201" s="14">
        <v>208.0</v>
      </c>
      <c r="D201" s="12" t="s">
        <v>1512</v>
      </c>
      <c r="E201" s="17">
        <v>-77.0</v>
      </c>
      <c r="F201" s="16"/>
    </row>
    <row r="202">
      <c r="A202" s="12">
        <v>286.0</v>
      </c>
      <c r="B202" s="13" t="s">
        <v>2180</v>
      </c>
      <c r="C202" s="14">
        <v>215.0</v>
      </c>
      <c r="D202" s="12" t="s">
        <v>1825</v>
      </c>
      <c r="E202" s="17">
        <v>-71.0</v>
      </c>
      <c r="F202" s="16"/>
    </row>
    <row r="203">
      <c r="A203" s="12">
        <v>287.0</v>
      </c>
      <c r="B203" s="13" t="s">
        <v>2182</v>
      </c>
      <c r="C203" s="14">
        <v>161.0</v>
      </c>
      <c r="D203" s="12" t="s">
        <v>1373</v>
      </c>
      <c r="E203" s="20" t="s">
        <v>231</v>
      </c>
      <c r="F203" s="16"/>
    </row>
    <row r="204">
      <c r="A204" s="12">
        <v>288.0</v>
      </c>
      <c r="B204" s="13" t="s">
        <v>2184</v>
      </c>
      <c r="C204" s="14">
        <v>202.0</v>
      </c>
      <c r="D204" s="12" t="s">
        <v>1686</v>
      </c>
      <c r="E204" s="17">
        <v>-86.0</v>
      </c>
      <c r="F204" s="16"/>
    </row>
    <row r="205">
      <c r="A205" s="12">
        <v>291.0</v>
      </c>
      <c r="B205" s="13" t="s">
        <v>2186</v>
      </c>
      <c r="C205" s="14">
        <v>149.0</v>
      </c>
      <c r="D205" s="12" t="s">
        <v>1333</v>
      </c>
      <c r="E205" s="20" t="s">
        <v>231</v>
      </c>
      <c r="F205" s="16"/>
    </row>
    <row r="206">
      <c r="A206" s="12">
        <v>295.0</v>
      </c>
      <c r="B206" s="13" t="s">
        <v>2188</v>
      </c>
      <c r="C206" s="14">
        <v>187.0</v>
      </c>
      <c r="D206" s="12" t="s">
        <v>1562</v>
      </c>
      <c r="E206" s="20" t="s">
        <v>231</v>
      </c>
      <c r="F206" s="16"/>
    </row>
    <row r="207">
      <c r="A207" s="12">
        <v>300.0</v>
      </c>
      <c r="B207" s="13" t="s">
        <v>2190</v>
      </c>
      <c r="C207" s="14">
        <v>253.0</v>
      </c>
      <c r="D207" s="12" t="s">
        <v>1593</v>
      </c>
      <c r="E207" s="17">
        <v>-47.0</v>
      </c>
      <c r="F207" s="16"/>
    </row>
    <row r="208">
      <c r="A208" s="12">
        <v>302.0</v>
      </c>
      <c r="B208" s="13" t="s">
        <v>2191</v>
      </c>
      <c r="C208" s="14">
        <v>220.0</v>
      </c>
      <c r="D208" s="12" t="s">
        <v>1598</v>
      </c>
      <c r="E208" s="17">
        <v>-82.0</v>
      </c>
      <c r="F208" s="16"/>
    </row>
    <row r="209">
      <c r="A209" s="12">
        <v>303.0</v>
      </c>
      <c r="B209" s="13" t="s">
        <v>2193</v>
      </c>
      <c r="C209" s="14">
        <v>186.0</v>
      </c>
      <c r="D209" s="12" t="s">
        <v>1668</v>
      </c>
      <c r="E209" s="20" t="s">
        <v>231</v>
      </c>
      <c r="F209" s="16"/>
    </row>
    <row r="210">
      <c r="A210" s="12">
        <v>307.0</v>
      </c>
      <c r="B210" s="13" t="s">
        <v>2195</v>
      </c>
      <c r="C210" s="14">
        <v>214.0</v>
      </c>
      <c r="D210" s="12" t="s">
        <v>1590</v>
      </c>
      <c r="E210" s="17">
        <v>-93.0</v>
      </c>
      <c r="F210" s="16"/>
    </row>
    <row r="211">
      <c r="A211" s="12">
        <v>314.0</v>
      </c>
      <c r="B211" s="13" t="s">
        <v>2197</v>
      </c>
      <c r="C211" s="14">
        <v>212.0</v>
      </c>
      <c r="D211" s="12" t="s">
        <v>1648</v>
      </c>
      <c r="E211" s="20" t="s">
        <v>231</v>
      </c>
      <c r="F211" s="16"/>
    </row>
    <row r="212">
      <c r="A212" s="12">
        <v>316.0</v>
      </c>
      <c r="B212" s="13" t="s">
        <v>2199</v>
      </c>
      <c r="C212" s="14">
        <v>239.0</v>
      </c>
      <c r="D212" s="12" t="s">
        <v>1878</v>
      </c>
      <c r="E212" s="17">
        <v>-77.0</v>
      </c>
      <c r="F212" s="16"/>
    </row>
    <row r="213">
      <c r="A213" s="12">
        <v>319.0</v>
      </c>
      <c r="B213" s="13" t="s">
        <v>2201</v>
      </c>
      <c r="C213" s="14">
        <v>265.0</v>
      </c>
      <c r="D213" s="12" t="s">
        <v>1694</v>
      </c>
      <c r="E213" s="17">
        <v>-54.0</v>
      </c>
      <c r="F213" s="16"/>
    </row>
    <row r="214">
      <c r="A214" s="12">
        <v>321.0</v>
      </c>
      <c r="B214" s="13" t="s">
        <v>2203</v>
      </c>
      <c r="C214" s="14">
        <v>243.0</v>
      </c>
      <c r="D214" s="12" t="s">
        <v>1595</v>
      </c>
      <c r="E214" s="17">
        <v>-78.0</v>
      </c>
      <c r="F214" s="16"/>
    </row>
    <row r="215">
      <c r="A215" s="12">
        <v>323.0</v>
      </c>
      <c r="B215" s="13" t="s">
        <v>2205</v>
      </c>
      <c r="C215" s="14">
        <v>242.0</v>
      </c>
      <c r="D215" s="12" t="s">
        <v>1883</v>
      </c>
      <c r="E215" s="17">
        <v>-81.0</v>
      </c>
      <c r="F215" s="16"/>
    </row>
    <row r="216">
      <c r="A216" s="12">
        <v>325.0</v>
      </c>
      <c r="B216" s="13" t="s">
        <v>2208</v>
      </c>
      <c r="C216" s="14">
        <v>138.0</v>
      </c>
      <c r="D216" s="12" t="s">
        <v>1278</v>
      </c>
      <c r="E216" s="20" t="s">
        <v>231</v>
      </c>
      <c r="F216" s="16"/>
    </row>
    <row r="217">
      <c r="A217" s="12">
        <v>327.0</v>
      </c>
      <c r="B217" s="13" t="s">
        <v>2211</v>
      </c>
      <c r="C217" s="14">
        <v>221.0</v>
      </c>
      <c r="D217" s="12" t="s">
        <v>1848</v>
      </c>
      <c r="E217" s="20" t="s">
        <v>231</v>
      </c>
      <c r="F217" s="16"/>
    </row>
    <row r="218">
      <c r="A218" s="12">
        <v>328.0</v>
      </c>
      <c r="B218" s="13" t="s">
        <v>2214</v>
      </c>
      <c r="C218" s="14">
        <v>225.0</v>
      </c>
      <c r="D218" s="12" t="s">
        <v>1494</v>
      </c>
      <c r="E218" s="20" t="s">
        <v>231</v>
      </c>
      <c r="F218" s="16"/>
    </row>
    <row r="219">
      <c r="A219" s="12">
        <v>332.0</v>
      </c>
      <c r="B219" s="13" t="s">
        <v>2217</v>
      </c>
      <c r="C219" s="14">
        <v>218.0</v>
      </c>
      <c r="D219" s="12" t="s">
        <v>1680</v>
      </c>
      <c r="E219" s="20" t="s">
        <v>231</v>
      </c>
      <c r="F219" s="16"/>
    </row>
    <row r="220">
      <c r="A220" s="12">
        <v>333.0</v>
      </c>
      <c r="B220" s="13" t="s">
        <v>2219</v>
      </c>
      <c r="C220" s="14">
        <v>159.0</v>
      </c>
      <c r="D220" s="12" t="s">
        <v>1367</v>
      </c>
      <c r="E220" s="20" t="s">
        <v>231</v>
      </c>
      <c r="F220" s="16"/>
    </row>
    <row r="221">
      <c r="A221" s="12">
        <v>334.0</v>
      </c>
      <c r="B221" s="13" t="s">
        <v>2222</v>
      </c>
      <c r="C221" s="14">
        <v>183.0</v>
      </c>
      <c r="D221" s="12" t="s">
        <v>1271</v>
      </c>
      <c r="E221" s="20" t="s">
        <v>231</v>
      </c>
      <c r="F221" s="16"/>
    </row>
    <row r="222">
      <c r="A222" s="12">
        <v>348.0</v>
      </c>
      <c r="B222" s="13" t="s">
        <v>2228</v>
      </c>
      <c r="C222" s="14">
        <v>272.0</v>
      </c>
      <c r="D222" s="12" t="s">
        <v>1610</v>
      </c>
      <c r="E222" s="17">
        <v>-76.0</v>
      </c>
      <c r="F222" s="16"/>
    </row>
    <row r="223">
      <c r="A223" s="12">
        <v>349.0</v>
      </c>
      <c r="B223" s="13" t="s">
        <v>2232</v>
      </c>
      <c r="C223" s="14">
        <v>266.0</v>
      </c>
      <c r="D223" s="12" t="s">
        <v>1621</v>
      </c>
      <c r="E223" s="17">
        <v>-83.0</v>
      </c>
      <c r="F223" s="16"/>
    </row>
    <row r="224">
      <c r="A224" s="12">
        <v>362.0</v>
      </c>
      <c r="B224" s="13" t="s">
        <v>2233</v>
      </c>
      <c r="C224" s="14">
        <v>188.0</v>
      </c>
      <c r="D224" s="12" t="s">
        <v>1623</v>
      </c>
      <c r="E224" s="20" t="s">
        <v>231</v>
      </c>
      <c r="F224" s="16"/>
    </row>
    <row r="225">
      <c r="A225" s="12">
        <v>363.0</v>
      </c>
      <c r="B225" s="13" t="s">
        <v>2234</v>
      </c>
      <c r="C225" s="14">
        <v>275.0</v>
      </c>
      <c r="D225" s="12" t="s">
        <v>2002</v>
      </c>
      <c r="E225" s="17">
        <v>-88.0</v>
      </c>
      <c r="F225" s="16"/>
    </row>
    <row r="226">
      <c r="A226" s="12">
        <v>367.0</v>
      </c>
      <c r="B226" s="13" t="s">
        <v>2235</v>
      </c>
      <c r="C226" s="14">
        <v>199.0</v>
      </c>
      <c r="D226" s="12" t="s">
        <v>1750</v>
      </c>
      <c r="E226" s="20" t="s">
        <v>231</v>
      </c>
      <c r="F226" s="16"/>
    </row>
    <row r="227">
      <c r="A227" s="12">
        <v>369.0</v>
      </c>
      <c r="B227" s="13" t="s">
        <v>2236</v>
      </c>
      <c r="C227" s="14">
        <v>128.0</v>
      </c>
      <c r="D227" s="12" t="s">
        <v>185</v>
      </c>
      <c r="E227" s="20" t="s">
        <v>231</v>
      </c>
      <c r="F227" s="16"/>
    </row>
    <row r="228">
      <c r="A228" s="12">
        <v>370.0</v>
      </c>
      <c r="B228" s="13" t="s">
        <v>2237</v>
      </c>
      <c r="C228" s="14">
        <v>172.0</v>
      </c>
      <c r="D228" s="12" t="s">
        <v>1453</v>
      </c>
      <c r="E228" s="20" t="s">
        <v>231</v>
      </c>
      <c r="F228" s="16"/>
    </row>
    <row r="229">
      <c r="A229" s="12">
        <v>390.0</v>
      </c>
      <c r="B229" s="13" t="s">
        <v>2238</v>
      </c>
      <c r="C229" s="14">
        <v>282.0</v>
      </c>
      <c r="D229" s="12" t="s">
        <v>2022</v>
      </c>
      <c r="E229" s="20" t="s">
        <v>231</v>
      </c>
      <c r="F229" s="16"/>
    </row>
    <row r="230">
      <c r="A230" s="12">
        <v>396.0</v>
      </c>
      <c r="B230" s="13" t="s">
        <v>2240</v>
      </c>
      <c r="C230" s="14">
        <v>284.0</v>
      </c>
      <c r="D230" s="12" t="s">
        <v>1616</v>
      </c>
      <c r="E230" s="20" t="s">
        <v>231</v>
      </c>
      <c r="F230" s="16"/>
    </row>
    <row r="231">
      <c r="A231" s="12">
        <v>402.0</v>
      </c>
      <c r="B231" s="13" t="s">
        <v>2242</v>
      </c>
      <c r="C231" s="14">
        <v>228.0</v>
      </c>
      <c r="D231" s="12" t="s">
        <v>1565</v>
      </c>
      <c r="E231" s="20" t="s">
        <v>231</v>
      </c>
      <c r="F231" s="16"/>
    </row>
    <row r="232">
      <c r="A232" s="12">
        <v>419.0</v>
      </c>
      <c r="B232" s="13" t="s">
        <v>2243</v>
      </c>
      <c r="C232" s="14">
        <v>290.0</v>
      </c>
      <c r="D232" s="12" t="s">
        <v>1956</v>
      </c>
      <c r="E232" s="20" t="s">
        <v>231</v>
      </c>
      <c r="F232" s="16"/>
    </row>
    <row r="233">
      <c r="A233" s="12">
        <v>420.0</v>
      </c>
      <c r="B233" s="13" t="s">
        <v>2245</v>
      </c>
      <c r="C233" s="14">
        <v>252.0</v>
      </c>
      <c r="D233" s="12" t="s">
        <v>1660</v>
      </c>
      <c r="E233" s="20" t="s">
        <v>231</v>
      </c>
      <c r="F233" s="16"/>
    </row>
    <row r="234">
      <c r="A234" s="12">
        <v>421.0</v>
      </c>
      <c r="B234" s="13" t="s">
        <v>2250</v>
      </c>
      <c r="C234" s="14">
        <v>255.0</v>
      </c>
      <c r="D234" s="12" t="s">
        <v>1862</v>
      </c>
      <c r="E234" s="20" t="s">
        <v>231</v>
      </c>
      <c r="F234" s="16"/>
    </row>
    <row r="235">
      <c r="A235" s="12">
        <v>431.0</v>
      </c>
      <c r="B235" s="13" t="s">
        <v>2251</v>
      </c>
      <c r="C235" s="14">
        <v>237.0</v>
      </c>
      <c r="D235" s="12" t="s">
        <v>1874</v>
      </c>
      <c r="E235" s="20" t="s">
        <v>231</v>
      </c>
      <c r="F235" s="16"/>
    </row>
    <row r="236">
      <c r="A236" s="12">
        <v>432.0</v>
      </c>
      <c r="B236" s="13" t="s">
        <v>2253</v>
      </c>
      <c r="C236" s="14">
        <v>207.0</v>
      </c>
      <c r="D236" s="12" t="s">
        <v>1710</v>
      </c>
      <c r="E236" s="20" t="s">
        <v>231</v>
      </c>
      <c r="F236" s="16"/>
    </row>
    <row r="237">
      <c r="A237" s="12">
        <v>440.0</v>
      </c>
      <c r="B237" s="13" t="s">
        <v>2254</v>
      </c>
      <c r="C237" s="14">
        <v>203.0</v>
      </c>
      <c r="D237" s="12" t="s">
        <v>1682</v>
      </c>
      <c r="E237" s="20" t="s">
        <v>231</v>
      </c>
      <c r="F237" s="16"/>
    </row>
    <row r="238">
      <c r="A238" s="12">
        <v>449.0</v>
      </c>
      <c r="B238" s="13" t="s">
        <v>2255</v>
      </c>
      <c r="C238" s="14">
        <v>230.0</v>
      </c>
      <c r="D238" s="12" t="s">
        <v>1844</v>
      </c>
      <c r="E238" s="20" t="s">
        <v>231</v>
      </c>
      <c r="F238" s="16"/>
    </row>
    <row r="239">
      <c r="A239" s="12">
        <v>455.0</v>
      </c>
      <c r="B239" s="13" t="s">
        <v>2256</v>
      </c>
      <c r="C239" s="14">
        <v>178.0</v>
      </c>
      <c r="D239" s="12" t="s">
        <v>1732</v>
      </c>
      <c r="E239" s="20" t="s">
        <v>231</v>
      </c>
      <c r="F239" s="16"/>
    </row>
    <row r="240">
      <c r="A240" s="12">
        <v>456.0</v>
      </c>
      <c r="B240" s="13" t="s">
        <v>2257</v>
      </c>
      <c r="C240" s="14">
        <v>260.0</v>
      </c>
      <c r="D240" s="12" t="s">
        <v>1957</v>
      </c>
      <c r="E240" s="20" t="s">
        <v>231</v>
      </c>
      <c r="F240" s="16"/>
    </row>
    <row r="241">
      <c r="A241" s="12">
        <v>460.0</v>
      </c>
      <c r="B241" s="13" t="s">
        <v>2258</v>
      </c>
      <c r="C241" s="14">
        <v>190.0</v>
      </c>
      <c r="D241" s="12" t="s">
        <v>1759</v>
      </c>
      <c r="E241" s="20" t="s">
        <v>231</v>
      </c>
      <c r="F241" s="16"/>
    </row>
    <row r="242">
      <c r="A242" s="12">
        <v>461.0</v>
      </c>
      <c r="B242" s="13" t="s">
        <v>2259</v>
      </c>
      <c r="C242" s="14">
        <v>173.0</v>
      </c>
      <c r="D242" s="12" t="s">
        <v>1433</v>
      </c>
      <c r="E242" s="20" t="s">
        <v>231</v>
      </c>
      <c r="F242" s="16"/>
    </row>
    <row r="243">
      <c r="A243" s="12">
        <v>470.0</v>
      </c>
      <c r="B243" s="13" t="s">
        <v>2260</v>
      </c>
      <c r="C243" s="14">
        <v>236.0</v>
      </c>
      <c r="D243" s="12" t="s">
        <v>1860</v>
      </c>
      <c r="E243" s="20" t="s">
        <v>231</v>
      </c>
      <c r="F243" s="16"/>
    </row>
    <row r="244">
      <c r="A244" s="12">
        <v>471.0</v>
      </c>
      <c r="B244" s="13" t="s">
        <v>2261</v>
      </c>
      <c r="C244" s="14">
        <v>201.0</v>
      </c>
      <c r="D244" s="12" t="s">
        <v>1677</v>
      </c>
      <c r="E244" s="20" t="s">
        <v>231</v>
      </c>
      <c r="F244" s="16"/>
    </row>
    <row r="245">
      <c r="A245" s="12">
        <v>472.0</v>
      </c>
      <c r="B245" s="13" t="s">
        <v>2262</v>
      </c>
      <c r="C245" s="14">
        <v>276.0</v>
      </c>
      <c r="D245" s="12" t="s">
        <v>1985</v>
      </c>
      <c r="E245" s="20" t="s">
        <v>231</v>
      </c>
      <c r="F245" s="16"/>
    </row>
    <row r="246">
      <c r="A246" s="12">
        <v>473.0</v>
      </c>
      <c r="B246" s="13" t="s">
        <v>2263</v>
      </c>
      <c r="C246" s="14">
        <v>162.0</v>
      </c>
      <c r="D246" s="12" t="s">
        <v>1213</v>
      </c>
      <c r="E246" s="20" t="s">
        <v>231</v>
      </c>
      <c r="F246" s="16"/>
    </row>
    <row r="247">
      <c r="A247" s="12">
        <v>486.0</v>
      </c>
      <c r="B247" s="13" t="s">
        <v>2264</v>
      </c>
      <c r="C247" s="14">
        <v>229.0</v>
      </c>
      <c r="D247" s="12" t="s">
        <v>1523</v>
      </c>
      <c r="E247" s="20" t="s">
        <v>231</v>
      </c>
      <c r="F247" s="16"/>
    </row>
    <row r="248">
      <c r="A248" s="12">
        <v>493.0</v>
      </c>
      <c r="B248" s="13" t="s">
        <v>2265</v>
      </c>
      <c r="C248" s="14">
        <v>213.0</v>
      </c>
      <c r="D248" s="12" t="s">
        <v>1816</v>
      </c>
      <c r="E248" s="20" t="s">
        <v>231</v>
      </c>
      <c r="F248" s="16"/>
    </row>
    <row r="249">
      <c r="A249" s="12">
        <v>497.0</v>
      </c>
      <c r="B249" s="13" t="s">
        <v>2266</v>
      </c>
      <c r="C249" s="14">
        <v>249.0</v>
      </c>
      <c r="D249" s="12" t="s">
        <v>1673</v>
      </c>
      <c r="E249" s="20" t="s">
        <v>231</v>
      </c>
      <c r="F249" s="16"/>
    </row>
    <row r="250">
      <c r="A250" s="12">
        <v>499.0</v>
      </c>
      <c r="B250" s="13" t="s">
        <v>2267</v>
      </c>
      <c r="C250" s="14">
        <v>264.0</v>
      </c>
      <c r="D250" s="12" t="s">
        <v>1676</v>
      </c>
      <c r="E250" s="20" t="s">
        <v>231</v>
      </c>
      <c r="F250" s="16"/>
    </row>
    <row r="251">
      <c r="A251" s="12">
        <v>503.0</v>
      </c>
      <c r="B251" s="13" t="s">
        <v>2268</v>
      </c>
      <c r="C251" s="14">
        <v>251.0</v>
      </c>
      <c r="D251" s="12" t="s">
        <v>1909</v>
      </c>
      <c r="E251" s="20" t="s">
        <v>231</v>
      </c>
      <c r="F251" s="16"/>
    </row>
    <row r="252">
      <c r="A252" s="12">
        <v>508.0</v>
      </c>
      <c r="B252" s="13" t="s">
        <v>2269</v>
      </c>
      <c r="C252" s="14">
        <v>270.0</v>
      </c>
      <c r="D252" s="12" t="s">
        <v>1670</v>
      </c>
      <c r="E252" s="20" t="s">
        <v>231</v>
      </c>
      <c r="F252" s="16"/>
    </row>
    <row r="253">
      <c r="A253" s="12">
        <v>515.0</v>
      </c>
      <c r="B253" s="13" t="s">
        <v>2270</v>
      </c>
      <c r="C253" s="14">
        <v>288.0</v>
      </c>
      <c r="D253" s="12" t="s">
        <v>1587</v>
      </c>
      <c r="E253" s="20" t="s">
        <v>231</v>
      </c>
      <c r="F253" s="16"/>
    </row>
    <row r="254">
      <c r="A254" s="12">
        <v>516.0</v>
      </c>
      <c r="B254" s="13" t="s">
        <v>2271</v>
      </c>
      <c r="C254" s="14">
        <v>205.0</v>
      </c>
      <c r="D254" s="12" t="s">
        <v>1627</v>
      </c>
      <c r="E254" s="20" t="s">
        <v>231</v>
      </c>
      <c r="F254" s="16"/>
    </row>
    <row r="255">
      <c r="A255" s="12">
        <v>526.0</v>
      </c>
      <c r="B255" s="13" t="s">
        <v>2272</v>
      </c>
      <c r="C255" s="14">
        <v>286.0</v>
      </c>
      <c r="D255" s="12" t="s">
        <v>1933</v>
      </c>
      <c r="E255" s="20" t="s">
        <v>231</v>
      </c>
      <c r="F255" s="16"/>
    </row>
    <row r="256">
      <c r="A256" s="12">
        <v>555.0</v>
      </c>
      <c r="B256" s="13" t="s">
        <v>2273</v>
      </c>
      <c r="C256" s="14">
        <v>269.0</v>
      </c>
      <c r="D256" s="12" t="s">
        <v>1799</v>
      </c>
      <c r="E256" s="20" t="s">
        <v>231</v>
      </c>
      <c r="F256" s="16"/>
    </row>
    <row r="257">
      <c r="A257" s="12">
        <v>584.0</v>
      </c>
      <c r="B257" s="13" t="s">
        <v>2274</v>
      </c>
      <c r="C257" s="14">
        <v>283.0</v>
      </c>
      <c r="D257" s="12" t="s">
        <v>1969</v>
      </c>
      <c r="E257" s="20" t="s">
        <v>231</v>
      </c>
      <c r="F257" s="16"/>
    </row>
    <row r="258">
      <c r="A258" s="12">
        <v>589.0</v>
      </c>
      <c r="B258" s="13" t="s">
        <v>2275</v>
      </c>
      <c r="C258" s="14">
        <v>267.0</v>
      </c>
      <c r="D258" s="12" t="s">
        <v>1951</v>
      </c>
      <c r="E258" s="20" t="s">
        <v>231</v>
      </c>
      <c r="F258" s="16"/>
    </row>
    <row r="259">
      <c r="A259" s="12">
        <v>598.0</v>
      </c>
      <c r="B259" s="13" t="s">
        <v>2276</v>
      </c>
      <c r="C259" s="14">
        <v>195.0</v>
      </c>
      <c r="D259" s="12" t="s">
        <v>1779</v>
      </c>
      <c r="E259" s="20" t="s">
        <v>231</v>
      </c>
      <c r="F259" s="16"/>
    </row>
    <row r="260">
      <c r="A260" s="12">
        <v>599.0</v>
      </c>
      <c r="B260" s="13" t="s">
        <v>2277</v>
      </c>
      <c r="C260" s="14">
        <v>232.0</v>
      </c>
      <c r="D260" s="12" t="s">
        <v>1789</v>
      </c>
      <c r="E260" s="20" t="s">
        <v>231</v>
      </c>
      <c r="F260" s="16"/>
    </row>
    <row r="261">
      <c r="A261" s="12">
        <v>603.0</v>
      </c>
      <c r="B261" s="13" t="s">
        <v>2278</v>
      </c>
      <c r="C261" s="14">
        <v>300.0</v>
      </c>
      <c r="D261" s="12" t="s">
        <v>2090</v>
      </c>
      <c r="E261" s="20" t="s">
        <v>231</v>
      </c>
      <c r="F261" s="16"/>
    </row>
    <row r="262">
      <c r="A262" s="12">
        <v>605.0</v>
      </c>
      <c r="B262" s="13" t="s">
        <v>2279</v>
      </c>
      <c r="C262" s="14">
        <v>234.0</v>
      </c>
      <c r="D262" s="12" t="s">
        <v>1645</v>
      </c>
      <c r="E262" s="20" t="s">
        <v>231</v>
      </c>
      <c r="F262" s="16"/>
    </row>
    <row r="263">
      <c r="A263" s="12">
        <v>607.0</v>
      </c>
      <c r="B263" s="13" t="s">
        <v>2280</v>
      </c>
      <c r="C263" s="14">
        <v>274.0</v>
      </c>
      <c r="D263" s="12" t="s">
        <v>1888</v>
      </c>
      <c r="E263" s="20" t="s">
        <v>231</v>
      </c>
      <c r="F263" s="16"/>
    </row>
    <row r="264">
      <c r="A264" s="12">
        <v>609.0</v>
      </c>
      <c r="B264" s="13" t="s">
        <v>2281</v>
      </c>
      <c r="C264" s="14">
        <v>241.0</v>
      </c>
      <c r="D264" s="12" t="s">
        <v>1870</v>
      </c>
      <c r="E264" s="20" t="s">
        <v>231</v>
      </c>
      <c r="F264" s="16"/>
    </row>
    <row r="265">
      <c r="A265" s="12">
        <v>610.0</v>
      </c>
      <c r="B265" s="13" t="s">
        <v>2282</v>
      </c>
      <c r="C265" s="14">
        <v>277.0</v>
      </c>
      <c r="D265" s="12" t="s">
        <v>1999</v>
      </c>
      <c r="E265" s="20" t="s">
        <v>231</v>
      </c>
      <c r="F265" s="16"/>
    </row>
    <row r="266">
      <c r="A266" s="12">
        <v>620.0</v>
      </c>
      <c r="B266" s="13" t="s">
        <v>2283</v>
      </c>
      <c r="C266" s="14">
        <v>280.0</v>
      </c>
      <c r="D266" s="12" t="s">
        <v>2006</v>
      </c>
      <c r="E266" s="20" t="s">
        <v>231</v>
      </c>
      <c r="F266" s="16"/>
    </row>
    <row r="267">
      <c r="A267" s="12">
        <v>626.0</v>
      </c>
      <c r="B267" s="13" t="s">
        <v>2284</v>
      </c>
      <c r="C267" s="14">
        <v>244.0</v>
      </c>
      <c r="D267" s="12" t="s">
        <v>1905</v>
      </c>
      <c r="E267" s="20" t="s">
        <v>231</v>
      </c>
      <c r="F267" s="16"/>
    </row>
    <row r="268">
      <c r="A268" s="12">
        <v>629.0</v>
      </c>
      <c r="B268" s="13" t="s">
        <v>2285</v>
      </c>
      <c r="C268" s="14">
        <v>223.0</v>
      </c>
      <c r="D268" s="12" t="s">
        <v>1577</v>
      </c>
      <c r="E268" s="20" t="s">
        <v>231</v>
      </c>
      <c r="F268" s="16"/>
    </row>
    <row r="269">
      <c r="A269" s="12">
        <v>640.0</v>
      </c>
      <c r="B269" s="13" t="s">
        <v>2286</v>
      </c>
      <c r="C269" s="14">
        <v>256.0</v>
      </c>
      <c r="D269" s="12" t="s">
        <v>1875</v>
      </c>
      <c r="E269" s="20" t="s">
        <v>231</v>
      </c>
      <c r="F269" s="16"/>
    </row>
    <row r="270">
      <c r="A270" s="12">
        <v>655.0</v>
      </c>
      <c r="B270" s="13" t="s">
        <v>2287</v>
      </c>
      <c r="C270" s="14">
        <v>278.0</v>
      </c>
      <c r="D270" s="12" t="s">
        <v>2010</v>
      </c>
      <c r="E270" s="20" t="s">
        <v>231</v>
      </c>
      <c r="F270" s="16"/>
    </row>
    <row r="271">
      <c r="A271" s="12">
        <v>657.0</v>
      </c>
      <c r="B271" s="13" t="s">
        <v>2288</v>
      </c>
      <c r="C271" s="14">
        <v>247.0</v>
      </c>
      <c r="D271" s="12" t="s">
        <v>1898</v>
      </c>
      <c r="E271" s="20" t="s">
        <v>231</v>
      </c>
      <c r="F271" s="16"/>
    </row>
    <row r="272">
      <c r="A272" s="12">
        <v>667.0</v>
      </c>
      <c r="B272" s="13" t="s">
        <v>2289</v>
      </c>
      <c r="C272" s="14">
        <v>250.0</v>
      </c>
      <c r="D272" s="12" t="s">
        <v>1931</v>
      </c>
      <c r="E272" s="20" t="s">
        <v>231</v>
      </c>
      <c r="F272" s="16"/>
    </row>
    <row r="273">
      <c r="A273" s="12">
        <v>684.0</v>
      </c>
      <c r="B273" s="13" t="s">
        <v>2290</v>
      </c>
      <c r="C273" s="14">
        <v>279.0</v>
      </c>
      <c r="D273" s="12" t="s">
        <v>2016</v>
      </c>
      <c r="E273" s="20" t="s">
        <v>231</v>
      </c>
      <c r="F273" s="16"/>
    </row>
    <row r="274">
      <c r="A274" s="12">
        <v>689.0</v>
      </c>
      <c r="B274" s="13" t="s">
        <v>2291</v>
      </c>
      <c r="C274" s="14">
        <v>193.0</v>
      </c>
      <c r="D274" s="12" t="s">
        <v>1745</v>
      </c>
      <c r="E274" s="20" t="s">
        <v>231</v>
      </c>
      <c r="F274" s="16"/>
    </row>
    <row r="275">
      <c r="A275" s="12">
        <v>691.0</v>
      </c>
      <c r="B275" s="13" t="s">
        <v>2292</v>
      </c>
      <c r="C275" s="14">
        <v>257.0</v>
      </c>
      <c r="D275" s="12" t="s">
        <v>1928</v>
      </c>
      <c r="E275" s="20" t="s">
        <v>231</v>
      </c>
      <c r="F275" s="16"/>
    </row>
    <row r="276">
      <c r="A276" s="12">
        <v>708.0</v>
      </c>
      <c r="B276" s="13" t="s">
        <v>2293</v>
      </c>
      <c r="C276" s="14">
        <v>285.0</v>
      </c>
      <c r="D276" s="12" t="s">
        <v>1947</v>
      </c>
      <c r="E276" s="20" t="s">
        <v>231</v>
      </c>
      <c r="F276" s="16"/>
    </row>
    <row r="277">
      <c r="A277" s="12">
        <v>713.0</v>
      </c>
      <c r="B277" s="13" t="s">
        <v>2294</v>
      </c>
      <c r="C277" s="14">
        <v>259.0</v>
      </c>
      <c r="D277" s="12" t="s">
        <v>1936</v>
      </c>
      <c r="E277" s="20" t="s">
        <v>231</v>
      </c>
      <c r="F277" s="16"/>
    </row>
    <row r="278">
      <c r="A278" s="12">
        <v>730.0</v>
      </c>
      <c r="B278" s="13" t="s">
        <v>2295</v>
      </c>
      <c r="C278" s="14">
        <v>151.0</v>
      </c>
      <c r="D278" s="12" t="s">
        <v>427</v>
      </c>
      <c r="E278" s="20" t="s">
        <v>231</v>
      </c>
      <c r="F278" s="16"/>
    </row>
    <row r="279">
      <c r="A279" s="12">
        <v>736.0</v>
      </c>
      <c r="B279" s="13" t="s">
        <v>2297</v>
      </c>
      <c r="C279" s="14">
        <v>281.0</v>
      </c>
      <c r="D279" s="12" t="s">
        <v>1651</v>
      </c>
      <c r="E279" s="20" t="s">
        <v>231</v>
      </c>
      <c r="F279" s="16"/>
    </row>
    <row r="280">
      <c r="A280" s="12">
        <v>760.0</v>
      </c>
      <c r="B280" s="13" t="s">
        <v>2298</v>
      </c>
      <c r="C280" s="14">
        <v>262.0</v>
      </c>
      <c r="D280" s="12" t="s">
        <v>1965</v>
      </c>
      <c r="E280" s="20" t="s">
        <v>231</v>
      </c>
      <c r="F280" s="16"/>
    </row>
    <row r="281">
      <c r="A281" s="12">
        <v>812.0</v>
      </c>
      <c r="B281" s="13" t="s">
        <v>2299</v>
      </c>
      <c r="C281" s="14">
        <v>231.0</v>
      </c>
      <c r="D281" s="12" t="s">
        <v>1613</v>
      </c>
      <c r="E281" s="20" t="s">
        <v>231</v>
      </c>
      <c r="F281" s="16"/>
    </row>
    <row r="282">
      <c r="A282" s="12">
        <v>1039.0</v>
      </c>
      <c r="B282" s="13" t="s">
        <v>2301</v>
      </c>
      <c r="C282" s="14">
        <v>245.0</v>
      </c>
      <c r="D282" s="12" t="s">
        <v>1891</v>
      </c>
      <c r="E282" s="20" t="s">
        <v>231</v>
      </c>
      <c r="F282" s="16"/>
    </row>
    <row r="283">
      <c r="A283" s="12">
        <v>1049.0</v>
      </c>
      <c r="B283" s="13" t="s">
        <v>2303</v>
      </c>
      <c r="C283" s="14">
        <v>258.0</v>
      </c>
      <c r="D283" s="12" t="s">
        <v>1811</v>
      </c>
      <c r="E283" s="20" t="s">
        <v>231</v>
      </c>
      <c r="F283" s="16"/>
    </row>
    <row r="284">
      <c r="A284" s="12">
        <v>1051.0</v>
      </c>
      <c r="B284" s="13" t="s">
        <v>2304</v>
      </c>
      <c r="C284" s="14">
        <v>273.0</v>
      </c>
      <c r="D284" s="12" t="s">
        <v>1989</v>
      </c>
      <c r="E284" s="20" t="s">
        <v>231</v>
      </c>
      <c r="F284" s="16"/>
    </row>
    <row r="285">
      <c r="A285" s="12">
        <v>1296.0</v>
      </c>
      <c r="B285" s="13" t="s">
        <v>2307</v>
      </c>
      <c r="C285" s="14">
        <v>287.0</v>
      </c>
      <c r="D285" s="12" t="s">
        <v>2041</v>
      </c>
      <c r="E285" s="20" t="s">
        <v>231</v>
      </c>
      <c r="F285" s="16"/>
    </row>
    <row r="286">
      <c r="A286" s="12">
        <v>1682.0</v>
      </c>
      <c r="B286" s="13" t="s">
        <v>2308</v>
      </c>
      <c r="C286" s="14">
        <v>271.0</v>
      </c>
      <c r="D286" s="12" t="s">
        <v>1993</v>
      </c>
      <c r="E286" s="20" t="s">
        <v>231</v>
      </c>
      <c r="F286" s="16"/>
    </row>
    <row r="287">
      <c r="A287" s="12">
        <v>1684.0</v>
      </c>
      <c r="B287" s="13" t="s">
        <v>2310</v>
      </c>
      <c r="C287" s="14">
        <v>294.0</v>
      </c>
      <c r="D287" s="12" t="s">
        <v>2070</v>
      </c>
      <c r="E287" s="20" t="s">
        <v>231</v>
      </c>
      <c r="F287" s="16"/>
    </row>
    <row r="288">
      <c r="A288" s="12">
        <v>1686.0</v>
      </c>
      <c r="B288" s="13" t="s">
        <v>2312</v>
      </c>
      <c r="C288" s="14">
        <v>261.0</v>
      </c>
      <c r="D288" s="12" t="s">
        <v>1972</v>
      </c>
      <c r="E288" s="20" t="s">
        <v>231</v>
      </c>
      <c r="F288" s="16"/>
    </row>
    <row r="289">
      <c r="A289" s="12">
        <v>1688.0</v>
      </c>
      <c r="B289" s="13" t="s">
        <v>2315</v>
      </c>
      <c r="C289" s="14">
        <v>295.0</v>
      </c>
      <c r="D289" s="12" t="s">
        <v>2077</v>
      </c>
      <c r="E289" s="20" t="s">
        <v>231</v>
      </c>
      <c r="F289" s="16"/>
    </row>
    <row r="290">
      <c r="A290" s="12">
        <v>1700.0</v>
      </c>
      <c r="B290" s="13" t="s">
        <v>2318</v>
      </c>
      <c r="C290" s="14">
        <v>296.0</v>
      </c>
      <c r="D290" s="12" t="s">
        <v>2099</v>
      </c>
      <c r="E290" s="20" t="s">
        <v>231</v>
      </c>
      <c r="F290" s="16"/>
    </row>
    <row r="291">
      <c r="A291" s="12">
        <v>1847.0</v>
      </c>
      <c r="B291" s="13" t="s">
        <v>2321</v>
      </c>
      <c r="C291" s="14">
        <v>216.0</v>
      </c>
      <c r="D291" s="12" t="s">
        <v>1807</v>
      </c>
      <c r="E291" s="20" t="s">
        <v>231</v>
      </c>
      <c r="F291" s="16"/>
    </row>
    <row r="292">
      <c r="A292" s="12">
        <v>1892.0</v>
      </c>
      <c r="B292" s="13" t="s">
        <v>2323</v>
      </c>
      <c r="C292" s="14">
        <v>246.0</v>
      </c>
      <c r="D292" s="12" t="s">
        <v>1894</v>
      </c>
      <c r="E292" s="20" t="s">
        <v>231</v>
      </c>
      <c r="F292" s="16"/>
    </row>
    <row r="293">
      <c r="A293" s="12">
        <v>1893.0</v>
      </c>
      <c r="B293" s="13" t="s">
        <v>2325</v>
      </c>
      <c r="C293" s="14">
        <v>222.0</v>
      </c>
      <c r="D293" s="12" t="s">
        <v>1836</v>
      </c>
      <c r="E293" s="20" t="s">
        <v>231</v>
      </c>
      <c r="F293" s="16"/>
    </row>
    <row r="294">
      <c r="A294" s="12">
        <v>1894.0</v>
      </c>
      <c r="B294" s="13" t="s">
        <v>2328</v>
      </c>
      <c r="C294" s="14">
        <v>293.0</v>
      </c>
      <c r="D294" s="12" t="s">
        <v>2066</v>
      </c>
      <c r="E294" s="20" t="s">
        <v>231</v>
      </c>
      <c r="F294" s="16"/>
    </row>
    <row r="295">
      <c r="A295" s="12">
        <v>1896.0</v>
      </c>
      <c r="B295" s="13" t="s">
        <v>2331</v>
      </c>
      <c r="C295" s="14">
        <v>291.0</v>
      </c>
      <c r="D295" s="12" t="s">
        <v>2049</v>
      </c>
      <c r="E295" s="20" t="s">
        <v>231</v>
      </c>
      <c r="F295" s="16"/>
    </row>
    <row r="296">
      <c r="A296" s="12">
        <v>1900.0</v>
      </c>
      <c r="B296" s="13" t="s">
        <v>2334</v>
      </c>
      <c r="C296" s="14">
        <v>292.0</v>
      </c>
      <c r="D296" s="12" t="s">
        <v>2052</v>
      </c>
      <c r="E296" s="20" t="s">
        <v>231</v>
      </c>
      <c r="F296" s="16"/>
    </row>
    <row r="297">
      <c r="A297" s="12">
        <v>1915.0</v>
      </c>
      <c r="B297" s="13" t="s">
        <v>2337</v>
      </c>
      <c r="C297" s="14">
        <v>297.0</v>
      </c>
      <c r="D297" s="12" t="s">
        <v>2111</v>
      </c>
      <c r="E297" s="20" t="s">
        <v>231</v>
      </c>
      <c r="F297" s="16"/>
    </row>
    <row r="298">
      <c r="A298" s="12">
        <v>1951.0</v>
      </c>
      <c r="B298" s="13" t="s">
        <v>2340</v>
      </c>
      <c r="C298" s="14">
        <v>299.0</v>
      </c>
      <c r="D298" s="12" t="s">
        <v>2124</v>
      </c>
      <c r="E298" s="20" t="s">
        <v>231</v>
      </c>
      <c r="F298" s="16"/>
    </row>
    <row r="299">
      <c r="A299" s="12">
        <v>1962.0</v>
      </c>
      <c r="B299" s="13" t="s">
        <v>2343</v>
      </c>
      <c r="C299" s="14">
        <v>298.0</v>
      </c>
      <c r="D299" s="12" t="s">
        <v>2115</v>
      </c>
      <c r="E299" s="20" t="s">
        <v>231</v>
      </c>
      <c r="F299" s="16"/>
    </row>
    <row r="300">
      <c r="A300" s="12">
        <v>1971.0</v>
      </c>
      <c r="B300" s="13" t="s">
        <v>2346</v>
      </c>
      <c r="C300" s="14">
        <v>268.0</v>
      </c>
      <c r="D300" s="12" t="s">
        <v>1980</v>
      </c>
      <c r="E300" s="20" t="s">
        <v>231</v>
      </c>
      <c r="F300" s="16"/>
    </row>
    <row r="301">
      <c r="A301" s="12">
        <v>1976.0</v>
      </c>
      <c r="B301" s="13" t="s">
        <v>2349</v>
      </c>
      <c r="C301" s="14">
        <v>248.0</v>
      </c>
      <c r="D301" s="12" t="s">
        <v>1911</v>
      </c>
      <c r="E301" s="20" t="s">
        <v>231</v>
      </c>
    </row>
  </sheetData>
  <mergeCells count="1">
    <mergeCell ref="C1:F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</hyperlinks>
  <drawing r:id="rId30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/>
      <c r="B1" s="26"/>
      <c r="C1" s="29" t="s">
        <v>623</v>
      </c>
    </row>
    <row r="2">
      <c r="A2" s="9" t="s">
        <v>457</v>
      </c>
      <c r="B2" s="10" t="s">
        <v>458</v>
      </c>
      <c r="C2" s="11" t="s">
        <v>224</v>
      </c>
      <c r="D2" s="9" t="s">
        <v>459</v>
      </c>
      <c r="E2" s="9" t="s">
        <v>460</v>
      </c>
      <c r="F2" s="9" t="s">
        <v>461</v>
      </c>
    </row>
    <row r="3">
      <c r="A3" s="12">
        <v>1.0</v>
      </c>
      <c r="B3" s="13" t="s">
        <v>689</v>
      </c>
      <c r="C3" s="14">
        <v>2.0</v>
      </c>
      <c r="D3" s="12" t="s">
        <v>9</v>
      </c>
      <c r="E3" s="18">
        <f>+1</f>
        <v>1</v>
      </c>
      <c r="F3" s="16"/>
    </row>
    <row r="4">
      <c r="A4" s="12">
        <v>2.0</v>
      </c>
      <c r="B4" s="13" t="s">
        <v>692</v>
      </c>
      <c r="C4" s="14">
        <v>1.0</v>
      </c>
      <c r="D4" s="12" t="s">
        <v>6</v>
      </c>
      <c r="E4" s="17">
        <v>-1.0</v>
      </c>
      <c r="F4" s="16"/>
    </row>
    <row r="5">
      <c r="A5" s="12">
        <v>3.0</v>
      </c>
      <c r="B5" s="13" t="s">
        <v>696</v>
      </c>
      <c r="C5" s="14">
        <v>5.0</v>
      </c>
      <c r="D5" s="12" t="s">
        <v>18</v>
      </c>
      <c r="E5" s="18">
        <f>+2</f>
        <v>2</v>
      </c>
      <c r="F5" s="16"/>
    </row>
    <row r="6">
      <c r="A6" s="12">
        <v>4.0</v>
      </c>
      <c r="B6" s="13" t="s">
        <v>701</v>
      </c>
      <c r="C6" s="14">
        <v>3.0</v>
      </c>
      <c r="D6" s="12" t="s">
        <v>15</v>
      </c>
      <c r="E6" s="17">
        <v>-1.0</v>
      </c>
      <c r="F6" s="16"/>
    </row>
    <row r="7">
      <c r="A7" s="12">
        <v>5.0</v>
      </c>
      <c r="B7" s="13" t="s">
        <v>705</v>
      </c>
      <c r="C7" s="14">
        <v>4.0</v>
      </c>
      <c r="D7" s="12" t="s">
        <v>12</v>
      </c>
      <c r="E7" s="17">
        <v>-1.0</v>
      </c>
      <c r="F7" s="16"/>
    </row>
    <row r="8">
      <c r="A8" s="12">
        <v>6.0</v>
      </c>
      <c r="B8" s="13" t="s">
        <v>708</v>
      </c>
      <c r="C8" s="14">
        <v>16.0</v>
      </c>
      <c r="D8" s="12" t="s">
        <v>45</v>
      </c>
      <c r="E8" s="18">
        <f>+10</f>
        <v>10</v>
      </c>
      <c r="F8" s="16"/>
    </row>
    <row r="9">
      <c r="A9" s="12">
        <v>7.0</v>
      </c>
      <c r="B9" s="13" t="s">
        <v>711</v>
      </c>
      <c r="C9" s="14">
        <v>7.0</v>
      </c>
      <c r="D9" s="12" t="s">
        <v>21</v>
      </c>
      <c r="E9" s="15">
        <f>+0</f>
        <v>0</v>
      </c>
      <c r="F9" s="16"/>
    </row>
    <row r="10">
      <c r="A10" s="12">
        <v>8.0</v>
      </c>
      <c r="B10" s="13" t="s">
        <v>714</v>
      </c>
      <c r="C10" s="14">
        <v>18.0</v>
      </c>
      <c r="D10" s="12" t="s">
        <v>39</v>
      </c>
      <c r="E10" s="18">
        <f>+10</f>
        <v>10</v>
      </c>
      <c r="F10" s="16"/>
    </row>
    <row r="11">
      <c r="A11" s="12">
        <v>9.0</v>
      </c>
      <c r="B11" s="13" t="s">
        <v>718</v>
      </c>
      <c r="C11" s="14">
        <v>13.0</v>
      </c>
      <c r="D11" s="12" t="s">
        <v>27</v>
      </c>
      <c r="E11" s="18">
        <f>+4</f>
        <v>4</v>
      </c>
      <c r="F11" s="16"/>
    </row>
    <row r="12">
      <c r="A12" s="12">
        <v>10.0</v>
      </c>
      <c r="B12" s="13" t="s">
        <v>722</v>
      </c>
      <c r="C12" s="14">
        <v>8.0</v>
      </c>
      <c r="D12" s="12" t="s">
        <v>24</v>
      </c>
      <c r="E12" s="17">
        <v>-2.0</v>
      </c>
      <c r="F12" s="16"/>
    </row>
    <row r="13">
      <c r="A13" s="12">
        <v>11.0</v>
      </c>
      <c r="B13" s="13" t="s">
        <v>725</v>
      </c>
      <c r="C13" s="14">
        <v>14.0</v>
      </c>
      <c r="D13" s="12" t="s">
        <v>36</v>
      </c>
      <c r="E13" s="18">
        <f>+3</f>
        <v>3</v>
      </c>
      <c r="F13" s="16"/>
    </row>
    <row r="14">
      <c r="A14" s="12">
        <v>12.0</v>
      </c>
      <c r="B14" s="13" t="s">
        <v>729</v>
      </c>
      <c r="C14" s="14">
        <v>19.0</v>
      </c>
      <c r="D14" s="12" t="s">
        <v>48</v>
      </c>
      <c r="E14" s="18">
        <f>+7</f>
        <v>7</v>
      </c>
      <c r="F14" s="16"/>
    </row>
    <row r="15">
      <c r="A15" s="12">
        <v>13.0</v>
      </c>
      <c r="B15" s="13" t="s">
        <v>733</v>
      </c>
      <c r="C15" s="14">
        <v>22.0</v>
      </c>
      <c r="D15" s="12" t="s">
        <v>60</v>
      </c>
      <c r="E15" s="18">
        <f>+9</f>
        <v>9</v>
      </c>
      <c r="F15" s="16"/>
    </row>
    <row r="16">
      <c r="A16" s="12">
        <v>14.0</v>
      </c>
      <c r="B16" s="13" t="s">
        <v>736</v>
      </c>
      <c r="C16" s="14">
        <v>21.0</v>
      </c>
      <c r="D16" s="12" t="s">
        <v>42</v>
      </c>
      <c r="E16" s="18">
        <f>+7</f>
        <v>7</v>
      </c>
      <c r="F16" s="16"/>
    </row>
    <row r="17">
      <c r="A17" s="12">
        <v>15.0</v>
      </c>
      <c r="B17" s="13" t="s">
        <v>740</v>
      </c>
      <c r="C17" s="14">
        <v>20.0</v>
      </c>
      <c r="D17" s="12" t="s">
        <v>57</v>
      </c>
      <c r="E17" s="18">
        <f>+5</f>
        <v>5</v>
      </c>
      <c r="F17" s="16"/>
    </row>
    <row r="18">
      <c r="A18" s="12">
        <v>16.0</v>
      </c>
      <c r="B18" s="13" t="s">
        <v>743</v>
      </c>
      <c r="C18" s="14">
        <v>28.0</v>
      </c>
      <c r="D18" s="12" t="s">
        <v>66</v>
      </c>
      <c r="E18" s="18">
        <f>+12</f>
        <v>12</v>
      </c>
      <c r="F18" s="16"/>
    </row>
    <row r="19">
      <c r="A19" s="12">
        <v>17.0</v>
      </c>
      <c r="B19" s="13" t="s">
        <v>747</v>
      </c>
      <c r="C19" s="14">
        <v>10.0</v>
      </c>
      <c r="D19" s="12" t="s">
        <v>30</v>
      </c>
      <c r="E19" s="17">
        <v>-7.0</v>
      </c>
      <c r="F19" s="16"/>
    </row>
    <row r="20">
      <c r="A20" s="12">
        <v>18.0</v>
      </c>
      <c r="B20" s="13" t="s">
        <v>751</v>
      </c>
      <c r="C20" s="14">
        <v>12.0</v>
      </c>
      <c r="D20" s="12" t="s">
        <v>63</v>
      </c>
      <c r="E20" s="17">
        <v>-6.0</v>
      </c>
      <c r="F20" s="16"/>
    </row>
    <row r="21">
      <c r="A21" s="12">
        <v>19.0</v>
      </c>
      <c r="B21" s="13" t="s">
        <v>754</v>
      </c>
      <c r="C21" s="14">
        <v>23.0</v>
      </c>
      <c r="D21" s="12" t="s">
        <v>51</v>
      </c>
      <c r="E21" s="18">
        <f>+4</f>
        <v>4</v>
      </c>
      <c r="F21" s="16"/>
    </row>
    <row r="22">
      <c r="A22" s="12">
        <v>20.0</v>
      </c>
      <c r="B22" s="13" t="s">
        <v>758</v>
      </c>
      <c r="C22" s="14">
        <v>25.0</v>
      </c>
      <c r="D22" s="12" t="s">
        <v>75</v>
      </c>
      <c r="E22" s="18">
        <f>+5</f>
        <v>5</v>
      </c>
      <c r="F22" s="16"/>
    </row>
    <row r="23">
      <c r="A23" s="12">
        <v>21.0</v>
      </c>
      <c r="B23" s="13" t="s">
        <v>761</v>
      </c>
      <c r="C23" s="14">
        <v>27.0</v>
      </c>
      <c r="D23" s="12" t="s">
        <v>54</v>
      </c>
      <c r="E23" s="18">
        <f>+6</f>
        <v>6</v>
      </c>
      <c r="F23" s="16"/>
    </row>
    <row r="24">
      <c r="A24" s="12">
        <v>22.0</v>
      </c>
      <c r="B24" s="13" t="s">
        <v>765</v>
      </c>
      <c r="C24" s="14">
        <v>30.0</v>
      </c>
      <c r="D24" s="12" t="s">
        <v>72</v>
      </c>
      <c r="E24" s="18">
        <f>+8</f>
        <v>8</v>
      </c>
      <c r="F24" s="16"/>
    </row>
    <row r="25">
      <c r="A25" s="12">
        <v>23.0</v>
      </c>
      <c r="B25" s="13" t="s">
        <v>1086</v>
      </c>
      <c r="C25" s="14">
        <v>34.0</v>
      </c>
      <c r="D25" s="12" t="s">
        <v>92</v>
      </c>
      <c r="E25" s="18">
        <f>+11</f>
        <v>11</v>
      </c>
      <c r="F25" s="16"/>
    </row>
    <row r="26">
      <c r="A26" s="12">
        <v>24.0</v>
      </c>
      <c r="B26" s="13" t="s">
        <v>1094</v>
      </c>
      <c r="C26" s="14">
        <v>38.0</v>
      </c>
      <c r="D26" s="12" t="s">
        <v>121</v>
      </c>
      <c r="E26" s="18">
        <f t="shared" ref="E26:E27" si="1">+14</f>
        <v>14</v>
      </c>
      <c r="F26" s="16"/>
    </row>
    <row r="27">
      <c r="A27" s="12">
        <v>25.0</v>
      </c>
      <c r="B27" s="13" t="s">
        <v>1101</v>
      </c>
      <c r="C27" s="14">
        <v>39.0</v>
      </c>
      <c r="D27" s="12" t="s">
        <v>129</v>
      </c>
      <c r="E27" s="18">
        <f t="shared" si="1"/>
        <v>14</v>
      </c>
      <c r="F27" s="16"/>
    </row>
    <row r="28">
      <c r="A28" s="12">
        <v>26.0</v>
      </c>
      <c r="B28" s="13" t="s">
        <v>1106</v>
      </c>
      <c r="C28" s="14">
        <v>6.0</v>
      </c>
      <c r="D28" s="12" t="s">
        <v>33</v>
      </c>
      <c r="E28" s="17">
        <v>-20.0</v>
      </c>
      <c r="F28" s="16"/>
    </row>
    <row r="29">
      <c r="A29" s="12">
        <v>27.0</v>
      </c>
      <c r="B29" s="13" t="s">
        <v>1112</v>
      </c>
      <c r="C29" s="14">
        <v>35.0</v>
      </c>
      <c r="D29" s="12" t="s">
        <v>119</v>
      </c>
      <c r="E29" s="18">
        <f>+8</f>
        <v>8</v>
      </c>
      <c r="F29" s="16"/>
    </row>
    <row r="30">
      <c r="A30" s="12">
        <v>28.0</v>
      </c>
      <c r="B30" s="13" t="s">
        <v>1119</v>
      </c>
      <c r="C30" s="14">
        <v>29.0</v>
      </c>
      <c r="D30" s="12" t="s">
        <v>69</v>
      </c>
      <c r="E30" s="18">
        <f>+1</f>
        <v>1</v>
      </c>
      <c r="F30" s="16"/>
    </row>
    <row r="31">
      <c r="A31" s="12">
        <v>29.0</v>
      </c>
      <c r="B31" s="13" t="s">
        <v>1125</v>
      </c>
      <c r="C31" s="14">
        <v>24.0</v>
      </c>
      <c r="D31" s="12" t="s">
        <v>103</v>
      </c>
      <c r="E31" s="17">
        <v>-5.0</v>
      </c>
      <c r="F31" s="16"/>
    </row>
    <row r="32">
      <c r="A32" s="12">
        <v>30.0</v>
      </c>
      <c r="B32" s="13" t="s">
        <v>1131</v>
      </c>
      <c r="C32" s="14">
        <v>58.0</v>
      </c>
      <c r="D32" s="12" t="s">
        <v>127</v>
      </c>
      <c r="E32" s="18">
        <f>+28</f>
        <v>28</v>
      </c>
      <c r="F32" s="16"/>
    </row>
    <row r="33">
      <c r="A33" s="12">
        <v>31.0</v>
      </c>
      <c r="B33" s="13" t="s">
        <v>1138</v>
      </c>
      <c r="C33" s="14">
        <v>32.0</v>
      </c>
      <c r="D33" s="12" t="s">
        <v>81</v>
      </c>
      <c r="E33" s="18">
        <f>+1</f>
        <v>1</v>
      </c>
      <c r="F33" s="16"/>
    </row>
    <row r="34">
      <c r="A34" s="12">
        <v>32.0</v>
      </c>
      <c r="B34" s="13" t="s">
        <v>1143</v>
      </c>
      <c r="C34" s="14">
        <v>9.0</v>
      </c>
      <c r="D34" s="12" t="s">
        <v>90</v>
      </c>
      <c r="E34" s="17">
        <v>-23.0</v>
      </c>
      <c r="F34" s="16"/>
    </row>
    <row r="35">
      <c r="A35" s="12">
        <v>33.0</v>
      </c>
      <c r="B35" s="13" t="s">
        <v>1151</v>
      </c>
      <c r="C35" s="14">
        <v>47.0</v>
      </c>
      <c r="D35" s="12" t="s">
        <v>159</v>
      </c>
      <c r="E35" s="18">
        <f>+14</f>
        <v>14</v>
      </c>
      <c r="F35" s="16"/>
    </row>
    <row r="36">
      <c r="A36" s="12">
        <v>34.0</v>
      </c>
      <c r="B36" s="13" t="s">
        <v>1156</v>
      </c>
      <c r="C36" s="14">
        <v>36.0</v>
      </c>
      <c r="D36" s="12" t="s">
        <v>84</v>
      </c>
      <c r="E36" s="18">
        <f>+2</f>
        <v>2</v>
      </c>
      <c r="F36" s="16"/>
    </row>
    <row r="37">
      <c r="A37" s="12">
        <v>35.0</v>
      </c>
      <c r="B37" s="13" t="s">
        <v>1163</v>
      </c>
      <c r="C37" s="14">
        <v>42.0</v>
      </c>
      <c r="D37" s="12" t="s">
        <v>96</v>
      </c>
      <c r="E37" s="18">
        <f t="shared" ref="E37:E38" si="2">+7</f>
        <v>7</v>
      </c>
      <c r="F37" s="16"/>
    </row>
    <row r="38">
      <c r="A38" s="12">
        <v>36.0</v>
      </c>
      <c r="B38" s="13" t="s">
        <v>1170</v>
      </c>
      <c r="C38" s="14">
        <v>43.0</v>
      </c>
      <c r="D38" s="12" t="s">
        <v>135</v>
      </c>
      <c r="E38" s="18">
        <f t="shared" si="2"/>
        <v>7</v>
      </c>
      <c r="F38" s="16"/>
    </row>
    <row r="39">
      <c r="A39" s="12">
        <v>37.0</v>
      </c>
      <c r="B39" s="13" t="s">
        <v>1175</v>
      </c>
      <c r="C39" s="14">
        <v>54.0</v>
      </c>
      <c r="D39" s="12" t="s">
        <v>115</v>
      </c>
      <c r="E39" s="18">
        <f>+17</f>
        <v>17</v>
      </c>
      <c r="F39" s="16"/>
    </row>
    <row r="40">
      <c r="A40" s="12">
        <v>38.0</v>
      </c>
      <c r="B40" s="13" t="s">
        <v>1181</v>
      </c>
      <c r="C40" s="14">
        <v>40.0</v>
      </c>
      <c r="D40" s="12" t="s">
        <v>87</v>
      </c>
      <c r="E40" s="18">
        <f>+2</f>
        <v>2</v>
      </c>
      <c r="F40" s="16"/>
    </row>
    <row r="41">
      <c r="A41" s="12">
        <v>39.0</v>
      </c>
      <c r="B41" s="13" t="s">
        <v>1186</v>
      </c>
      <c r="C41" s="14">
        <v>48.0</v>
      </c>
      <c r="D41" s="12" t="s">
        <v>107</v>
      </c>
      <c r="E41" s="18">
        <f>+9</f>
        <v>9</v>
      </c>
      <c r="F41" s="16"/>
    </row>
    <row r="42">
      <c r="A42" s="12">
        <v>40.0</v>
      </c>
      <c r="B42" s="13" t="s">
        <v>1191</v>
      </c>
      <c r="C42" s="14">
        <v>15.0</v>
      </c>
      <c r="D42" s="12" t="s">
        <v>123</v>
      </c>
      <c r="E42" s="17">
        <v>-25.0</v>
      </c>
      <c r="F42" s="16"/>
    </row>
    <row r="43">
      <c r="A43" s="12">
        <v>41.0</v>
      </c>
      <c r="B43" s="13" t="s">
        <v>1200</v>
      </c>
      <c r="C43" s="14">
        <v>33.0</v>
      </c>
      <c r="D43" s="12" t="s">
        <v>78</v>
      </c>
      <c r="E43" s="17">
        <v>-8.0</v>
      </c>
      <c r="F43" s="16"/>
    </row>
    <row r="44">
      <c r="A44" s="12">
        <v>42.0</v>
      </c>
      <c r="B44" s="13" t="s">
        <v>1205</v>
      </c>
      <c r="C44" s="14">
        <v>59.0</v>
      </c>
      <c r="D44" s="12" t="s">
        <v>137</v>
      </c>
      <c r="E44" s="18">
        <f>+17</f>
        <v>17</v>
      </c>
      <c r="F44" s="16"/>
    </row>
    <row r="45">
      <c r="A45" s="12">
        <v>44.0</v>
      </c>
      <c r="B45" s="13" t="s">
        <v>1212</v>
      </c>
      <c r="C45" s="14">
        <v>64.0</v>
      </c>
      <c r="D45" s="12" t="s">
        <v>201</v>
      </c>
      <c r="E45" s="18">
        <f>+20</f>
        <v>20</v>
      </c>
      <c r="F45" s="16"/>
    </row>
    <row r="46">
      <c r="A46" s="12">
        <v>45.0</v>
      </c>
      <c r="B46" s="13" t="s">
        <v>1218</v>
      </c>
      <c r="C46" s="14">
        <v>51.0</v>
      </c>
      <c r="D46" s="12" t="s">
        <v>113</v>
      </c>
      <c r="E46" s="18">
        <f>+6</f>
        <v>6</v>
      </c>
      <c r="F46" s="16"/>
    </row>
    <row r="47">
      <c r="A47" s="12">
        <v>46.0</v>
      </c>
      <c r="B47" s="13" t="s">
        <v>1227</v>
      </c>
      <c r="C47" s="14">
        <v>67.0</v>
      </c>
      <c r="D47" s="12" t="s">
        <v>153</v>
      </c>
      <c r="E47" s="18">
        <f>+21</f>
        <v>21</v>
      </c>
      <c r="F47" s="16"/>
    </row>
    <row r="48">
      <c r="A48" s="12">
        <v>47.0</v>
      </c>
      <c r="B48" s="13" t="s">
        <v>1233</v>
      </c>
      <c r="C48" s="14">
        <v>45.0</v>
      </c>
      <c r="D48" s="12" t="s">
        <v>98</v>
      </c>
      <c r="E48" s="17">
        <v>-2.0</v>
      </c>
      <c r="F48" s="16"/>
    </row>
    <row r="49">
      <c r="A49" s="12">
        <v>49.0</v>
      </c>
      <c r="B49" s="13" t="s">
        <v>1241</v>
      </c>
      <c r="C49" s="14">
        <v>70.0</v>
      </c>
      <c r="D49" s="12" t="s">
        <v>157</v>
      </c>
      <c r="E49" s="18">
        <f>+21</f>
        <v>21</v>
      </c>
      <c r="F49" s="16"/>
    </row>
    <row r="50">
      <c r="A50" s="12">
        <v>50.0</v>
      </c>
      <c r="B50" s="13" t="s">
        <v>1250</v>
      </c>
      <c r="C50" s="14">
        <v>41.0</v>
      </c>
      <c r="D50" s="12" t="s">
        <v>131</v>
      </c>
      <c r="E50" s="17">
        <v>-9.0</v>
      </c>
      <c r="F50" s="16"/>
    </row>
    <row r="51">
      <c r="A51" s="12">
        <v>51.0</v>
      </c>
      <c r="B51" s="13" t="s">
        <v>1256</v>
      </c>
      <c r="C51" s="14">
        <v>62.0</v>
      </c>
      <c r="D51" s="12" t="s">
        <v>139</v>
      </c>
      <c r="E51" s="18">
        <f>+11</f>
        <v>11</v>
      </c>
      <c r="F51" s="16"/>
    </row>
    <row r="52">
      <c r="A52" s="12">
        <v>52.0</v>
      </c>
      <c r="B52" s="13" t="s">
        <v>1264</v>
      </c>
      <c r="C52" s="14">
        <v>57.0</v>
      </c>
      <c r="D52" s="12" t="s">
        <v>161</v>
      </c>
      <c r="E52" s="18">
        <f>+5</f>
        <v>5</v>
      </c>
      <c r="F52" s="16"/>
    </row>
    <row r="53">
      <c r="A53" s="12">
        <v>53.0</v>
      </c>
      <c r="B53" s="13" t="s">
        <v>1270</v>
      </c>
      <c r="C53" s="14">
        <v>31.0</v>
      </c>
      <c r="D53" s="12" t="s">
        <v>105</v>
      </c>
      <c r="E53" s="17">
        <v>-22.0</v>
      </c>
      <c r="F53" s="16"/>
    </row>
    <row r="54">
      <c r="A54" s="12">
        <v>54.0</v>
      </c>
      <c r="B54" s="13" t="s">
        <v>1277</v>
      </c>
      <c r="C54" s="14">
        <v>37.0</v>
      </c>
      <c r="D54" s="12" t="s">
        <v>109</v>
      </c>
      <c r="E54" s="17">
        <v>-17.0</v>
      </c>
      <c r="F54" s="16"/>
    </row>
    <row r="55">
      <c r="A55" s="12">
        <v>55.0</v>
      </c>
      <c r="B55" s="13" t="s">
        <v>1283</v>
      </c>
      <c r="C55" s="14">
        <v>17.0</v>
      </c>
      <c r="D55" s="12" t="s">
        <v>133</v>
      </c>
      <c r="E55" s="17">
        <v>-38.0</v>
      </c>
      <c r="F55" s="16"/>
    </row>
    <row r="56">
      <c r="A56" s="12">
        <v>56.0</v>
      </c>
      <c r="B56" s="13" t="s">
        <v>1291</v>
      </c>
      <c r="C56" s="14">
        <v>46.0</v>
      </c>
      <c r="D56" s="12" t="s">
        <v>101</v>
      </c>
      <c r="E56" s="17">
        <v>-10.0</v>
      </c>
      <c r="F56" s="16"/>
    </row>
    <row r="57">
      <c r="A57" s="12">
        <v>57.0</v>
      </c>
      <c r="B57" s="13" t="s">
        <v>1296</v>
      </c>
      <c r="C57" s="14">
        <v>11.0</v>
      </c>
      <c r="D57" s="12" t="s">
        <v>94</v>
      </c>
      <c r="E57" s="17">
        <v>-46.0</v>
      </c>
      <c r="F57" s="16"/>
    </row>
    <row r="58">
      <c r="A58" s="12">
        <v>59.0</v>
      </c>
      <c r="B58" s="13" t="s">
        <v>1301</v>
      </c>
      <c r="C58" s="14">
        <v>71.0</v>
      </c>
      <c r="D58" s="12" t="s">
        <v>213</v>
      </c>
      <c r="E58" s="18">
        <f>+12</f>
        <v>12</v>
      </c>
      <c r="F58" s="16"/>
    </row>
    <row r="59">
      <c r="A59" s="12">
        <v>60.0</v>
      </c>
      <c r="B59" s="13" t="s">
        <v>1307</v>
      </c>
      <c r="C59" s="14">
        <v>52.0</v>
      </c>
      <c r="D59" s="12" t="s">
        <v>149</v>
      </c>
      <c r="E59" s="17">
        <v>-8.0</v>
      </c>
      <c r="F59" s="16"/>
    </row>
    <row r="60">
      <c r="A60" s="12">
        <v>61.0</v>
      </c>
      <c r="B60" s="13" t="s">
        <v>1316</v>
      </c>
      <c r="C60" s="14">
        <v>49.0</v>
      </c>
      <c r="D60" s="12" t="s">
        <v>117</v>
      </c>
      <c r="E60" s="17">
        <v>-12.0</v>
      </c>
      <c r="F60" s="16"/>
    </row>
    <row r="61">
      <c r="A61" s="12">
        <v>63.0</v>
      </c>
      <c r="B61" s="13" t="s">
        <v>1321</v>
      </c>
      <c r="C61" s="14">
        <v>44.0</v>
      </c>
      <c r="D61" s="12" t="s">
        <v>145</v>
      </c>
      <c r="E61" s="17">
        <v>-19.0</v>
      </c>
      <c r="F61" s="16"/>
    </row>
    <row r="62">
      <c r="A62" s="12">
        <v>64.0</v>
      </c>
      <c r="B62" s="13" t="s">
        <v>1325</v>
      </c>
      <c r="C62" s="14">
        <v>68.0</v>
      </c>
      <c r="D62" s="12" t="s">
        <v>209</v>
      </c>
      <c r="E62" s="18">
        <f>+4</f>
        <v>4</v>
      </c>
      <c r="F62" s="16"/>
    </row>
    <row r="63">
      <c r="A63" s="12">
        <v>65.0</v>
      </c>
      <c r="B63" s="13" t="s">
        <v>1332</v>
      </c>
      <c r="C63" s="14">
        <v>82.0</v>
      </c>
      <c r="D63" s="12" t="s">
        <v>191</v>
      </c>
      <c r="E63" s="18">
        <f>+17</f>
        <v>17</v>
      </c>
      <c r="F63" s="16"/>
    </row>
    <row r="64">
      <c r="A64" s="12">
        <v>66.0</v>
      </c>
      <c r="B64" s="13" t="s">
        <v>1340</v>
      </c>
      <c r="C64" s="14">
        <v>53.0</v>
      </c>
      <c r="D64" s="12" t="s">
        <v>193</v>
      </c>
      <c r="E64" s="17">
        <v>-13.0</v>
      </c>
      <c r="F64" s="16"/>
    </row>
    <row r="65">
      <c r="A65" s="12">
        <v>67.0</v>
      </c>
      <c r="B65" s="13" t="s">
        <v>1347</v>
      </c>
      <c r="C65" s="14">
        <v>26.0</v>
      </c>
      <c r="D65" s="12" t="s">
        <v>141</v>
      </c>
      <c r="E65" s="17">
        <v>-41.0</v>
      </c>
      <c r="F65" s="16"/>
    </row>
    <row r="66">
      <c r="A66" s="12">
        <v>69.0</v>
      </c>
      <c r="B66" s="13" t="s">
        <v>1351</v>
      </c>
      <c r="C66" s="14">
        <v>76.0</v>
      </c>
      <c r="D66" s="12" t="s">
        <v>175</v>
      </c>
      <c r="E66" s="18">
        <f>+7</f>
        <v>7</v>
      </c>
      <c r="F66" s="16"/>
    </row>
    <row r="67">
      <c r="A67" s="12">
        <v>70.0</v>
      </c>
      <c r="B67" s="13" t="s">
        <v>1359</v>
      </c>
      <c r="C67" s="14">
        <v>73.0</v>
      </c>
      <c r="D67" s="12" t="s">
        <v>239</v>
      </c>
      <c r="E67" s="18">
        <f>+3</f>
        <v>3</v>
      </c>
      <c r="F67" s="16"/>
    </row>
    <row r="68">
      <c r="A68" s="12">
        <v>71.0</v>
      </c>
      <c r="B68" s="13" t="s">
        <v>1366</v>
      </c>
      <c r="C68" s="14">
        <v>65.0</v>
      </c>
      <c r="D68" s="12" t="s">
        <v>222</v>
      </c>
      <c r="E68" s="17">
        <v>-6.0</v>
      </c>
      <c r="F68" s="16"/>
    </row>
    <row r="69">
      <c r="A69" s="12">
        <v>73.0</v>
      </c>
      <c r="B69" s="13" t="s">
        <v>1372</v>
      </c>
      <c r="C69" s="14">
        <v>91.0</v>
      </c>
      <c r="D69" s="12" t="s">
        <v>261</v>
      </c>
      <c r="E69" s="18">
        <f>+18</f>
        <v>18</v>
      </c>
      <c r="F69" s="16"/>
    </row>
    <row r="70">
      <c r="A70" s="12">
        <v>74.0</v>
      </c>
      <c r="B70" s="13" t="s">
        <v>1379</v>
      </c>
      <c r="C70" s="14">
        <v>56.0</v>
      </c>
      <c r="D70" s="12" t="s">
        <v>125</v>
      </c>
      <c r="E70" s="17">
        <v>-18.0</v>
      </c>
      <c r="F70" s="16"/>
    </row>
    <row r="71">
      <c r="A71" s="12">
        <v>75.0</v>
      </c>
      <c r="B71" s="13" t="s">
        <v>1383</v>
      </c>
      <c r="C71" s="14">
        <v>63.0</v>
      </c>
      <c r="D71" s="12" t="s">
        <v>199</v>
      </c>
      <c r="E71" s="17">
        <v>-12.0</v>
      </c>
      <c r="F71" s="16"/>
    </row>
    <row r="72">
      <c r="A72" s="12">
        <v>77.0</v>
      </c>
      <c r="B72" s="13" t="s">
        <v>1390</v>
      </c>
      <c r="C72" s="14">
        <v>69.0</v>
      </c>
      <c r="D72" s="12" t="s">
        <v>147</v>
      </c>
      <c r="E72" s="17">
        <v>-8.0</v>
      </c>
      <c r="F72" s="16"/>
    </row>
    <row r="73">
      <c r="A73" s="12">
        <v>78.0</v>
      </c>
      <c r="B73" s="13" t="s">
        <v>1395</v>
      </c>
      <c r="C73" s="14">
        <v>81.0</v>
      </c>
      <c r="D73" s="12" t="s">
        <v>189</v>
      </c>
      <c r="E73" s="18">
        <f>+3</f>
        <v>3</v>
      </c>
      <c r="F73" s="16"/>
    </row>
    <row r="74">
      <c r="A74" s="12">
        <v>80.0</v>
      </c>
      <c r="B74" s="13" t="s">
        <v>1401</v>
      </c>
      <c r="C74" s="14">
        <v>66.0</v>
      </c>
      <c r="D74" s="12" t="s">
        <v>207</v>
      </c>
      <c r="E74" s="17">
        <v>-14.0</v>
      </c>
      <c r="F74" s="16"/>
    </row>
    <row r="75">
      <c r="A75" s="12">
        <v>81.0</v>
      </c>
      <c r="B75" s="13" t="s">
        <v>1407</v>
      </c>
      <c r="C75" s="14">
        <v>50.0</v>
      </c>
      <c r="D75" s="12" t="s">
        <v>111</v>
      </c>
      <c r="E75" s="17">
        <v>-31.0</v>
      </c>
      <c r="F75" s="16"/>
    </row>
    <row r="76">
      <c r="A76" s="12">
        <v>82.0</v>
      </c>
      <c r="B76" s="13" t="s">
        <v>1415</v>
      </c>
      <c r="C76" s="14">
        <v>96.0</v>
      </c>
      <c r="D76" s="12" t="s">
        <v>269</v>
      </c>
      <c r="E76" s="18">
        <f>+14</f>
        <v>14</v>
      </c>
      <c r="F76" s="16"/>
    </row>
    <row r="77">
      <c r="A77" s="12">
        <v>84.0</v>
      </c>
      <c r="B77" s="13" t="s">
        <v>1422</v>
      </c>
      <c r="C77" s="14">
        <v>89.0</v>
      </c>
      <c r="D77" s="12" t="s">
        <v>211</v>
      </c>
      <c r="E77" s="18">
        <f>+5</f>
        <v>5</v>
      </c>
      <c r="F77" s="16"/>
    </row>
    <row r="78">
      <c r="A78" s="12">
        <v>85.0</v>
      </c>
      <c r="B78" s="13" t="s">
        <v>1428</v>
      </c>
      <c r="C78" s="14">
        <v>103.0</v>
      </c>
      <c r="D78" s="12" t="s">
        <v>356</v>
      </c>
      <c r="E78" s="18">
        <f>+18</f>
        <v>18</v>
      </c>
      <c r="F78" s="16"/>
    </row>
    <row r="79">
      <c r="A79" s="12">
        <v>86.0</v>
      </c>
      <c r="B79" s="13" t="s">
        <v>1432</v>
      </c>
      <c r="C79" s="14">
        <v>75.0</v>
      </c>
      <c r="D79" s="12" t="s">
        <v>280</v>
      </c>
      <c r="E79" s="17">
        <v>-11.0</v>
      </c>
      <c r="F79" s="16"/>
    </row>
    <row r="80">
      <c r="A80" s="12">
        <v>87.0</v>
      </c>
      <c r="B80" s="13" t="s">
        <v>1437</v>
      </c>
      <c r="C80" s="14">
        <v>78.0</v>
      </c>
      <c r="D80" s="12" t="s">
        <v>181</v>
      </c>
      <c r="E80" s="17">
        <v>-9.0</v>
      </c>
      <c r="F80" s="16"/>
    </row>
    <row r="81">
      <c r="A81" s="12">
        <v>88.0</v>
      </c>
      <c r="B81" s="13" t="s">
        <v>1445</v>
      </c>
      <c r="C81" s="14">
        <v>55.0</v>
      </c>
      <c r="D81" s="12" t="s">
        <v>195</v>
      </c>
      <c r="E81" s="17">
        <v>-33.0</v>
      </c>
      <c r="F81" s="16"/>
    </row>
    <row r="82">
      <c r="A82" s="12">
        <v>89.0</v>
      </c>
      <c r="B82" s="13" t="s">
        <v>1451</v>
      </c>
      <c r="C82" s="14">
        <v>90.0</v>
      </c>
      <c r="D82" s="12" t="s">
        <v>215</v>
      </c>
      <c r="E82" s="18">
        <f>+1</f>
        <v>1</v>
      </c>
      <c r="F82" s="16"/>
    </row>
    <row r="83">
      <c r="A83" s="12">
        <v>91.0</v>
      </c>
      <c r="B83" s="13" t="s">
        <v>1457</v>
      </c>
      <c r="C83" s="14">
        <v>77.0</v>
      </c>
      <c r="D83" s="12" t="s">
        <v>177</v>
      </c>
      <c r="E83" s="17">
        <v>-14.0</v>
      </c>
      <c r="F83" s="16"/>
    </row>
    <row r="84">
      <c r="A84" s="12">
        <v>92.0</v>
      </c>
      <c r="B84" s="13" t="s">
        <v>1464</v>
      </c>
      <c r="C84" s="14">
        <v>105.0</v>
      </c>
      <c r="D84" s="12" t="s">
        <v>363</v>
      </c>
      <c r="E84" s="18">
        <f>+13</f>
        <v>13</v>
      </c>
      <c r="F84" s="16"/>
    </row>
    <row r="85">
      <c r="A85" s="12">
        <v>93.0</v>
      </c>
      <c r="B85" s="13" t="s">
        <v>1468</v>
      </c>
      <c r="C85" s="14">
        <v>116.0</v>
      </c>
      <c r="D85" s="12" t="s">
        <v>394</v>
      </c>
      <c r="E85" s="18">
        <f>+23</f>
        <v>23</v>
      </c>
      <c r="F85" s="16"/>
    </row>
    <row r="86">
      <c r="A86" s="12">
        <v>94.0</v>
      </c>
      <c r="B86" s="13" t="s">
        <v>1472</v>
      </c>
      <c r="C86" s="14">
        <v>102.0</v>
      </c>
      <c r="D86" s="12" t="s">
        <v>334</v>
      </c>
      <c r="E86" s="18">
        <f>+8</f>
        <v>8</v>
      </c>
      <c r="F86" s="16"/>
    </row>
    <row r="87">
      <c r="A87" s="12">
        <v>95.0</v>
      </c>
      <c r="B87" s="13" t="s">
        <v>1475</v>
      </c>
      <c r="C87" s="14">
        <v>106.0</v>
      </c>
      <c r="D87" s="12" t="s">
        <v>367</v>
      </c>
      <c r="E87" s="18">
        <f>+11</f>
        <v>11</v>
      </c>
      <c r="F87" s="16"/>
    </row>
    <row r="88">
      <c r="A88" s="12">
        <v>96.0</v>
      </c>
      <c r="B88" s="13" t="s">
        <v>1478</v>
      </c>
      <c r="C88" s="14">
        <v>60.0</v>
      </c>
      <c r="D88" s="12" t="s">
        <v>197</v>
      </c>
      <c r="E88" s="17">
        <v>-36.0</v>
      </c>
      <c r="F88" s="16"/>
    </row>
    <row r="89">
      <c r="A89" s="12">
        <v>98.0</v>
      </c>
      <c r="B89" s="13" t="s">
        <v>1482</v>
      </c>
      <c r="C89" s="14">
        <v>87.0</v>
      </c>
      <c r="D89" s="12" t="s">
        <v>163</v>
      </c>
      <c r="E89" s="17">
        <v>-11.0</v>
      </c>
      <c r="F89" s="16"/>
    </row>
    <row r="90">
      <c r="A90" s="12">
        <v>99.0</v>
      </c>
      <c r="B90" s="13" t="s">
        <v>1485</v>
      </c>
      <c r="C90" s="14">
        <v>110.0</v>
      </c>
      <c r="D90" s="12" t="s">
        <v>378</v>
      </c>
      <c r="E90" s="18">
        <f>+11</f>
        <v>11</v>
      </c>
      <c r="F90" s="16"/>
    </row>
    <row r="91">
      <c r="A91" s="12">
        <v>100.0</v>
      </c>
      <c r="B91" s="13" t="s">
        <v>1488</v>
      </c>
      <c r="C91" s="14">
        <v>61.0</v>
      </c>
      <c r="D91" s="12" t="s">
        <v>143</v>
      </c>
      <c r="E91" s="17">
        <v>-39.0</v>
      </c>
      <c r="F91" s="16"/>
    </row>
    <row r="92">
      <c r="A92" s="12">
        <v>101.0</v>
      </c>
      <c r="B92" s="13" t="s">
        <v>1492</v>
      </c>
      <c r="C92" s="14">
        <v>135.0</v>
      </c>
      <c r="D92" s="12" t="s">
        <v>1251</v>
      </c>
      <c r="E92" s="18">
        <f>+34</f>
        <v>34</v>
      </c>
      <c r="F92" s="16"/>
    </row>
    <row r="93">
      <c r="A93" s="12">
        <v>102.0</v>
      </c>
      <c r="B93" s="13" t="s">
        <v>1497</v>
      </c>
      <c r="C93" s="14">
        <v>83.0</v>
      </c>
      <c r="D93" s="12" t="s">
        <v>203</v>
      </c>
      <c r="E93" s="17">
        <v>-19.0</v>
      </c>
      <c r="F93" s="16"/>
    </row>
    <row r="94">
      <c r="A94" s="12">
        <v>103.0</v>
      </c>
      <c r="B94" s="13" t="s">
        <v>1500</v>
      </c>
      <c r="C94" s="14">
        <v>72.0</v>
      </c>
      <c r="D94" s="12" t="s">
        <v>230</v>
      </c>
      <c r="E94" s="17">
        <v>-31.0</v>
      </c>
      <c r="F94" s="16"/>
    </row>
    <row r="95">
      <c r="A95" s="12">
        <v>104.0</v>
      </c>
      <c r="B95" s="13" t="s">
        <v>1503</v>
      </c>
      <c r="C95" s="14">
        <v>80.0</v>
      </c>
      <c r="D95" s="12" t="s">
        <v>249</v>
      </c>
      <c r="E95" s="17">
        <v>-24.0</v>
      </c>
      <c r="F95" s="16"/>
    </row>
    <row r="96">
      <c r="A96" s="12">
        <v>105.0</v>
      </c>
      <c r="B96" s="13" t="s">
        <v>1506</v>
      </c>
      <c r="C96" s="14">
        <v>113.0</v>
      </c>
      <c r="D96" s="12" t="s">
        <v>325</v>
      </c>
      <c r="E96" s="18">
        <f>+8</f>
        <v>8</v>
      </c>
      <c r="F96" s="16"/>
    </row>
    <row r="97">
      <c r="A97" s="12">
        <v>106.0</v>
      </c>
      <c r="B97" s="13" t="s">
        <v>1510</v>
      </c>
      <c r="C97" s="14">
        <v>84.0</v>
      </c>
      <c r="D97" s="12" t="s">
        <v>255</v>
      </c>
      <c r="E97" s="17">
        <v>-22.0</v>
      </c>
      <c r="F97" s="16"/>
    </row>
    <row r="98">
      <c r="A98" s="12">
        <v>109.0</v>
      </c>
      <c r="B98" s="13" t="s">
        <v>1514</v>
      </c>
      <c r="C98" s="14">
        <v>104.0</v>
      </c>
      <c r="D98" s="12" t="s">
        <v>345</v>
      </c>
      <c r="E98" s="17">
        <v>-5.0</v>
      </c>
      <c r="F98" s="16"/>
    </row>
    <row r="99">
      <c r="A99" s="12">
        <v>110.0</v>
      </c>
      <c r="B99" s="13" t="s">
        <v>1517</v>
      </c>
      <c r="C99" s="14">
        <v>111.0</v>
      </c>
      <c r="D99" s="12" t="s">
        <v>384</v>
      </c>
      <c r="E99" s="18">
        <f>+1</f>
        <v>1</v>
      </c>
      <c r="F99" s="16"/>
    </row>
    <row r="100">
      <c r="A100" s="12">
        <v>113.0</v>
      </c>
      <c r="B100" s="13" t="s">
        <v>1521</v>
      </c>
      <c r="C100" s="14">
        <v>79.0</v>
      </c>
      <c r="D100" s="12" t="s">
        <v>183</v>
      </c>
      <c r="E100" s="17">
        <v>-34.0</v>
      </c>
      <c r="F100" s="16"/>
    </row>
    <row r="101">
      <c r="A101" s="12">
        <v>114.0</v>
      </c>
      <c r="B101" s="13" t="s">
        <v>1525</v>
      </c>
      <c r="C101" s="14">
        <v>157.0</v>
      </c>
      <c r="D101" s="12" t="s">
        <v>431</v>
      </c>
      <c r="E101" s="18">
        <f>+43</f>
        <v>43</v>
      </c>
      <c r="F101" s="16"/>
    </row>
    <row r="102">
      <c r="A102" s="12">
        <v>116.0</v>
      </c>
      <c r="B102" s="13" t="s">
        <v>1528</v>
      </c>
      <c r="C102" s="14">
        <v>99.0</v>
      </c>
      <c r="D102" s="12" t="s">
        <v>319</v>
      </c>
      <c r="E102" s="17">
        <v>-17.0</v>
      </c>
      <c r="F102" s="16"/>
    </row>
    <row r="103">
      <c r="A103" s="12">
        <v>117.0</v>
      </c>
      <c r="B103" s="13" t="s">
        <v>1531</v>
      </c>
      <c r="C103" s="14">
        <v>93.0</v>
      </c>
      <c r="D103" s="12" t="s">
        <v>300</v>
      </c>
      <c r="E103" s="17">
        <v>-24.0</v>
      </c>
      <c r="F103" s="16"/>
    </row>
    <row r="104">
      <c r="A104" s="12">
        <v>119.0</v>
      </c>
      <c r="B104" s="13" t="s">
        <v>1534</v>
      </c>
      <c r="C104" s="14">
        <v>123.0</v>
      </c>
      <c r="D104" s="12" t="s">
        <v>421</v>
      </c>
      <c r="E104" s="18">
        <f>+4</f>
        <v>4</v>
      </c>
      <c r="F104" s="16"/>
    </row>
    <row r="105">
      <c r="A105" s="12">
        <v>120.0</v>
      </c>
      <c r="B105" s="13" t="s">
        <v>1538</v>
      </c>
      <c r="C105" s="14">
        <v>120.0</v>
      </c>
      <c r="D105" s="12" t="s">
        <v>405</v>
      </c>
      <c r="E105" s="15">
        <f t="shared" ref="E105:E106" si="3">+0</f>
        <v>0</v>
      </c>
      <c r="F105" s="16"/>
    </row>
    <row r="106">
      <c r="A106" s="12">
        <v>121.0</v>
      </c>
      <c r="B106" s="13" t="s">
        <v>1540</v>
      </c>
      <c r="C106" s="14">
        <v>121.0</v>
      </c>
      <c r="D106" s="12" t="s">
        <v>1167</v>
      </c>
      <c r="E106" s="15">
        <f t="shared" si="3"/>
        <v>0</v>
      </c>
      <c r="F106" s="16"/>
    </row>
    <row r="107">
      <c r="A107" s="12">
        <v>122.0</v>
      </c>
      <c r="B107" s="13" t="s">
        <v>1542</v>
      </c>
      <c r="C107" s="14">
        <v>101.0</v>
      </c>
      <c r="D107" s="12" t="s">
        <v>338</v>
      </c>
      <c r="E107" s="17">
        <v>-21.0</v>
      </c>
      <c r="F107" s="16"/>
    </row>
    <row r="108">
      <c r="A108" s="12">
        <v>123.0</v>
      </c>
      <c r="B108" s="13" t="s">
        <v>1544</v>
      </c>
      <c r="C108" s="14">
        <v>95.0</v>
      </c>
      <c r="D108" s="12" t="s">
        <v>288</v>
      </c>
      <c r="E108" s="17">
        <v>-28.0</v>
      </c>
      <c r="F108" s="16"/>
    </row>
    <row r="109">
      <c r="A109" s="12">
        <v>124.0</v>
      </c>
      <c r="B109" s="13" t="s">
        <v>1547</v>
      </c>
      <c r="C109" s="14">
        <v>235.0</v>
      </c>
      <c r="D109" s="12" t="s">
        <v>1489</v>
      </c>
      <c r="E109" s="20" t="s">
        <v>231</v>
      </c>
      <c r="F109" s="16"/>
    </row>
    <row r="110">
      <c r="A110" s="12">
        <v>126.0</v>
      </c>
      <c r="B110" s="13" t="s">
        <v>1549</v>
      </c>
      <c r="C110" s="14">
        <v>158.0</v>
      </c>
      <c r="D110" s="12" t="s">
        <v>1352</v>
      </c>
      <c r="E110" s="18">
        <f>+32</f>
        <v>32</v>
      </c>
      <c r="F110" s="16"/>
    </row>
    <row r="111">
      <c r="A111" s="12">
        <v>127.0</v>
      </c>
      <c r="B111" s="13" t="s">
        <v>1551</v>
      </c>
      <c r="C111" s="14">
        <v>107.0</v>
      </c>
      <c r="D111" s="12" t="s">
        <v>351</v>
      </c>
      <c r="E111" s="17">
        <v>-20.0</v>
      </c>
      <c r="F111" s="16"/>
    </row>
    <row r="112">
      <c r="A112" s="12">
        <v>128.0</v>
      </c>
      <c r="B112" s="13" t="s">
        <v>1554</v>
      </c>
      <c r="C112" s="14">
        <v>124.0</v>
      </c>
      <c r="D112" s="12" t="s">
        <v>416</v>
      </c>
      <c r="E112" s="17">
        <v>-4.0</v>
      </c>
      <c r="F112" s="16"/>
    </row>
    <row r="113">
      <c r="A113" s="12">
        <v>129.0</v>
      </c>
      <c r="B113" s="13" t="s">
        <v>1556</v>
      </c>
      <c r="C113" s="14">
        <v>255.0</v>
      </c>
      <c r="D113" s="12" t="s">
        <v>1516</v>
      </c>
      <c r="E113" s="20" t="s">
        <v>231</v>
      </c>
      <c r="F113" s="16"/>
    </row>
    <row r="114">
      <c r="A114" s="12">
        <v>130.0</v>
      </c>
      <c r="B114" s="13" t="s">
        <v>1558</v>
      </c>
      <c r="C114" s="14">
        <v>115.0</v>
      </c>
      <c r="D114" s="12" t="s">
        <v>389</v>
      </c>
      <c r="E114" s="17">
        <v>-15.0</v>
      </c>
      <c r="F114" s="16"/>
    </row>
    <row r="115">
      <c r="A115" s="12">
        <v>131.0</v>
      </c>
      <c r="B115" s="13" t="s">
        <v>1560</v>
      </c>
      <c r="C115" s="14">
        <v>153.0</v>
      </c>
      <c r="D115" s="12" t="s">
        <v>1327</v>
      </c>
      <c r="E115" s="18">
        <f>+22</f>
        <v>22</v>
      </c>
      <c r="F115" s="16"/>
    </row>
    <row r="116">
      <c r="A116" s="12">
        <v>132.0</v>
      </c>
      <c r="B116" s="13" t="s">
        <v>1564</v>
      </c>
      <c r="C116" s="14">
        <v>85.0</v>
      </c>
      <c r="D116" s="12" t="s">
        <v>155</v>
      </c>
      <c r="E116" s="17">
        <v>-47.0</v>
      </c>
      <c r="F116" s="16"/>
    </row>
    <row r="117">
      <c r="A117" s="12">
        <v>133.0</v>
      </c>
      <c r="B117" s="13" t="s">
        <v>1567</v>
      </c>
      <c r="C117" s="14">
        <v>130.0</v>
      </c>
      <c r="D117" s="12" t="s">
        <v>1235</v>
      </c>
      <c r="E117" s="17">
        <v>-3.0</v>
      </c>
      <c r="F117" s="16"/>
    </row>
    <row r="118">
      <c r="A118" s="12">
        <v>134.0</v>
      </c>
      <c r="B118" s="13" t="s">
        <v>1569</v>
      </c>
      <c r="C118" s="14">
        <v>127.0</v>
      </c>
      <c r="D118" s="12" t="s">
        <v>1204</v>
      </c>
      <c r="E118" s="17">
        <v>-7.0</v>
      </c>
      <c r="F118" s="16"/>
    </row>
    <row r="119">
      <c r="A119" s="12">
        <v>135.0</v>
      </c>
      <c r="B119" s="13" t="s">
        <v>1572</v>
      </c>
      <c r="C119" s="14">
        <v>178.0</v>
      </c>
      <c r="D119" s="12" t="s">
        <v>1447</v>
      </c>
      <c r="E119" s="18">
        <f>+43</f>
        <v>43</v>
      </c>
      <c r="F119" s="16"/>
    </row>
    <row r="120">
      <c r="A120" s="12">
        <v>136.0</v>
      </c>
      <c r="B120" s="13" t="s">
        <v>1575</v>
      </c>
      <c r="C120" s="14">
        <v>241.0</v>
      </c>
      <c r="D120" s="12" t="s">
        <v>1543</v>
      </c>
      <c r="E120" s="20" t="s">
        <v>231</v>
      </c>
      <c r="F120" s="16"/>
    </row>
    <row r="121">
      <c r="A121" s="12">
        <v>137.0</v>
      </c>
      <c r="B121" s="13" t="s">
        <v>1579</v>
      </c>
      <c r="C121" s="14">
        <v>132.0</v>
      </c>
      <c r="D121" s="12" t="s">
        <v>1219</v>
      </c>
      <c r="E121" s="17">
        <v>-5.0</v>
      </c>
      <c r="F121" s="16"/>
    </row>
    <row r="122">
      <c r="A122" s="12">
        <v>138.0</v>
      </c>
      <c r="B122" s="13" t="s">
        <v>1582</v>
      </c>
      <c r="C122" s="14">
        <v>109.0</v>
      </c>
      <c r="D122" s="12" t="s">
        <v>373</v>
      </c>
      <c r="E122" s="17">
        <v>-29.0</v>
      </c>
      <c r="F122" s="16"/>
    </row>
    <row r="123">
      <c r="A123" s="12">
        <v>139.0</v>
      </c>
      <c r="B123" s="13" t="s">
        <v>1584</v>
      </c>
      <c r="C123" s="14">
        <v>98.0</v>
      </c>
      <c r="D123" s="12" t="s">
        <v>311</v>
      </c>
      <c r="E123" s="17">
        <v>-41.0</v>
      </c>
      <c r="F123" s="16"/>
    </row>
    <row r="124">
      <c r="A124" s="12">
        <v>141.0</v>
      </c>
      <c r="B124" s="13" t="s">
        <v>1586</v>
      </c>
      <c r="C124" s="14">
        <v>74.0</v>
      </c>
      <c r="D124" s="12" t="s">
        <v>151</v>
      </c>
      <c r="E124" s="17">
        <v>-67.0</v>
      </c>
      <c r="F124" s="16"/>
    </row>
    <row r="125">
      <c r="A125" s="12">
        <v>143.0</v>
      </c>
      <c r="B125" s="13" t="s">
        <v>1589</v>
      </c>
      <c r="C125" s="14">
        <v>154.0</v>
      </c>
      <c r="D125" s="12" t="s">
        <v>1333</v>
      </c>
      <c r="E125" s="18">
        <f>+11</f>
        <v>11</v>
      </c>
      <c r="F125" s="16"/>
    </row>
    <row r="126">
      <c r="A126" s="12">
        <v>144.0</v>
      </c>
      <c r="B126" s="13" t="s">
        <v>1592</v>
      </c>
      <c r="C126" s="14">
        <v>179.0</v>
      </c>
      <c r="D126" s="12" t="s">
        <v>1453</v>
      </c>
      <c r="E126" s="18">
        <f>+35</f>
        <v>35</v>
      </c>
      <c r="F126" s="16"/>
    </row>
    <row r="127">
      <c r="A127" s="12">
        <v>145.0</v>
      </c>
      <c r="B127" s="13" t="s">
        <v>1596</v>
      </c>
      <c r="C127" s="14">
        <v>112.0</v>
      </c>
      <c r="D127" s="12" t="s">
        <v>1126</v>
      </c>
      <c r="E127" s="17">
        <v>-33.0</v>
      </c>
      <c r="F127" s="16"/>
    </row>
    <row r="128">
      <c r="A128" s="12">
        <v>146.0</v>
      </c>
      <c r="B128" s="13" t="s">
        <v>1600</v>
      </c>
      <c r="C128" s="14">
        <v>88.0</v>
      </c>
      <c r="D128" s="12" t="s">
        <v>294</v>
      </c>
      <c r="E128" s="17">
        <v>-58.0</v>
      </c>
      <c r="F128" s="16"/>
    </row>
    <row r="129">
      <c r="A129" s="12">
        <v>147.0</v>
      </c>
      <c r="B129" s="13" t="s">
        <v>1603</v>
      </c>
      <c r="C129" s="14">
        <v>137.0</v>
      </c>
      <c r="D129" s="12" t="s">
        <v>1245</v>
      </c>
      <c r="E129" s="17">
        <v>-10.0</v>
      </c>
      <c r="F129" s="16"/>
    </row>
    <row r="130">
      <c r="A130" s="12">
        <v>148.0</v>
      </c>
      <c r="B130" s="13" t="s">
        <v>1606</v>
      </c>
      <c r="C130" s="14">
        <v>92.0</v>
      </c>
      <c r="D130" s="12" t="s">
        <v>165</v>
      </c>
      <c r="E130" s="17">
        <v>-56.0</v>
      </c>
      <c r="F130" s="16"/>
    </row>
    <row r="131">
      <c r="A131" s="12">
        <v>149.0</v>
      </c>
      <c r="B131" s="13" t="s">
        <v>1609</v>
      </c>
      <c r="C131" s="14">
        <v>133.0</v>
      </c>
      <c r="D131" s="12" t="s">
        <v>1224</v>
      </c>
      <c r="E131" s="17">
        <v>-16.0</v>
      </c>
      <c r="F131" s="16"/>
    </row>
    <row r="132">
      <c r="A132" s="12">
        <v>150.0</v>
      </c>
      <c r="B132" s="13" t="s">
        <v>1612</v>
      </c>
      <c r="C132" s="14">
        <v>136.0</v>
      </c>
      <c r="D132" s="12" t="s">
        <v>1239</v>
      </c>
      <c r="E132" s="17">
        <v>-14.0</v>
      </c>
      <c r="F132" s="16"/>
    </row>
    <row r="133">
      <c r="A133" s="12">
        <v>152.0</v>
      </c>
      <c r="B133" s="13" t="s">
        <v>1615</v>
      </c>
      <c r="C133" s="14">
        <v>118.0</v>
      </c>
      <c r="D133" s="12" t="s">
        <v>179</v>
      </c>
      <c r="E133" s="17">
        <v>-34.0</v>
      </c>
      <c r="F133" s="16"/>
    </row>
    <row r="134">
      <c r="A134" s="12">
        <v>157.0</v>
      </c>
      <c r="B134" s="13" t="s">
        <v>1618</v>
      </c>
      <c r="C134" s="14">
        <v>156.0</v>
      </c>
      <c r="D134" s="12" t="s">
        <v>1213</v>
      </c>
      <c r="E134" s="17">
        <v>-1.0</v>
      </c>
      <c r="F134" s="16"/>
    </row>
    <row r="135">
      <c r="A135" s="12">
        <v>158.0</v>
      </c>
      <c r="B135" s="13" t="s">
        <v>1620</v>
      </c>
      <c r="C135" s="14">
        <v>184.0</v>
      </c>
      <c r="D135" s="12" t="s">
        <v>1623</v>
      </c>
      <c r="E135" s="18">
        <f>+26</f>
        <v>26</v>
      </c>
      <c r="F135" s="16"/>
    </row>
    <row r="136">
      <c r="A136" s="12">
        <v>159.0</v>
      </c>
      <c r="B136" s="13" t="s">
        <v>1624</v>
      </c>
      <c r="C136" s="14">
        <v>117.0</v>
      </c>
      <c r="D136" s="12" t="s">
        <v>1148</v>
      </c>
      <c r="E136" s="17">
        <v>-42.0</v>
      </c>
      <c r="F136" s="16"/>
    </row>
    <row r="137">
      <c r="A137" s="12">
        <v>160.0</v>
      </c>
      <c r="B137" s="13" t="s">
        <v>1626</v>
      </c>
      <c r="C137" s="14">
        <v>141.0</v>
      </c>
      <c r="D137" s="12" t="s">
        <v>1267</v>
      </c>
      <c r="E137" s="17">
        <v>-19.0</v>
      </c>
      <c r="F137" s="16"/>
    </row>
    <row r="138">
      <c r="A138" s="12">
        <v>161.0</v>
      </c>
      <c r="B138" s="13" t="s">
        <v>1629</v>
      </c>
      <c r="C138" s="14">
        <v>100.0</v>
      </c>
      <c r="D138" s="12" t="s">
        <v>171</v>
      </c>
      <c r="E138" s="17">
        <v>-61.0</v>
      </c>
      <c r="F138" s="16"/>
    </row>
    <row r="139">
      <c r="A139" s="12">
        <v>164.0</v>
      </c>
      <c r="B139" s="13" t="s">
        <v>1632</v>
      </c>
      <c r="C139" s="14">
        <v>170.0</v>
      </c>
      <c r="D139" s="12" t="s">
        <v>1412</v>
      </c>
      <c r="E139" s="18">
        <f>+6</f>
        <v>6</v>
      </c>
      <c r="F139" s="16"/>
    </row>
    <row r="140">
      <c r="A140" s="12">
        <v>165.0</v>
      </c>
      <c r="B140" s="13" t="s">
        <v>1636</v>
      </c>
      <c r="C140" s="14">
        <v>122.0</v>
      </c>
      <c r="D140" s="12" t="s">
        <v>411</v>
      </c>
      <c r="E140" s="17">
        <v>-43.0</v>
      </c>
      <c r="F140" s="16"/>
    </row>
    <row r="141">
      <c r="A141" s="12">
        <v>166.0</v>
      </c>
      <c r="B141" s="13" t="s">
        <v>1638</v>
      </c>
      <c r="C141" s="14">
        <v>198.0</v>
      </c>
      <c r="D141" s="12" t="s">
        <v>1604</v>
      </c>
      <c r="E141" s="18">
        <f>+32</f>
        <v>32</v>
      </c>
      <c r="F141" s="16"/>
    </row>
    <row r="142">
      <c r="A142" s="12">
        <v>167.0</v>
      </c>
      <c r="B142" s="13" t="s">
        <v>1641</v>
      </c>
      <c r="C142" s="14">
        <v>126.0</v>
      </c>
      <c r="D142" s="12" t="s">
        <v>1193</v>
      </c>
      <c r="E142" s="17">
        <v>-41.0</v>
      </c>
      <c r="F142" s="16"/>
    </row>
    <row r="143">
      <c r="A143" s="12">
        <v>170.0</v>
      </c>
      <c r="B143" s="13" t="s">
        <v>1644</v>
      </c>
      <c r="C143" s="14">
        <v>150.0</v>
      </c>
      <c r="D143" s="12" t="s">
        <v>1343</v>
      </c>
      <c r="E143" s="17">
        <v>-20.0</v>
      </c>
      <c r="F143" s="16"/>
    </row>
    <row r="144">
      <c r="A144" s="12">
        <v>172.0</v>
      </c>
      <c r="B144" s="13" t="s">
        <v>1647</v>
      </c>
      <c r="C144" s="14">
        <v>114.0</v>
      </c>
      <c r="D144" s="12" t="s">
        <v>173</v>
      </c>
      <c r="E144" s="17">
        <v>-58.0</v>
      </c>
      <c r="F144" s="16"/>
    </row>
    <row r="145">
      <c r="A145" s="12">
        <v>173.0</v>
      </c>
      <c r="B145" s="13" t="s">
        <v>1650</v>
      </c>
      <c r="C145" s="14">
        <v>138.0</v>
      </c>
      <c r="D145" s="12" t="s">
        <v>1257</v>
      </c>
      <c r="E145" s="17">
        <v>-35.0</v>
      </c>
      <c r="F145" s="16"/>
    </row>
    <row r="146">
      <c r="A146" s="12">
        <v>174.0</v>
      </c>
      <c r="B146" s="13" t="s">
        <v>1653</v>
      </c>
      <c r="C146" s="14">
        <v>175.0</v>
      </c>
      <c r="D146" s="12" t="s">
        <v>1436</v>
      </c>
      <c r="E146" s="18">
        <f>+1</f>
        <v>1</v>
      </c>
      <c r="F146" s="16"/>
    </row>
    <row r="147">
      <c r="A147" s="12">
        <v>176.0</v>
      </c>
      <c r="B147" s="13" t="s">
        <v>1656</v>
      </c>
      <c r="C147" s="14">
        <v>162.0</v>
      </c>
      <c r="D147" s="12" t="s">
        <v>1373</v>
      </c>
      <c r="E147" s="17">
        <v>-14.0</v>
      </c>
      <c r="F147" s="16"/>
    </row>
    <row r="148">
      <c r="A148" s="12">
        <v>177.0</v>
      </c>
      <c r="B148" s="13" t="s">
        <v>1659</v>
      </c>
      <c r="C148" s="14">
        <v>94.0</v>
      </c>
      <c r="D148" s="12" t="s">
        <v>169</v>
      </c>
      <c r="E148" s="17">
        <v>-83.0</v>
      </c>
      <c r="F148" s="16"/>
    </row>
    <row r="149">
      <c r="A149" s="12">
        <v>180.0</v>
      </c>
      <c r="B149" s="13" t="s">
        <v>1662</v>
      </c>
      <c r="C149" s="14">
        <v>146.0</v>
      </c>
      <c r="D149" s="12" t="s">
        <v>307</v>
      </c>
      <c r="E149" s="17">
        <v>-34.0</v>
      </c>
      <c r="F149" s="16"/>
    </row>
    <row r="150">
      <c r="A150" s="12">
        <v>181.0</v>
      </c>
      <c r="B150" s="13" t="s">
        <v>1664</v>
      </c>
      <c r="C150" s="14">
        <v>140.0</v>
      </c>
      <c r="D150" s="12" t="s">
        <v>219</v>
      </c>
      <c r="E150" s="17">
        <v>-41.0</v>
      </c>
      <c r="F150" s="16"/>
    </row>
    <row r="151">
      <c r="A151" s="12">
        <v>182.0</v>
      </c>
      <c r="B151" s="13" t="s">
        <v>1667</v>
      </c>
      <c r="C151" s="14">
        <v>131.0</v>
      </c>
      <c r="D151" s="12" t="s">
        <v>187</v>
      </c>
      <c r="E151" s="17">
        <v>-51.0</v>
      </c>
      <c r="F151" s="16"/>
    </row>
    <row r="152">
      <c r="A152" s="12">
        <v>183.0</v>
      </c>
      <c r="B152" s="13" t="s">
        <v>1671</v>
      </c>
      <c r="C152" s="14">
        <v>148.0</v>
      </c>
      <c r="D152" s="12" t="s">
        <v>463</v>
      </c>
      <c r="E152" s="17">
        <v>-35.0</v>
      </c>
      <c r="F152" s="16"/>
    </row>
    <row r="153">
      <c r="A153" s="12">
        <v>184.0</v>
      </c>
      <c r="B153" s="13" t="s">
        <v>1675</v>
      </c>
      <c r="C153" s="14">
        <v>193.0</v>
      </c>
      <c r="D153" s="12" t="s">
        <v>1677</v>
      </c>
      <c r="E153" s="18">
        <f>+9</f>
        <v>9</v>
      </c>
      <c r="F153" s="16"/>
    </row>
    <row r="154">
      <c r="A154" s="12">
        <v>185.0</v>
      </c>
      <c r="B154" s="13" t="s">
        <v>1679</v>
      </c>
      <c r="C154" s="14">
        <v>195.0</v>
      </c>
      <c r="D154" s="12" t="s">
        <v>1682</v>
      </c>
      <c r="E154" s="18">
        <f>+10</f>
        <v>10</v>
      </c>
      <c r="F154" s="16"/>
    </row>
    <row r="155">
      <c r="A155" s="12">
        <v>186.0</v>
      </c>
      <c r="B155" s="13" t="s">
        <v>1683</v>
      </c>
      <c r="C155" s="14">
        <v>128.0</v>
      </c>
      <c r="D155" s="12" t="s">
        <v>1198</v>
      </c>
      <c r="E155" s="17">
        <v>-58.0</v>
      </c>
      <c r="F155" s="16"/>
    </row>
    <row r="156">
      <c r="A156" s="12">
        <v>188.0</v>
      </c>
      <c r="B156" s="13" t="s">
        <v>1685</v>
      </c>
      <c r="C156" s="14">
        <v>189.0</v>
      </c>
      <c r="D156" s="12" t="s">
        <v>1329</v>
      </c>
      <c r="E156" s="18">
        <f>+1</f>
        <v>1</v>
      </c>
      <c r="F156" s="16"/>
    </row>
    <row r="157">
      <c r="A157" s="12">
        <v>189.0</v>
      </c>
      <c r="B157" s="13" t="s">
        <v>1688</v>
      </c>
      <c r="C157" s="14">
        <v>209.0</v>
      </c>
      <c r="D157" s="12" t="s">
        <v>1580</v>
      </c>
      <c r="E157" s="18">
        <f>+20</f>
        <v>20</v>
      </c>
      <c r="F157" s="16"/>
    </row>
    <row r="158">
      <c r="A158" s="12">
        <v>191.0</v>
      </c>
      <c r="B158" s="13" t="s">
        <v>1690</v>
      </c>
      <c r="C158" s="14">
        <v>155.0</v>
      </c>
      <c r="D158" s="12" t="s">
        <v>467</v>
      </c>
      <c r="E158" s="17">
        <v>-36.0</v>
      </c>
      <c r="F158" s="16"/>
    </row>
    <row r="159">
      <c r="A159" s="12">
        <v>193.0</v>
      </c>
      <c r="B159" s="13" t="s">
        <v>1692</v>
      </c>
      <c r="C159" s="14">
        <v>165.0</v>
      </c>
      <c r="D159" s="12" t="s">
        <v>475</v>
      </c>
      <c r="E159" s="17">
        <v>-28.0</v>
      </c>
      <c r="F159" s="16"/>
    </row>
    <row r="160">
      <c r="A160" s="12">
        <v>195.0</v>
      </c>
      <c r="B160" s="13" t="s">
        <v>1696</v>
      </c>
      <c r="C160" s="14">
        <v>86.0</v>
      </c>
      <c r="D160" s="12" t="s">
        <v>205</v>
      </c>
      <c r="E160" s="20" t="s">
        <v>231</v>
      </c>
      <c r="F160" s="16"/>
    </row>
    <row r="161">
      <c r="A161" s="12">
        <v>197.0</v>
      </c>
      <c r="B161" s="13" t="s">
        <v>1697</v>
      </c>
      <c r="C161" s="14">
        <v>134.0</v>
      </c>
      <c r="D161" s="12" t="s">
        <v>217</v>
      </c>
      <c r="E161" s="17">
        <v>-63.0</v>
      </c>
      <c r="F161" s="16"/>
    </row>
    <row r="162">
      <c r="A162" s="12">
        <v>199.0</v>
      </c>
      <c r="B162" s="13" t="s">
        <v>1698</v>
      </c>
      <c r="C162" s="14">
        <v>169.0</v>
      </c>
      <c r="D162" s="12" t="s">
        <v>477</v>
      </c>
      <c r="E162" s="17">
        <v>-30.0</v>
      </c>
      <c r="F162" s="16"/>
    </row>
    <row r="163">
      <c r="A163" s="12">
        <v>200.0</v>
      </c>
      <c r="B163" s="13" t="s">
        <v>1699</v>
      </c>
      <c r="C163" s="14">
        <v>196.0</v>
      </c>
      <c r="D163" s="12" t="s">
        <v>1668</v>
      </c>
      <c r="E163" s="17">
        <v>-4.0</v>
      </c>
      <c r="F163" s="16"/>
    </row>
    <row r="164">
      <c r="A164" s="12">
        <v>202.0</v>
      </c>
      <c r="B164" s="13" t="s">
        <v>1700</v>
      </c>
      <c r="C164" s="14">
        <v>166.0</v>
      </c>
      <c r="D164" s="12" t="s">
        <v>1246</v>
      </c>
      <c r="E164" s="17">
        <v>-36.0</v>
      </c>
      <c r="F164" s="16"/>
    </row>
    <row r="165">
      <c r="A165" s="12">
        <v>204.0</v>
      </c>
      <c r="B165" s="13" t="s">
        <v>1701</v>
      </c>
      <c r="C165" s="14">
        <v>151.0</v>
      </c>
      <c r="D165" s="12" t="s">
        <v>465</v>
      </c>
      <c r="E165" s="17">
        <v>-53.0</v>
      </c>
      <c r="F165" s="16"/>
    </row>
    <row r="166">
      <c r="A166" s="12">
        <v>206.0</v>
      </c>
      <c r="B166" s="13" t="s">
        <v>1702</v>
      </c>
      <c r="C166" s="14">
        <v>97.0</v>
      </c>
      <c r="D166" s="12" t="s">
        <v>273</v>
      </c>
      <c r="E166" s="20" t="s">
        <v>231</v>
      </c>
      <c r="F166" s="16"/>
    </row>
    <row r="167">
      <c r="A167" s="12">
        <v>210.0</v>
      </c>
      <c r="B167" s="13" t="s">
        <v>1703</v>
      </c>
      <c r="C167" s="14">
        <v>160.0</v>
      </c>
      <c r="D167" s="12" t="s">
        <v>1402</v>
      </c>
      <c r="E167" s="17">
        <v>-50.0</v>
      </c>
      <c r="F167" s="16"/>
    </row>
    <row r="168">
      <c r="A168" s="12">
        <v>211.0</v>
      </c>
      <c r="B168" s="13" t="s">
        <v>1704</v>
      </c>
      <c r="C168" s="14">
        <v>161.0</v>
      </c>
      <c r="D168" s="12" t="s">
        <v>1367</v>
      </c>
      <c r="E168" s="17">
        <v>-50.0</v>
      </c>
      <c r="F168" s="16"/>
    </row>
    <row r="169">
      <c r="A169" s="12">
        <v>215.0</v>
      </c>
      <c r="B169" s="13" t="s">
        <v>1705</v>
      </c>
      <c r="C169" s="14">
        <v>194.0</v>
      </c>
      <c r="D169" s="12" t="s">
        <v>1479</v>
      </c>
      <c r="E169" s="17">
        <v>-21.0</v>
      </c>
      <c r="F169" s="16"/>
    </row>
    <row r="170">
      <c r="A170" s="12">
        <v>217.0</v>
      </c>
      <c r="B170" s="13" t="s">
        <v>1706</v>
      </c>
      <c r="C170" s="14">
        <v>168.0</v>
      </c>
      <c r="D170" s="12" t="s">
        <v>1424</v>
      </c>
      <c r="E170" s="17">
        <v>-49.0</v>
      </c>
      <c r="F170" s="16"/>
    </row>
    <row r="171">
      <c r="A171" s="12">
        <v>221.0</v>
      </c>
      <c r="B171" s="13" t="s">
        <v>1707</v>
      </c>
      <c r="C171" s="14">
        <v>164.0</v>
      </c>
      <c r="D171" s="12" t="s">
        <v>472</v>
      </c>
      <c r="E171" s="17">
        <v>-57.0</v>
      </c>
      <c r="F171" s="16"/>
    </row>
    <row r="172">
      <c r="A172" s="12">
        <v>223.0</v>
      </c>
      <c r="B172" s="13" t="s">
        <v>1708</v>
      </c>
      <c r="C172" s="14">
        <v>167.0</v>
      </c>
      <c r="D172" s="12" t="s">
        <v>1397</v>
      </c>
      <c r="E172" s="17">
        <v>-56.0</v>
      </c>
      <c r="F172" s="16"/>
    </row>
    <row r="173">
      <c r="A173" s="12">
        <v>224.0</v>
      </c>
      <c r="B173" s="13" t="s">
        <v>1709</v>
      </c>
      <c r="C173" s="14">
        <v>212.0</v>
      </c>
      <c r="D173" s="12" t="s">
        <v>1710</v>
      </c>
      <c r="E173" s="17">
        <v>-12.0</v>
      </c>
      <c r="F173" s="16"/>
    </row>
    <row r="174">
      <c r="A174" s="12">
        <v>228.0</v>
      </c>
      <c r="B174" s="13" t="s">
        <v>1711</v>
      </c>
      <c r="C174" s="14">
        <v>171.0</v>
      </c>
      <c r="D174" s="12" t="s">
        <v>1418</v>
      </c>
      <c r="E174" s="17">
        <v>-57.0</v>
      </c>
      <c r="F174" s="16"/>
    </row>
    <row r="175">
      <c r="A175" s="12">
        <v>229.0</v>
      </c>
      <c r="B175" s="13" t="s">
        <v>1712</v>
      </c>
      <c r="C175" s="14">
        <v>119.0</v>
      </c>
      <c r="D175" s="12" t="s">
        <v>401</v>
      </c>
      <c r="E175" s="20" t="s">
        <v>231</v>
      </c>
      <c r="F175" s="16"/>
    </row>
    <row r="176">
      <c r="A176" s="12">
        <v>230.0</v>
      </c>
      <c r="B176" s="13" t="s">
        <v>1713</v>
      </c>
      <c r="C176" s="14">
        <v>176.0</v>
      </c>
      <c r="D176" s="12" t="s">
        <v>1442</v>
      </c>
      <c r="E176" s="17">
        <v>-54.0</v>
      </c>
      <c r="F176" s="16"/>
    </row>
    <row r="177">
      <c r="A177" s="12">
        <v>231.0</v>
      </c>
      <c r="B177" s="13" t="s">
        <v>1714</v>
      </c>
      <c r="C177" s="14">
        <v>182.0</v>
      </c>
      <c r="D177" s="12" t="s">
        <v>1601</v>
      </c>
      <c r="E177" s="17">
        <v>-49.0</v>
      </c>
      <c r="F177" s="16"/>
    </row>
    <row r="178">
      <c r="A178" s="12">
        <v>232.0</v>
      </c>
      <c r="B178" s="13" t="s">
        <v>1715</v>
      </c>
      <c r="C178" s="14">
        <v>108.0</v>
      </c>
      <c r="D178" s="12" t="s">
        <v>1107</v>
      </c>
      <c r="E178" s="20" t="s">
        <v>231</v>
      </c>
      <c r="F178" s="16"/>
    </row>
    <row r="179">
      <c r="A179" s="12">
        <v>234.0</v>
      </c>
      <c r="B179" s="13" t="s">
        <v>1716</v>
      </c>
      <c r="C179" s="14">
        <v>215.0</v>
      </c>
      <c r="D179" s="12" t="s">
        <v>1568</v>
      </c>
      <c r="E179" s="17">
        <v>-19.0</v>
      </c>
      <c r="F179" s="16"/>
    </row>
    <row r="180">
      <c r="A180" s="12">
        <v>235.0</v>
      </c>
      <c r="B180" s="13" t="s">
        <v>1719</v>
      </c>
      <c r="C180" s="14">
        <v>144.0</v>
      </c>
      <c r="D180" s="12" t="s">
        <v>1288</v>
      </c>
      <c r="E180" s="17">
        <v>-91.0</v>
      </c>
      <c r="F180" s="16"/>
    </row>
    <row r="181">
      <c r="A181" s="12">
        <v>238.0</v>
      </c>
      <c r="B181" s="13" t="s">
        <v>1722</v>
      </c>
      <c r="C181" s="14">
        <v>203.0</v>
      </c>
      <c r="D181" s="12" t="s">
        <v>1640</v>
      </c>
      <c r="E181" s="17">
        <v>-35.0</v>
      </c>
      <c r="F181" s="16"/>
    </row>
    <row r="182">
      <c r="A182" s="12">
        <v>239.0</v>
      </c>
      <c r="B182" s="13" t="s">
        <v>1724</v>
      </c>
      <c r="C182" s="14">
        <v>190.0</v>
      </c>
      <c r="D182" s="12" t="s">
        <v>1728</v>
      </c>
      <c r="E182" s="17">
        <v>-49.0</v>
      </c>
      <c r="F182" s="16"/>
    </row>
    <row r="183">
      <c r="A183" s="12">
        <v>240.0</v>
      </c>
      <c r="B183" s="13" t="s">
        <v>1729</v>
      </c>
      <c r="C183" s="14">
        <v>199.0</v>
      </c>
      <c r="D183" s="12" t="s">
        <v>1536</v>
      </c>
      <c r="E183" s="17">
        <v>-41.0</v>
      </c>
      <c r="F183" s="16"/>
    </row>
    <row r="184">
      <c r="A184" s="12">
        <v>241.0</v>
      </c>
      <c r="B184" s="13" t="s">
        <v>1734</v>
      </c>
      <c r="C184" s="14">
        <v>206.0</v>
      </c>
      <c r="D184" s="12" t="s">
        <v>1686</v>
      </c>
      <c r="E184" s="17">
        <v>-35.0</v>
      </c>
      <c r="F184" s="16"/>
    </row>
    <row r="185">
      <c r="A185" s="12">
        <v>242.0</v>
      </c>
      <c r="B185" s="13" t="s">
        <v>1737</v>
      </c>
      <c r="C185" s="14">
        <v>223.0</v>
      </c>
      <c r="D185" s="12" t="s">
        <v>1574</v>
      </c>
      <c r="E185" s="17">
        <v>-19.0</v>
      </c>
      <c r="F185" s="16"/>
    </row>
    <row r="186">
      <c r="A186" s="12">
        <v>244.0</v>
      </c>
      <c r="B186" s="13" t="s">
        <v>1742</v>
      </c>
      <c r="C186" s="14">
        <v>219.0</v>
      </c>
      <c r="D186" s="12" t="s">
        <v>1386</v>
      </c>
      <c r="E186" s="17">
        <v>-25.0</v>
      </c>
      <c r="F186" s="16"/>
    </row>
    <row r="187">
      <c r="A187" s="12">
        <v>245.0</v>
      </c>
      <c r="B187" s="13" t="s">
        <v>1748</v>
      </c>
      <c r="C187" s="14">
        <v>205.0</v>
      </c>
      <c r="D187" s="12" t="s">
        <v>1750</v>
      </c>
      <c r="E187" s="17">
        <v>-40.0</v>
      </c>
      <c r="F187" s="16"/>
    </row>
    <row r="188">
      <c r="A188" s="12">
        <v>246.0</v>
      </c>
      <c r="B188" s="13" t="s">
        <v>1751</v>
      </c>
      <c r="C188" s="14">
        <v>173.0</v>
      </c>
      <c r="D188" s="12" t="s">
        <v>1426</v>
      </c>
      <c r="E188" s="17">
        <v>-73.0</v>
      </c>
      <c r="F188" s="16"/>
    </row>
    <row r="189">
      <c r="A189" s="12">
        <v>247.0</v>
      </c>
      <c r="B189" s="13" t="s">
        <v>1756</v>
      </c>
      <c r="C189" s="14">
        <v>213.0</v>
      </c>
      <c r="D189" s="12" t="s">
        <v>1761</v>
      </c>
      <c r="E189" s="17">
        <v>-34.0</v>
      </c>
      <c r="F189" s="16"/>
    </row>
    <row r="190">
      <c r="A190" s="12">
        <v>248.0</v>
      </c>
      <c r="B190" s="13" t="s">
        <v>1763</v>
      </c>
      <c r="C190" s="14">
        <v>230.0</v>
      </c>
      <c r="D190" s="12" t="s">
        <v>1680</v>
      </c>
      <c r="E190" s="17">
        <v>-18.0</v>
      </c>
      <c r="F190" s="16"/>
    </row>
    <row r="191">
      <c r="A191" s="12">
        <v>249.0</v>
      </c>
      <c r="B191" s="13" t="s">
        <v>1766</v>
      </c>
      <c r="C191" s="14">
        <v>149.0</v>
      </c>
      <c r="D191" s="12" t="s">
        <v>1308</v>
      </c>
      <c r="E191" s="17">
        <v>-100.0</v>
      </c>
      <c r="F191" s="16"/>
    </row>
    <row r="192">
      <c r="A192" s="12">
        <v>250.0</v>
      </c>
      <c r="B192" s="13" t="s">
        <v>1769</v>
      </c>
      <c r="C192" s="14">
        <v>129.0</v>
      </c>
      <c r="D192" s="12" t="s">
        <v>1208</v>
      </c>
      <c r="E192" s="20" t="s">
        <v>231</v>
      </c>
      <c r="F192" s="16"/>
    </row>
    <row r="193">
      <c r="A193" s="12">
        <v>251.0</v>
      </c>
      <c r="B193" s="13" t="s">
        <v>1772</v>
      </c>
      <c r="C193" s="14">
        <v>145.0</v>
      </c>
      <c r="D193" s="12" t="s">
        <v>1313</v>
      </c>
      <c r="E193" s="20" t="s">
        <v>231</v>
      </c>
      <c r="F193" s="16"/>
    </row>
    <row r="194">
      <c r="A194" s="12">
        <v>254.0</v>
      </c>
      <c r="B194" s="13" t="s">
        <v>1776</v>
      </c>
      <c r="C194" s="14">
        <v>147.0</v>
      </c>
      <c r="D194" s="12" t="s">
        <v>438</v>
      </c>
      <c r="E194" s="20" t="s">
        <v>231</v>
      </c>
      <c r="F194" s="16"/>
    </row>
    <row r="195">
      <c r="A195" s="12">
        <v>255.0</v>
      </c>
      <c r="B195" s="13" t="s">
        <v>1777</v>
      </c>
      <c r="C195" s="14">
        <v>261.0</v>
      </c>
      <c r="D195" s="12" t="s">
        <v>1676</v>
      </c>
      <c r="E195" s="18">
        <f>+6</f>
        <v>6</v>
      </c>
      <c r="F195" s="16"/>
    </row>
    <row r="196">
      <c r="A196" s="12">
        <v>261.0</v>
      </c>
      <c r="B196" s="13" t="s">
        <v>1782</v>
      </c>
      <c r="C196" s="14">
        <v>174.0</v>
      </c>
      <c r="D196" s="12" t="s">
        <v>480</v>
      </c>
      <c r="E196" s="17">
        <v>-87.0</v>
      </c>
      <c r="F196" s="16"/>
    </row>
    <row r="197">
      <c r="A197" s="12">
        <v>268.0</v>
      </c>
      <c r="B197" s="13" t="s">
        <v>1785</v>
      </c>
      <c r="C197" s="14">
        <v>236.0</v>
      </c>
      <c r="D197" s="12" t="s">
        <v>1789</v>
      </c>
      <c r="E197" s="17">
        <v>-32.0</v>
      </c>
      <c r="F197" s="16"/>
    </row>
    <row r="198">
      <c r="A198" s="12">
        <v>270.0</v>
      </c>
      <c r="B198" s="13" t="s">
        <v>1791</v>
      </c>
      <c r="C198" s="14">
        <v>191.0</v>
      </c>
      <c r="D198" s="12" t="s">
        <v>1665</v>
      </c>
      <c r="E198" s="17">
        <v>-79.0</v>
      </c>
      <c r="F198" s="16"/>
    </row>
    <row r="199">
      <c r="A199" s="12">
        <v>272.0</v>
      </c>
      <c r="B199" s="13" t="s">
        <v>1794</v>
      </c>
      <c r="C199" s="14">
        <v>188.0</v>
      </c>
      <c r="D199" s="12" t="s">
        <v>1634</v>
      </c>
      <c r="E199" s="17">
        <v>-84.0</v>
      </c>
      <c r="F199" s="16"/>
    </row>
    <row r="200">
      <c r="A200" s="12">
        <v>273.0</v>
      </c>
      <c r="B200" s="13" t="s">
        <v>1797</v>
      </c>
      <c r="C200" s="14">
        <v>272.0</v>
      </c>
      <c r="D200" s="12" t="s">
        <v>1799</v>
      </c>
      <c r="E200" s="17">
        <v>-1.0</v>
      </c>
      <c r="F200" s="16"/>
    </row>
    <row r="201">
      <c r="A201" s="12">
        <v>274.0</v>
      </c>
      <c r="B201" s="13" t="s">
        <v>1801</v>
      </c>
      <c r="C201" s="14">
        <v>180.0</v>
      </c>
      <c r="D201" s="12" t="s">
        <v>1459</v>
      </c>
      <c r="E201" s="17">
        <v>-94.0</v>
      </c>
      <c r="F201" s="16"/>
    </row>
    <row r="202">
      <c r="A202" s="12">
        <v>275.0</v>
      </c>
      <c r="B202" s="13" t="s">
        <v>1804</v>
      </c>
      <c r="C202" s="14">
        <v>216.0</v>
      </c>
      <c r="D202" s="12" t="s">
        <v>1657</v>
      </c>
      <c r="E202" s="17">
        <v>-59.0</v>
      </c>
      <c r="F202" s="16"/>
    </row>
    <row r="203">
      <c r="A203" s="12">
        <v>277.0</v>
      </c>
      <c r="B203" s="13" t="s">
        <v>1809</v>
      </c>
      <c r="C203" s="14">
        <v>260.0</v>
      </c>
      <c r="D203" s="12" t="s">
        <v>1811</v>
      </c>
      <c r="E203" s="17">
        <v>-17.0</v>
      </c>
      <c r="F203" s="16"/>
    </row>
    <row r="204">
      <c r="A204" s="12">
        <v>278.0</v>
      </c>
      <c r="B204" s="13" t="s">
        <v>1812</v>
      </c>
      <c r="C204" s="14">
        <v>185.0</v>
      </c>
      <c r="D204" s="12" t="s">
        <v>1553</v>
      </c>
      <c r="E204" s="17">
        <v>-93.0</v>
      </c>
      <c r="F204" s="16"/>
    </row>
    <row r="205">
      <c r="A205" s="12">
        <v>280.0</v>
      </c>
      <c r="B205" s="13" t="s">
        <v>1815</v>
      </c>
      <c r="C205" s="14">
        <v>228.0</v>
      </c>
      <c r="D205" s="12" t="s">
        <v>1819</v>
      </c>
      <c r="E205" s="17">
        <v>-52.0</v>
      </c>
      <c r="F205" s="16"/>
    </row>
    <row r="206">
      <c r="A206" s="12">
        <v>281.0</v>
      </c>
      <c r="B206" s="13" t="s">
        <v>1820</v>
      </c>
      <c r="C206" s="14">
        <v>288.0</v>
      </c>
      <c r="D206" s="12" t="s">
        <v>1822</v>
      </c>
      <c r="E206" s="18">
        <f>+7</f>
        <v>7</v>
      </c>
      <c r="F206" s="16"/>
    </row>
    <row r="207">
      <c r="A207" s="12">
        <v>282.0</v>
      </c>
      <c r="B207" s="13" t="s">
        <v>1823</v>
      </c>
      <c r="C207" s="14">
        <v>217.0</v>
      </c>
      <c r="D207" s="12" t="s">
        <v>1648</v>
      </c>
      <c r="E207" s="17">
        <v>-65.0</v>
      </c>
      <c r="F207" s="16"/>
    </row>
    <row r="208">
      <c r="A208" s="12">
        <v>286.0</v>
      </c>
      <c r="B208" s="13" t="s">
        <v>1827</v>
      </c>
      <c r="C208" s="14">
        <v>139.0</v>
      </c>
      <c r="D208" s="12" t="s">
        <v>1272</v>
      </c>
      <c r="E208" s="20" t="s">
        <v>231</v>
      </c>
      <c r="F208" s="16"/>
    </row>
    <row r="209">
      <c r="A209" s="12">
        <v>293.0</v>
      </c>
      <c r="B209" s="13" t="s">
        <v>1830</v>
      </c>
      <c r="C209" s="14">
        <v>142.0</v>
      </c>
      <c r="D209" s="12" t="s">
        <v>1284</v>
      </c>
      <c r="E209" s="20" t="s">
        <v>231</v>
      </c>
      <c r="F209" s="16"/>
    </row>
    <row r="210">
      <c r="A210" s="12">
        <v>294.0</v>
      </c>
      <c r="B210" s="13" t="s">
        <v>1833</v>
      </c>
      <c r="C210" s="14">
        <v>143.0</v>
      </c>
      <c r="D210" s="12" t="s">
        <v>1278</v>
      </c>
      <c r="E210" s="20" t="s">
        <v>231</v>
      </c>
      <c r="F210" s="16"/>
    </row>
    <row r="211">
      <c r="A211" s="12">
        <v>295.0</v>
      </c>
      <c r="B211" s="13" t="s">
        <v>1839</v>
      </c>
      <c r="C211" s="14">
        <v>163.0</v>
      </c>
      <c r="D211" s="12" t="s">
        <v>470</v>
      </c>
      <c r="E211" s="20" t="s">
        <v>231</v>
      </c>
      <c r="F211" s="16"/>
    </row>
    <row r="212">
      <c r="A212" s="12">
        <v>297.0</v>
      </c>
      <c r="B212" s="13" t="s">
        <v>1842</v>
      </c>
      <c r="C212" s="14">
        <v>177.0</v>
      </c>
      <c r="D212" s="12" t="s">
        <v>1271</v>
      </c>
      <c r="E212" s="20" t="s">
        <v>231</v>
      </c>
      <c r="F212" s="16"/>
    </row>
    <row r="213">
      <c r="A213" s="12">
        <v>308.0</v>
      </c>
      <c r="B213" s="13" t="s">
        <v>1846</v>
      </c>
      <c r="C213" s="14">
        <v>231.0</v>
      </c>
      <c r="D213" s="12" t="s">
        <v>1848</v>
      </c>
      <c r="E213" s="17">
        <v>-77.0</v>
      </c>
      <c r="F213" s="16"/>
    </row>
    <row r="214">
      <c r="A214" s="12">
        <v>309.0</v>
      </c>
      <c r="B214" s="13" t="s">
        <v>1849</v>
      </c>
      <c r="C214" s="14">
        <v>221.0</v>
      </c>
      <c r="D214" s="12" t="s">
        <v>1825</v>
      </c>
      <c r="E214" s="17">
        <v>-88.0</v>
      </c>
      <c r="F214" s="16"/>
    </row>
    <row r="215">
      <c r="A215" s="12">
        <v>316.0</v>
      </c>
      <c r="B215" s="13" t="s">
        <v>1852</v>
      </c>
      <c r="C215" s="14">
        <v>183.0</v>
      </c>
      <c r="D215" s="12" t="s">
        <v>1562</v>
      </c>
      <c r="E215" s="20" t="s">
        <v>231</v>
      </c>
      <c r="F215" s="16"/>
    </row>
    <row r="216">
      <c r="A216" s="12">
        <v>318.0</v>
      </c>
      <c r="B216" s="13" t="s">
        <v>1856</v>
      </c>
      <c r="C216" s="14">
        <v>270.0</v>
      </c>
      <c r="D216" s="12" t="s">
        <v>1694</v>
      </c>
      <c r="E216" s="17">
        <v>-48.0</v>
      </c>
      <c r="F216" s="16"/>
    </row>
    <row r="217">
      <c r="A217" s="12">
        <v>321.0</v>
      </c>
      <c r="B217" s="13" t="s">
        <v>1859</v>
      </c>
      <c r="C217" s="14">
        <v>259.0</v>
      </c>
      <c r="D217" s="12" t="s">
        <v>1862</v>
      </c>
      <c r="E217" s="17">
        <v>-62.0</v>
      </c>
      <c r="F217" s="16"/>
    </row>
    <row r="218">
      <c r="A218" s="12">
        <v>322.0</v>
      </c>
      <c r="B218" s="13" t="s">
        <v>1863</v>
      </c>
      <c r="C218" s="14">
        <v>210.0</v>
      </c>
      <c r="D218" s="12" t="s">
        <v>1607</v>
      </c>
      <c r="E218" s="20" t="s">
        <v>231</v>
      </c>
      <c r="F218" s="16"/>
    </row>
    <row r="219">
      <c r="A219" s="12">
        <v>323.0</v>
      </c>
      <c r="B219" s="13" t="s">
        <v>1866</v>
      </c>
      <c r="C219" s="14">
        <v>207.0</v>
      </c>
      <c r="D219" s="12" t="s">
        <v>1590</v>
      </c>
      <c r="E219" s="20" t="s">
        <v>231</v>
      </c>
      <c r="F219" s="16"/>
    </row>
    <row r="220">
      <c r="A220" s="12">
        <v>325.0</v>
      </c>
      <c r="B220" s="13" t="s">
        <v>1869</v>
      </c>
      <c r="C220" s="14">
        <v>181.0</v>
      </c>
      <c r="D220" s="12" t="s">
        <v>1496</v>
      </c>
      <c r="E220" s="20" t="s">
        <v>231</v>
      </c>
      <c r="F220" s="16"/>
    </row>
    <row r="221">
      <c r="A221" s="12">
        <v>328.0</v>
      </c>
      <c r="B221" s="13" t="s">
        <v>1872</v>
      </c>
      <c r="C221" s="14">
        <v>253.0</v>
      </c>
      <c r="D221" s="12" t="s">
        <v>1875</v>
      </c>
      <c r="E221" s="17">
        <v>-75.0</v>
      </c>
      <c r="F221" s="16"/>
    </row>
    <row r="222">
      <c r="A222" s="12">
        <v>329.0</v>
      </c>
      <c r="B222" s="13" t="s">
        <v>1877</v>
      </c>
      <c r="C222" s="14">
        <v>204.0</v>
      </c>
      <c r="D222" s="12" t="s">
        <v>1779</v>
      </c>
      <c r="E222" s="20" t="s">
        <v>231</v>
      </c>
      <c r="F222" s="16"/>
    </row>
    <row r="223">
      <c r="A223" s="12">
        <v>332.0</v>
      </c>
      <c r="B223" s="13" t="s">
        <v>1880</v>
      </c>
      <c r="C223" s="14">
        <v>242.0</v>
      </c>
      <c r="D223" s="12" t="s">
        <v>1883</v>
      </c>
      <c r="E223" s="17">
        <v>-90.0</v>
      </c>
      <c r="F223" s="16"/>
    </row>
    <row r="224">
      <c r="A224" s="12">
        <v>340.0</v>
      </c>
      <c r="B224" s="13" t="s">
        <v>1884</v>
      </c>
      <c r="C224" s="14">
        <v>197.0</v>
      </c>
      <c r="D224" s="12" t="s">
        <v>1759</v>
      </c>
      <c r="E224" s="20" t="s">
        <v>231</v>
      </c>
      <c r="F224" s="16"/>
    </row>
    <row r="225">
      <c r="A225" s="12">
        <v>344.0</v>
      </c>
      <c r="B225" s="13" t="s">
        <v>1887</v>
      </c>
      <c r="C225" s="14">
        <v>211.0</v>
      </c>
      <c r="D225" s="12" t="s">
        <v>1627</v>
      </c>
      <c r="E225" s="20" t="s">
        <v>231</v>
      </c>
      <c r="F225" s="16"/>
    </row>
    <row r="226">
      <c r="A226" s="12">
        <v>349.0</v>
      </c>
      <c r="B226" s="13" t="s">
        <v>1892</v>
      </c>
      <c r="C226" s="14">
        <v>244.0</v>
      </c>
      <c r="D226" s="12" t="s">
        <v>1595</v>
      </c>
      <c r="E226" s="20" t="s">
        <v>231</v>
      </c>
      <c r="F226" s="16"/>
    </row>
    <row r="227">
      <c r="A227" s="12">
        <v>352.0</v>
      </c>
      <c r="B227" s="13" t="s">
        <v>1897</v>
      </c>
      <c r="C227" s="14">
        <v>220.0</v>
      </c>
      <c r="D227" s="12" t="s">
        <v>1598</v>
      </c>
      <c r="E227" s="20" t="s">
        <v>231</v>
      </c>
      <c r="F227" s="16"/>
    </row>
    <row r="228">
      <c r="A228" s="12">
        <v>355.0</v>
      </c>
      <c r="B228" s="13" t="s">
        <v>1901</v>
      </c>
      <c r="C228" s="14">
        <v>125.0</v>
      </c>
      <c r="D228" s="12" t="s">
        <v>185</v>
      </c>
      <c r="E228" s="20" t="s">
        <v>231</v>
      </c>
      <c r="F228" s="16"/>
    </row>
    <row r="229">
      <c r="A229" s="12">
        <v>368.0</v>
      </c>
      <c r="B229" s="13" t="s">
        <v>1904</v>
      </c>
      <c r="C229" s="14">
        <v>187.0</v>
      </c>
      <c r="D229" s="12" t="s">
        <v>1732</v>
      </c>
      <c r="E229" s="20" t="s">
        <v>231</v>
      </c>
      <c r="F229" s="16"/>
    </row>
    <row r="230">
      <c r="A230" s="12">
        <v>369.0</v>
      </c>
      <c r="B230" s="13" t="s">
        <v>2314</v>
      </c>
      <c r="C230" s="14">
        <v>240.0</v>
      </c>
      <c r="D230" s="12" t="s">
        <v>1878</v>
      </c>
      <c r="E230" s="20" t="s">
        <v>231</v>
      </c>
      <c r="F230" s="16"/>
    </row>
    <row r="231">
      <c r="A231" s="12">
        <v>373.0</v>
      </c>
      <c r="B231" s="13" t="s">
        <v>2317</v>
      </c>
      <c r="C231" s="14">
        <v>222.0</v>
      </c>
      <c r="D231" s="12" t="s">
        <v>1494</v>
      </c>
      <c r="E231" s="20" t="s">
        <v>231</v>
      </c>
      <c r="F231" s="16"/>
    </row>
    <row r="232">
      <c r="A232" s="12">
        <v>383.0</v>
      </c>
      <c r="B232" s="13" t="s">
        <v>2320</v>
      </c>
      <c r="C232" s="14">
        <v>300.0</v>
      </c>
      <c r="D232" s="12" t="s">
        <v>2074</v>
      </c>
      <c r="E232" s="17">
        <v>-83.0</v>
      </c>
      <c r="F232" s="16"/>
    </row>
    <row r="233">
      <c r="A233" s="12">
        <v>389.0</v>
      </c>
      <c r="B233" s="13" t="s">
        <v>2322</v>
      </c>
      <c r="C233" s="14">
        <v>224.0</v>
      </c>
      <c r="D233" s="12" t="s">
        <v>1565</v>
      </c>
      <c r="E233" s="20" t="s">
        <v>231</v>
      </c>
      <c r="F233" s="16"/>
    </row>
    <row r="234">
      <c r="A234" s="12">
        <v>391.0</v>
      </c>
      <c r="B234" s="13" t="s">
        <v>2326</v>
      </c>
      <c r="C234" s="14">
        <v>208.0</v>
      </c>
      <c r="D234" s="12" t="s">
        <v>1654</v>
      </c>
      <c r="E234" s="20" t="s">
        <v>231</v>
      </c>
      <c r="F234" s="16"/>
    </row>
    <row r="235">
      <c r="A235" s="12">
        <v>399.0</v>
      </c>
      <c r="B235" s="13" t="s">
        <v>2329</v>
      </c>
      <c r="C235" s="14">
        <v>279.0</v>
      </c>
      <c r="D235" s="12" t="s">
        <v>2006</v>
      </c>
      <c r="E235" s="20" t="s">
        <v>231</v>
      </c>
      <c r="F235" s="16"/>
    </row>
    <row r="236">
      <c r="A236" s="12">
        <v>407.0</v>
      </c>
      <c r="B236" s="13" t="s">
        <v>2332</v>
      </c>
      <c r="C236" s="14">
        <v>186.0</v>
      </c>
      <c r="D236" s="12" t="s">
        <v>1342</v>
      </c>
      <c r="E236" s="20" t="s">
        <v>231</v>
      </c>
      <c r="F236" s="16"/>
    </row>
    <row r="237">
      <c r="A237" s="12">
        <v>408.0</v>
      </c>
      <c r="B237" s="13" t="s">
        <v>2335</v>
      </c>
      <c r="C237" s="14">
        <v>263.0</v>
      </c>
      <c r="D237" s="12" t="s">
        <v>1951</v>
      </c>
      <c r="E237" s="20" t="s">
        <v>231</v>
      </c>
      <c r="F237" s="16"/>
    </row>
    <row r="238">
      <c r="A238" s="12">
        <v>419.0</v>
      </c>
      <c r="B238" s="13" t="s">
        <v>2338</v>
      </c>
      <c r="C238" s="14">
        <v>281.0</v>
      </c>
      <c r="D238" s="12" t="s">
        <v>2022</v>
      </c>
      <c r="E238" s="20" t="s">
        <v>231</v>
      </c>
      <c r="F238" s="16"/>
    </row>
    <row r="239">
      <c r="A239" s="12">
        <v>424.0</v>
      </c>
      <c r="B239" s="13" t="s">
        <v>2341</v>
      </c>
      <c r="C239" s="14">
        <v>218.0</v>
      </c>
      <c r="D239" s="12" t="s">
        <v>1816</v>
      </c>
      <c r="E239" s="20" t="s">
        <v>231</v>
      </c>
      <c r="F239" s="16"/>
    </row>
    <row r="240">
      <c r="A240" s="12">
        <v>428.0</v>
      </c>
      <c r="B240" s="13" t="s">
        <v>2344</v>
      </c>
      <c r="C240" s="14">
        <v>289.0</v>
      </c>
      <c r="D240" s="12" t="s">
        <v>1956</v>
      </c>
      <c r="E240" s="20" t="s">
        <v>231</v>
      </c>
      <c r="F240" s="16"/>
    </row>
    <row r="241">
      <c r="A241" s="12">
        <v>429.0</v>
      </c>
      <c r="B241" s="13" t="s">
        <v>2347</v>
      </c>
      <c r="C241" s="14">
        <v>291.0</v>
      </c>
      <c r="D241" s="12" t="s">
        <v>2041</v>
      </c>
      <c r="E241" s="20" t="s">
        <v>231</v>
      </c>
      <c r="F241" s="16"/>
    </row>
    <row r="242">
      <c r="A242" s="12">
        <v>435.0</v>
      </c>
      <c r="B242" s="13" t="s">
        <v>2350</v>
      </c>
      <c r="C242" s="14">
        <v>252.0</v>
      </c>
      <c r="D242" s="12" t="s">
        <v>1593</v>
      </c>
      <c r="E242" s="20" t="s">
        <v>231</v>
      </c>
      <c r="F242" s="16"/>
    </row>
    <row r="243">
      <c r="A243" s="12">
        <v>436.0</v>
      </c>
      <c r="B243" s="13" t="s">
        <v>2352</v>
      </c>
      <c r="C243" s="14">
        <v>273.0</v>
      </c>
      <c r="D243" s="12" t="s">
        <v>1610</v>
      </c>
      <c r="E243" s="20" t="s">
        <v>231</v>
      </c>
      <c r="F243" s="16"/>
    </row>
    <row r="244">
      <c r="A244" s="12">
        <v>438.0</v>
      </c>
      <c r="B244" s="13" t="s">
        <v>2354</v>
      </c>
      <c r="C244" s="14">
        <v>278.0</v>
      </c>
      <c r="D244" s="12" t="s">
        <v>2002</v>
      </c>
      <c r="E244" s="20" t="s">
        <v>231</v>
      </c>
      <c r="F244" s="16"/>
    </row>
    <row r="245">
      <c r="A245" s="12">
        <v>441.0</v>
      </c>
      <c r="B245" s="13" t="s">
        <v>2356</v>
      </c>
      <c r="C245" s="14">
        <v>201.0</v>
      </c>
      <c r="D245" s="12" t="s">
        <v>1512</v>
      </c>
      <c r="E245" s="20" t="s">
        <v>231</v>
      </c>
      <c r="F245" s="16"/>
    </row>
    <row r="246">
      <c r="A246" s="12">
        <v>451.0</v>
      </c>
      <c r="B246" s="13" t="s">
        <v>2358</v>
      </c>
      <c r="C246" s="14">
        <v>200.0</v>
      </c>
      <c r="D246" s="12" t="s">
        <v>1232</v>
      </c>
      <c r="E246" s="20" t="s">
        <v>231</v>
      </c>
      <c r="F246" s="16"/>
    </row>
    <row r="247">
      <c r="A247" s="12">
        <v>454.0</v>
      </c>
      <c r="B247" s="13" t="s">
        <v>2360</v>
      </c>
      <c r="C247" s="14">
        <v>283.0</v>
      </c>
      <c r="D247" s="12" t="s">
        <v>1616</v>
      </c>
      <c r="E247" s="20" t="s">
        <v>231</v>
      </c>
      <c r="F247" s="16"/>
    </row>
    <row r="248">
      <c r="A248" s="12">
        <v>456.0</v>
      </c>
      <c r="B248" s="13" t="s">
        <v>2362</v>
      </c>
      <c r="C248" s="14">
        <v>238.0</v>
      </c>
      <c r="D248" s="12" t="s">
        <v>1645</v>
      </c>
      <c r="E248" s="20" t="s">
        <v>231</v>
      </c>
      <c r="F248" s="16"/>
    </row>
    <row r="249">
      <c r="A249" s="12">
        <v>465.0</v>
      </c>
      <c r="B249" s="13" t="s">
        <v>2363</v>
      </c>
      <c r="C249" s="14">
        <v>159.0</v>
      </c>
      <c r="D249" s="12" t="s">
        <v>1362</v>
      </c>
      <c r="E249" s="20" t="s">
        <v>231</v>
      </c>
      <c r="F249" s="16"/>
    </row>
    <row r="250">
      <c r="A250" s="12">
        <v>467.0</v>
      </c>
      <c r="B250" s="13" t="s">
        <v>2365</v>
      </c>
      <c r="C250" s="14">
        <v>202.0</v>
      </c>
      <c r="D250" s="12" t="s">
        <v>1630</v>
      </c>
      <c r="E250" s="20" t="s">
        <v>231</v>
      </c>
      <c r="F250" s="16"/>
    </row>
    <row r="251">
      <c r="A251" s="12">
        <v>471.0</v>
      </c>
      <c r="B251" s="13" t="s">
        <v>2367</v>
      </c>
      <c r="C251" s="14">
        <v>233.0</v>
      </c>
      <c r="D251" s="12" t="s">
        <v>1860</v>
      </c>
      <c r="E251" s="20" t="s">
        <v>231</v>
      </c>
      <c r="F251" s="16"/>
    </row>
    <row r="252">
      <c r="A252" s="12">
        <v>479.0</v>
      </c>
      <c r="B252" s="13" t="s">
        <v>2369</v>
      </c>
      <c r="C252" s="14">
        <v>234.0</v>
      </c>
      <c r="D252" s="12" t="s">
        <v>1870</v>
      </c>
      <c r="E252" s="20" t="s">
        <v>231</v>
      </c>
      <c r="F252" s="16"/>
    </row>
    <row r="253">
      <c r="A253" s="12">
        <v>484.0</v>
      </c>
      <c r="B253" s="13" t="s">
        <v>2370</v>
      </c>
      <c r="C253" s="14">
        <v>276.0</v>
      </c>
      <c r="D253" s="12" t="s">
        <v>1999</v>
      </c>
      <c r="E253" s="20" t="s">
        <v>231</v>
      </c>
      <c r="F253" s="16"/>
    </row>
    <row r="254">
      <c r="A254" s="12">
        <v>495.0</v>
      </c>
      <c r="B254" s="13" t="s">
        <v>2372</v>
      </c>
      <c r="C254" s="14">
        <v>227.0</v>
      </c>
      <c r="D254" s="12" t="s">
        <v>1844</v>
      </c>
      <c r="E254" s="20" t="s">
        <v>231</v>
      </c>
      <c r="F254" s="16"/>
    </row>
    <row r="255">
      <c r="A255" s="12">
        <v>503.0</v>
      </c>
      <c r="B255" s="13" t="s">
        <v>2374</v>
      </c>
      <c r="C255" s="14">
        <v>172.0</v>
      </c>
      <c r="D255" s="12" t="s">
        <v>1433</v>
      </c>
      <c r="E255" s="20" t="s">
        <v>231</v>
      </c>
      <c r="F255" s="16"/>
    </row>
    <row r="256">
      <c r="A256" s="12">
        <v>505.0</v>
      </c>
      <c r="B256" s="13" t="s">
        <v>2375</v>
      </c>
      <c r="C256" s="14">
        <v>287.0</v>
      </c>
      <c r="D256" s="12" t="s">
        <v>1587</v>
      </c>
      <c r="E256" s="20" t="s">
        <v>231</v>
      </c>
      <c r="F256" s="16"/>
    </row>
    <row r="257">
      <c r="A257" s="12">
        <v>507.0</v>
      </c>
      <c r="B257" s="13" t="s">
        <v>2377</v>
      </c>
      <c r="C257" s="14">
        <v>239.0</v>
      </c>
      <c r="D257" s="12" t="s">
        <v>1874</v>
      </c>
      <c r="E257" s="20" t="s">
        <v>231</v>
      </c>
      <c r="F257" s="16"/>
    </row>
    <row r="258">
      <c r="A258" s="12">
        <v>512.0</v>
      </c>
      <c r="B258" s="13" t="s">
        <v>2378</v>
      </c>
      <c r="C258" s="14">
        <v>250.0</v>
      </c>
      <c r="D258" s="12" t="s">
        <v>1660</v>
      </c>
      <c r="E258" s="20" t="s">
        <v>231</v>
      </c>
      <c r="F258" s="16"/>
    </row>
    <row r="259">
      <c r="A259" s="12">
        <v>517.0</v>
      </c>
      <c r="B259" s="13" t="s">
        <v>2380</v>
      </c>
      <c r="C259" s="14">
        <v>282.0</v>
      </c>
      <c r="D259" s="12" t="s">
        <v>2016</v>
      </c>
      <c r="E259" s="20" t="s">
        <v>231</v>
      </c>
      <c r="F259" s="16"/>
    </row>
    <row r="260">
      <c r="A260" s="12">
        <v>522.0</v>
      </c>
      <c r="B260" s="13" t="s">
        <v>2382</v>
      </c>
      <c r="C260" s="14">
        <v>285.0</v>
      </c>
      <c r="D260" s="12" t="s">
        <v>1933</v>
      </c>
      <c r="E260" s="20" t="s">
        <v>231</v>
      </c>
      <c r="F260" s="16"/>
    </row>
    <row r="261">
      <c r="A261" s="12">
        <v>524.0</v>
      </c>
      <c r="B261" s="13" t="s">
        <v>2384</v>
      </c>
      <c r="C261" s="14">
        <v>249.0</v>
      </c>
      <c r="D261" s="12" t="s">
        <v>1905</v>
      </c>
      <c r="E261" s="20" t="s">
        <v>231</v>
      </c>
      <c r="F261" s="16"/>
    </row>
    <row r="262">
      <c r="A262" s="12">
        <v>527.0</v>
      </c>
      <c r="B262" s="13" t="s">
        <v>2386</v>
      </c>
      <c r="C262" s="14">
        <v>152.0</v>
      </c>
      <c r="D262" s="12" t="s">
        <v>427</v>
      </c>
      <c r="E262" s="20" t="s">
        <v>231</v>
      </c>
      <c r="F262" s="16"/>
    </row>
    <row r="263">
      <c r="A263" s="12">
        <v>531.0</v>
      </c>
      <c r="B263" s="13" t="s">
        <v>2388</v>
      </c>
      <c r="C263" s="14">
        <v>232.0</v>
      </c>
      <c r="D263" s="12" t="s">
        <v>1577</v>
      </c>
      <c r="E263" s="20" t="s">
        <v>231</v>
      </c>
      <c r="F263" s="16"/>
    </row>
    <row r="264">
      <c r="A264" s="12">
        <v>535.0</v>
      </c>
      <c r="B264" s="13" t="s">
        <v>2390</v>
      </c>
      <c r="C264" s="14">
        <v>257.0</v>
      </c>
      <c r="D264" s="12" t="s">
        <v>1931</v>
      </c>
      <c r="E264" s="20" t="s">
        <v>231</v>
      </c>
      <c r="F264" s="16"/>
    </row>
    <row r="265">
      <c r="A265" s="12">
        <v>542.0</v>
      </c>
      <c r="B265" s="13" t="s">
        <v>2391</v>
      </c>
      <c r="C265" s="14">
        <v>248.0</v>
      </c>
      <c r="D265" s="12" t="s">
        <v>1673</v>
      </c>
      <c r="E265" s="20" t="s">
        <v>231</v>
      </c>
      <c r="F265" s="16"/>
    </row>
    <row r="266">
      <c r="A266" s="12">
        <v>555.0</v>
      </c>
      <c r="B266" s="13" t="s">
        <v>2393</v>
      </c>
      <c r="C266" s="14">
        <v>262.0</v>
      </c>
      <c r="D266" s="12" t="s">
        <v>1621</v>
      </c>
      <c r="E266" s="20" t="s">
        <v>231</v>
      </c>
      <c r="F266" s="16"/>
    </row>
    <row r="267">
      <c r="A267" s="12">
        <v>564.0</v>
      </c>
      <c r="B267" s="13" t="s">
        <v>2395</v>
      </c>
      <c r="C267" s="14">
        <v>268.0</v>
      </c>
      <c r="D267" s="12" t="s">
        <v>1670</v>
      </c>
      <c r="E267" s="20" t="s">
        <v>231</v>
      </c>
      <c r="F267" s="16"/>
    </row>
    <row r="268">
      <c r="A268" s="12">
        <v>612.0</v>
      </c>
      <c r="B268" s="13" t="s">
        <v>2397</v>
      </c>
      <c r="C268" s="14">
        <v>266.0</v>
      </c>
      <c r="D268" s="12" t="s">
        <v>1985</v>
      </c>
      <c r="E268" s="20" t="s">
        <v>231</v>
      </c>
      <c r="F268" s="16"/>
    </row>
    <row r="269">
      <c r="A269" s="12">
        <v>615.0</v>
      </c>
      <c r="B269" s="13" t="s">
        <v>2399</v>
      </c>
      <c r="C269" s="14">
        <v>265.0</v>
      </c>
      <c r="D269" s="12" t="s">
        <v>1888</v>
      </c>
      <c r="E269" s="20" t="s">
        <v>231</v>
      </c>
      <c r="F269" s="16"/>
    </row>
    <row r="270">
      <c r="A270" s="12">
        <v>623.0</v>
      </c>
      <c r="B270" s="13" t="s">
        <v>2401</v>
      </c>
      <c r="C270" s="14">
        <v>226.0</v>
      </c>
      <c r="D270" s="12" t="s">
        <v>1523</v>
      </c>
      <c r="E270" s="20" t="s">
        <v>231</v>
      </c>
      <c r="F270" s="16"/>
    </row>
    <row r="271">
      <c r="A271" s="12">
        <v>632.0</v>
      </c>
      <c r="B271" s="13" t="s">
        <v>2403</v>
      </c>
      <c r="C271" s="14">
        <v>237.0</v>
      </c>
      <c r="D271" s="12" t="s">
        <v>1898</v>
      </c>
      <c r="E271" s="20" t="s">
        <v>231</v>
      </c>
      <c r="F271" s="16"/>
    </row>
    <row r="272">
      <c r="A272" s="12">
        <v>636.0</v>
      </c>
      <c r="B272" s="13" t="s">
        <v>2405</v>
      </c>
      <c r="C272" s="14">
        <v>247.0</v>
      </c>
      <c r="D272" s="12" t="s">
        <v>1909</v>
      </c>
      <c r="E272" s="20" t="s">
        <v>231</v>
      </c>
      <c r="F272" s="16"/>
    </row>
    <row r="273">
      <c r="A273" s="12">
        <v>650.0</v>
      </c>
      <c r="B273" s="13" t="s">
        <v>2407</v>
      </c>
      <c r="C273" s="14">
        <v>254.0</v>
      </c>
      <c r="D273" s="12" t="s">
        <v>1936</v>
      </c>
      <c r="E273" s="20" t="s">
        <v>231</v>
      </c>
      <c r="F273" s="16"/>
    </row>
    <row r="274">
      <c r="A274" s="12">
        <v>656.0</v>
      </c>
      <c r="B274" s="13" t="s">
        <v>2409</v>
      </c>
      <c r="C274" s="14">
        <v>277.0</v>
      </c>
      <c r="D274" s="12" t="s">
        <v>2010</v>
      </c>
      <c r="E274" s="20" t="s">
        <v>231</v>
      </c>
      <c r="F274" s="16"/>
    </row>
    <row r="275">
      <c r="A275" s="12">
        <v>658.0</v>
      </c>
      <c r="B275" s="13" t="s">
        <v>2411</v>
      </c>
      <c r="C275" s="14">
        <v>267.0</v>
      </c>
      <c r="D275" s="12" t="s">
        <v>1965</v>
      </c>
      <c r="E275" s="20" t="s">
        <v>231</v>
      </c>
      <c r="F275" s="16"/>
    </row>
    <row r="276">
      <c r="A276" s="12">
        <v>698.0</v>
      </c>
      <c r="B276" s="13" t="s">
        <v>2413</v>
      </c>
      <c r="C276" s="14">
        <v>192.0</v>
      </c>
      <c r="D276" s="12" t="s">
        <v>1745</v>
      </c>
      <c r="E276" s="20" t="s">
        <v>231</v>
      </c>
      <c r="F276" s="16"/>
    </row>
    <row r="277">
      <c r="A277" s="12">
        <v>700.0</v>
      </c>
      <c r="B277" s="13" t="s">
        <v>2415</v>
      </c>
      <c r="C277" s="14">
        <v>284.0</v>
      </c>
      <c r="D277" s="12" t="s">
        <v>1947</v>
      </c>
      <c r="E277" s="20" t="s">
        <v>231</v>
      </c>
      <c r="F277" s="16"/>
    </row>
    <row r="278">
      <c r="A278" s="12">
        <v>701.0</v>
      </c>
      <c r="B278" s="13" t="s">
        <v>2417</v>
      </c>
      <c r="C278" s="14">
        <v>258.0</v>
      </c>
      <c r="D278" s="12" t="s">
        <v>1571</v>
      </c>
      <c r="E278" s="20" t="s">
        <v>231</v>
      </c>
      <c r="F278" s="16"/>
    </row>
    <row r="279">
      <c r="A279" s="12">
        <v>712.0</v>
      </c>
      <c r="B279" s="13" t="s">
        <v>2418</v>
      </c>
      <c r="C279" s="14">
        <v>256.0</v>
      </c>
      <c r="D279" s="12" t="s">
        <v>1928</v>
      </c>
      <c r="E279" s="20" t="s">
        <v>231</v>
      </c>
      <c r="F279" s="16"/>
    </row>
    <row r="280">
      <c r="A280" s="12">
        <v>721.0</v>
      </c>
      <c r="B280" s="13" t="s">
        <v>2420</v>
      </c>
      <c r="C280" s="14">
        <v>245.0</v>
      </c>
      <c r="D280" s="12" t="s">
        <v>1891</v>
      </c>
      <c r="E280" s="20" t="s">
        <v>231</v>
      </c>
      <c r="F280" s="16"/>
    </row>
    <row r="281">
      <c r="A281" s="12">
        <v>746.0</v>
      </c>
      <c r="B281" s="13" t="s">
        <v>2422</v>
      </c>
      <c r="C281" s="14">
        <v>280.0</v>
      </c>
      <c r="D281" s="12" t="s">
        <v>1651</v>
      </c>
      <c r="E281" s="20" t="s">
        <v>231</v>
      </c>
      <c r="F281" s="16"/>
    </row>
    <row r="282">
      <c r="A282" s="12">
        <v>985.0</v>
      </c>
      <c r="B282" s="13" t="s">
        <v>2425</v>
      </c>
      <c r="C282" s="14">
        <v>264.0</v>
      </c>
      <c r="D282" s="12" t="s">
        <v>1957</v>
      </c>
      <c r="E282" s="20" t="s">
        <v>231</v>
      </c>
      <c r="F282" s="16"/>
    </row>
    <row r="283">
      <c r="A283" s="12">
        <v>990.0</v>
      </c>
      <c r="B283" s="13" t="s">
        <v>2426</v>
      </c>
      <c r="C283" s="14">
        <v>229.0</v>
      </c>
      <c r="D283" s="12" t="s">
        <v>1613</v>
      </c>
      <c r="E283" s="20" t="s">
        <v>231</v>
      </c>
      <c r="F283" s="16"/>
    </row>
    <row r="284">
      <c r="A284" s="12">
        <v>1016.0</v>
      </c>
      <c r="B284" s="13" t="s">
        <v>2428</v>
      </c>
      <c r="C284" s="14">
        <v>286.0</v>
      </c>
      <c r="D284" s="12" t="s">
        <v>1969</v>
      </c>
      <c r="E284" s="20" t="s">
        <v>231</v>
      </c>
      <c r="F284" s="16"/>
    </row>
    <row r="285">
      <c r="A285" s="12">
        <v>1164.0</v>
      </c>
      <c r="B285" s="13" t="s">
        <v>2430</v>
      </c>
      <c r="C285" s="14">
        <v>275.0</v>
      </c>
      <c r="D285" s="12" t="s">
        <v>1993</v>
      </c>
      <c r="E285" s="20" t="s">
        <v>231</v>
      </c>
      <c r="F285" s="16"/>
    </row>
    <row r="286">
      <c r="A286" s="12">
        <v>1179.0</v>
      </c>
      <c r="B286" s="13" t="s">
        <v>2432</v>
      </c>
      <c r="C286" s="14">
        <v>274.0</v>
      </c>
      <c r="D286" s="12" t="s">
        <v>1989</v>
      </c>
      <c r="E286" s="20" t="s">
        <v>231</v>
      </c>
      <c r="F286" s="16"/>
    </row>
    <row r="287">
      <c r="A287" s="12">
        <v>1398.0</v>
      </c>
      <c r="B287" s="13" t="s">
        <v>2434</v>
      </c>
      <c r="C287" s="14">
        <v>269.0</v>
      </c>
      <c r="D287" s="12" t="s">
        <v>1972</v>
      </c>
      <c r="E287" s="20" t="s">
        <v>231</v>
      </c>
      <c r="F287" s="16"/>
    </row>
    <row r="288">
      <c r="A288" s="12">
        <v>1399.0</v>
      </c>
      <c r="B288" s="13" t="s">
        <v>2436</v>
      </c>
      <c r="C288" s="14">
        <v>299.0</v>
      </c>
      <c r="D288" s="12" t="s">
        <v>2070</v>
      </c>
      <c r="E288" s="20" t="s">
        <v>231</v>
      </c>
      <c r="F288" s="16"/>
    </row>
    <row r="289">
      <c r="A289" s="12">
        <v>1408.0</v>
      </c>
      <c r="B289" s="13" t="s">
        <v>2438</v>
      </c>
      <c r="C289" s="14">
        <v>297.0</v>
      </c>
      <c r="D289" s="12" t="s">
        <v>2064</v>
      </c>
      <c r="E289" s="20" t="s">
        <v>231</v>
      </c>
      <c r="F289" s="16"/>
    </row>
    <row r="290">
      <c r="A290" s="12">
        <v>1652.0</v>
      </c>
      <c r="B290" s="13" t="s">
        <v>2440</v>
      </c>
      <c r="C290" s="14">
        <v>214.0</v>
      </c>
      <c r="D290" s="12" t="s">
        <v>1807</v>
      </c>
      <c r="E290" s="20" t="s">
        <v>231</v>
      </c>
      <c r="F290" s="16"/>
    </row>
    <row r="291">
      <c r="A291" s="12">
        <v>1661.0</v>
      </c>
      <c r="B291" s="13" t="s">
        <v>2442</v>
      </c>
      <c r="C291" s="14">
        <v>296.0</v>
      </c>
      <c r="D291" s="12" t="s">
        <v>2060</v>
      </c>
      <c r="E291" s="20" t="s">
        <v>231</v>
      </c>
      <c r="F291" s="16"/>
    </row>
    <row r="292">
      <c r="A292" s="12">
        <v>1662.0</v>
      </c>
      <c r="B292" s="13" t="s">
        <v>2444</v>
      </c>
      <c r="C292" s="14">
        <v>246.0</v>
      </c>
      <c r="D292" s="12" t="s">
        <v>1894</v>
      </c>
      <c r="E292" s="20" t="s">
        <v>231</v>
      </c>
      <c r="F292" s="16"/>
    </row>
    <row r="293">
      <c r="A293" s="12">
        <v>1675.0</v>
      </c>
      <c r="B293" s="13" t="s">
        <v>2446</v>
      </c>
      <c r="C293" s="14">
        <v>290.0</v>
      </c>
      <c r="D293" s="12" t="s">
        <v>2045</v>
      </c>
      <c r="E293" s="20" t="s">
        <v>231</v>
      </c>
      <c r="F293" s="16"/>
    </row>
    <row r="294">
      <c r="A294" s="12">
        <v>1677.0</v>
      </c>
      <c r="B294" s="13" t="s">
        <v>2447</v>
      </c>
      <c r="C294" s="14">
        <v>225.0</v>
      </c>
      <c r="D294" s="12" t="s">
        <v>1836</v>
      </c>
      <c r="E294" s="20" t="s">
        <v>231</v>
      </c>
      <c r="F294" s="16"/>
    </row>
    <row r="295">
      <c r="A295" s="12">
        <v>1861.0</v>
      </c>
      <c r="B295" s="13" t="s">
        <v>2449</v>
      </c>
      <c r="C295" s="14">
        <v>292.0</v>
      </c>
      <c r="D295" s="12" t="s">
        <v>2056</v>
      </c>
      <c r="E295" s="20" t="s">
        <v>231</v>
      </c>
      <c r="F295" s="16"/>
    </row>
    <row r="296">
      <c r="A296" s="12">
        <v>1862.0</v>
      </c>
      <c r="B296" s="13" t="s">
        <v>2452</v>
      </c>
      <c r="C296" s="14">
        <v>298.0</v>
      </c>
      <c r="D296" s="12" t="s">
        <v>2066</v>
      </c>
      <c r="E296" s="20" t="s">
        <v>231</v>
      </c>
      <c r="F296" s="16"/>
    </row>
    <row r="297">
      <c r="A297" s="12">
        <v>1864.0</v>
      </c>
      <c r="B297" s="13" t="s">
        <v>2453</v>
      </c>
      <c r="C297" s="14">
        <v>293.0</v>
      </c>
      <c r="D297" s="12" t="s">
        <v>2049</v>
      </c>
      <c r="E297" s="20" t="s">
        <v>231</v>
      </c>
      <c r="F297" s="16"/>
    </row>
    <row r="298">
      <c r="A298" s="12">
        <v>1866.0</v>
      </c>
      <c r="B298" s="13" t="s">
        <v>2455</v>
      </c>
      <c r="C298" s="14">
        <v>294.0</v>
      </c>
      <c r="D298" s="12" t="s">
        <v>2052</v>
      </c>
      <c r="E298" s="20" t="s">
        <v>231</v>
      </c>
      <c r="F298" s="16"/>
    </row>
    <row r="299">
      <c r="A299" s="12">
        <v>1937.0</v>
      </c>
      <c r="B299" s="13" t="s">
        <v>2457</v>
      </c>
      <c r="C299" s="14">
        <v>271.0</v>
      </c>
      <c r="D299" s="12" t="s">
        <v>1980</v>
      </c>
      <c r="E299" s="20" t="s">
        <v>231</v>
      </c>
      <c r="F299" s="16"/>
    </row>
    <row r="300">
      <c r="A300" s="12">
        <v>1942.0</v>
      </c>
      <c r="B300" s="13" t="s">
        <v>2459</v>
      </c>
      <c r="C300" s="14">
        <v>251.0</v>
      </c>
      <c r="D300" s="12" t="s">
        <v>1911</v>
      </c>
      <c r="E300" s="20" t="s">
        <v>231</v>
      </c>
    </row>
  </sheetData>
  <mergeCells count="1">
    <mergeCell ref="C1:F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</hyperlinks>
  <drawing r:id="rId29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221</v>
      </c>
    </row>
    <row r="2">
      <c r="A2" s="8" t="s">
        <v>224</v>
      </c>
    </row>
    <row r="3">
      <c r="A3" s="8" t="s">
        <v>225</v>
      </c>
    </row>
    <row r="4">
      <c r="A4" s="8">
        <v>1.0</v>
      </c>
    </row>
    <row r="5">
      <c r="A5" s="8" t="s">
        <v>691</v>
      </c>
    </row>
    <row r="6">
      <c r="A6" s="8" t="s">
        <v>693</v>
      </c>
    </row>
    <row r="7">
      <c r="A7" s="8" t="s">
        <v>246</v>
      </c>
    </row>
    <row r="8">
      <c r="A8" s="8" t="s">
        <v>237</v>
      </c>
    </row>
    <row r="9">
      <c r="A9" s="8" t="s">
        <v>248</v>
      </c>
    </row>
    <row r="10">
      <c r="A10" s="8">
        <v>5.6</v>
      </c>
    </row>
    <row r="11">
      <c r="A11" s="8" t="s">
        <v>224</v>
      </c>
    </row>
    <row r="12">
      <c r="A12" s="31">
        <v>30.0</v>
      </c>
    </row>
    <row r="13">
      <c r="A13" s="8" t="s">
        <v>232</v>
      </c>
    </row>
    <row r="14">
      <c r="A14" s="8" t="s">
        <v>233</v>
      </c>
    </row>
    <row r="15">
      <c r="A15" s="8" t="s">
        <v>225</v>
      </c>
    </row>
    <row r="16">
      <c r="A16" s="8">
        <v>2.0</v>
      </c>
    </row>
    <row r="17">
      <c r="A17" s="8" t="s">
        <v>691</v>
      </c>
    </row>
    <row r="18">
      <c r="A18" s="8" t="s">
        <v>695</v>
      </c>
    </row>
    <row r="19">
      <c r="A19" s="8" t="s">
        <v>340</v>
      </c>
    </row>
    <row r="20">
      <c r="A20" s="8" t="s">
        <v>243</v>
      </c>
    </row>
    <row r="21">
      <c r="A21" s="8" t="s">
        <v>248</v>
      </c>
    </row>
    <row r="22">
      <c r="A22" s="8">
        <v>4.2</v>
      </c>
    </row>
    <row r="23">
      <c r="A23" s="8" t="s">
        <v>224</v>
      </c>
    </row>
    <row r="24">
      <c r="A24" s="31">
        <v>40.0</v>
      </c>
    </row>
    <row r="25">
      <c r="A25" s="8" t="s">
        <v>232</v>
      </c>
    </row>
    <row r="26">
      <c r="A26" s="8" t="s">
        <v>233</v>
      </c>
    </row>
    <row r="27">
      <c r="A27" s="8" t="s">
        <v>225</v>
      </c>
    </row>
    <row r="28">
      <c r="A28" s="8">
        <v>3.0</v>
      </c>
    </row>
    <row r="29">
      <c r="A29" s="8" t="s">
        <v>691</v>
      </c>
    </row>
    <row r="30">
      <c r="A30" s="8" t="s">
        <v>698</v>
      </c>
    </row>
    <row r="31">
      <c r="A31" s="8" t="s">
        <v>699</v>
      </c>
    </row>
    <row r="32">
      <c r="A32" s="8" t="s">
        <v>228</v>
      </c>
    </row>
    <row r="33">
      <c r="A33" s="8" t="s">
        <v>296</v>
      </c>
    </row>
    <row r="34">
      <c r="A34" s="8">
        <v>3.1</v>
      </c>
    </row>
    <row r="35">
      <c r="A35" s="8" t="s">
        <v>224</v>
      </c>
    </row>
    <row r="36">
      <c r="A36" s="31">
        <v>51.0</v>
      </c>
    </row>
    <row r="37">
      <c r="A37" s="8" t="s">
        <v>232</v>
      </c>
    </row>
    <row r="38">
      <c r="A38" s="8" t="s">
        <v>233</v>
      </c>
    </row>
    <row r="39">
      <c r="A39" s="8" t="s">
        <v>225</v>
      </c>
    </row>
    <row r="40">
      <c r="A40" s="8">
        <v>4.0</v>
      </c>
    </row>
    <row r="41">
      <c r="A41" s="8" t="s">
        <v>691</v>
      </c>
    </row>
    <row r="42">
      <c r="A42" s="8" t="s">
        <v>700</v>
      </c>
    </row>
    <row r="43">
      <c r="A43" s="8" t="s">
        <v>332</v>
      </c>
    </row>
    <row r="44">
      <c r="A44" s="8" t="s">
        <v>247</v>
      </c>
    </row>
    <row r="45">
      <c r="A45" s="8" t="s">
        <v>248</v>
      </c>
    </row>
    <row r="46">
      <c r="A46" s="8">
        <v>1.6</v>
      </c>
    </row>
    <row r="47">
      <c r="A47" s="8" t="s">
        <v>224</v>
      </c>
    </row>
    <row r="48">
      <c r="A48" s="31">
        <v>54.0</v>
      </c>
    </row>
    <row r="49">
      <c r="A49" s="8" t="s">
        <v>232</v>
      </c>
    </row>
    <row r="50">
      <c r="A50" s="8" t="s">
        <v>233</v>
      </c>
    </row>
    <row r="51">
      <c r="A51" s="8" t="s">
        <v>225</v>
      </c>
    </row>
    <row r="52">
      <c r="A52" s="8">
        <v>5.0</v>
      </c>
    </row>
    <row r="53">
      <c r="A53" s="8" t="s">
        <v>691</v>
      </c>
    </row>
    <row r="54">
      <c r="A54" s="8" t="s">
        <v>703</v>
      </c>
    </row>
    <row r="55">
      <c r="A55" s="8" t="s">
        <v>422</v>
      </c>
    </row>
    <row r="56">
      <c r="A56" s="8" t="s">
        <v>253</v>
      </c>
    </row>
    <row r="57">
      <c r="A57" s="8" t="s">
        <v>296</v>
      </c>
    </row>
    <row r="58">
      <c r="A58" s="8">
        <v>2.5</v>
      </c>
    </row>
    <row r="59">
      <c r="A59" s="8" t="s">
        <v>224</v>
      </c>
    </row>
    <row r="60">
      <c r="A60" s="31">
        <v>59.0</v>
      </c>
    </row>
    <row r="61">
      <c r="A61" s="8" t="s">
        <v>232</v>
      </c>
    </row>
    <row r="62">
      <c r="A62" s="8" t="s">
        <v>233</v>
      </c>
    </row>
    <row r="63">
      <c r="A63" s="8" t="s">
        <v>225</v>
      </c>
    </row>
    <row r="64">
      <c r="A64" s="8">
        <v>6.0</v>
      </c>
    </row>
    <row r="65">
      <c r="A65" s="8" t="s">
        <v>691</v>
      </c>
    </row>
    <row r="66">
      <c r="A66" s="8" t="s">
        <v>704</v>
      </c>
    </row>
    <row r="67">
      <c r="A67" s="8" t="s">
        <v>278</v>
      </c>
    </row>
    <row r="68">
      <c r="A68" s="8" t="s">
        <v>287</v>
      </c>
    </row>
    <row r="69">
      <c r="A69" s="8" t="s">
        <v>265</v>
      </c>
    </row>
    <row r="70">
      <c r="A70" s="8">
        <v>14.1</v>
      </c>
    </row>
    <row r="71">
      <c r="A71" s="8" t="s">
        <v>224</v>
      </c>
    </row>
    <row r="72">
      <c r="A72" s="31">
        <v>41.0</v>
      </c>
    </row>
    <row r="73">
      <c r="A73" s="8" t="s">
        <v>232</v>
      </c>
    </row>
    <row r="74">
      <c r="A74" s="8" t="s">
        <v>233</v>
      </c>
    </row>
    <row r="75">
      <c r="A75" s="8" t="s">
        <v>225</v>
      </c>
    </row>
    <row r="76">
      <c r="A76" s="8">
        <v>7.0</v>
      </c>
    </row>
    <row r="77">
      <c r="A77" s="8" t="s">
        <v>691</v>
      </c>
    </row>
    <row r="78">
      <c r="A78" s="8" t="s">
        <v>707</v>
      </c>
    </row>
    <row r="79">
      <c r="A79" s="8" t="s">
        <v>278</v>
      </c>
    </row>
    <row r="80">
      <c r="A80" s="8" t="s">
        <v>263</v>
      </c>
    </row>
    <row r="81">
      <c r="A81" s="8" t="s">
        <v>265</v>
      </c>
    </row>
    <row r="82">
      <c r="A82" s="8">
        <v>10.7</v>
      </c>
    </row>
    <row r="83">
      <c r="A83" s="8" t="s">
        <v>224</v>
      </c>
    </row>
    <row r="84">
      <c r="A84" s="31">
        <v>30.0</v>
      </c>
    </row>
    <row r="85">
      <c r="A85" s="8" t="s">
        <v>232</v>
      </c>
    </row>
    <row r="86">
      <c r="A86" s="8" t="s">
        <v>233</v>
      </c>
    </row>
    <row r="87">
      <c r="A87" s="8" t="s">
        <v>225</v>
      </c>
    </row>
    <row r="88">
      <c r="A88" s="8">
        <v>8.0</v>
      </c>
    </row>
    <row r="89">
      <c r="A89" s="8" t="s">
        <v>226</v>
      </c>
    </row>
    <row r="90">
      <c r="A90" s="8" t="s">
        <v>227</v>
      </c>
    </row>
    <row r="91">
      <c r="A91" s="8" t="s">
        <v>291</v>
      </c>
    </row>
    <row r="92">
      <c r="A92" s="8" t="s">
        <v>229</v>
      </c>
    </row>
    <row r="93">
      <c r="A93" s="8">
        <v>16.3</v>
      </c>
    </row>
    <row r="94">
      <c r="A94" s="8" t="s">
        <v>224</v>
      </c>
    </row>
    <row r="95">
      <c r="A95" s="8" t="s">
        <v>231</v>
      </c>
    </row>
    <row r="96">
      <c r="A96" s="8" t="s">
        <v>232</v>
      </c>
    </row>
    <row r="97">
      <c r="A97" s="8" t="s">
        <v>233</v>
      </c>
    </row>
    <row r="98">
      <c r="A98" s="8" t="s">
        <v>225</v>
      </c>
    </row>
    <row r="99">
      <c r="A99" s="8">
        <v>9.0</v>
      </c>
    </row>
    <row r="100">
      <c r="A100" s="8" t="s">
        <v>691</v>
      </c>
    </row>
    <row r="101">
      <c r="A101" s="8" t="s">
        <v>710</v>
      </c>
    </row>
    <row r="102">
      <c r="A102" s="8" t="s">
        <v>314</v>
      </c>
    </row>
    <row r="103">
      <c r="A103" s="8" t="s">
        <v>259</v>
      </c>
    </row>
    <row r="104">
      <c r="A104" s="8" t="s">
        <v>244</v>
      </c>
    </row>
    <row r="105">
      <c r="A105" s="8">
        <v>8.6</v>
      </c>
    </row>
    <row r="106">
      <c r="A106" s="8" t="s">
        <v>224</v>
      </c>
    </row>
    <row r="107">
      <c r="A107" s="31">
        <v>44.0</v>
      </c>
    </row>
    <row r="108">
      <c r="A108" s="8" t="s">
        <v>232</v>
      </c>
    </row>
    <row r="109">
      <c r="A109" s="8" t="s">
        <v>233</v>
      </c>
    </row>
    <row r="110">
      <c r="A110" s="8" t="s">
        <v>225</v>
      </c>
    </row>
    <row r="111">
      <c r="A111" s="8">
        <v>10.0</v>
      </c>
    </row>
    <row r="112">
      <c r="A112" s="8" t="s">
        <v>691</v>
      </c>
    </row>
    <row r="113">
      <c r="A113" s="8" t="s">
        <v>713</v>
      </c>
    </row>
    <row r="114">
      <c r="A114" s="8" t="s">
        <v>699</v>
      </c>
    </row>
    <row r="115">
      <c r="A115" s="8" t="s">
        <v>268</v>
      </c>
    </row>
    <row r="116">
      <c r="A116" s="8" t="s">
        <v>296</v>
      </c>
    </row>
    <row r="117">
      <c r="A117" s="8">
        <v>7.8</v>
      </c>
    </row>
    <row r="118">
      <c r="A118" s="8" t="s">
        <v>224</v>
      </c>
    </row>
    <row r="119">
      <c r="A119" s="31">
        <v>43.0</v>
      </c>
    </row>
    <row r="120">
      <c r="A120" s="8" t="s">
        <v>232</v>
      </c>
    </row>
    <row r="121">
      <c r="A121" s="8" t="s">
        <v>233</v>
      </c>
    </row>
    <row r="122">
      <c r="A122" s="8" t="s">
        <v>225</v>
      </c>
    </row>
    <row r="123">
      <c r="A123" s="8">
        <v>11.0</v>
      </c>
    </row>
    <row r="124">
      <c r="A124" s="8" t="s">
        <v>691</v>
      </c>
    </row>
    <row r="125">
      <c r="A125" s="8" t="s">
        <v>715</v>
      </c>
    </row>
    <row r="126">
      <c r="A126" s="8" t="s">
        <v>392</v>
      </c>
    </row>
    <row r="127">
      <c r="A127" s="8" t="s">
        <v>306</v>
      </c>
    </row>
    <row r="128">
      <c r="A128" s="8" t="s">
        <v>324</v>
      </c>
    </row>
    <row r="129">
      <c r="A129" s="8">
        <v>20.8</v>
      </c>
    </row>
    <row r="130">
      <c r="A130" s="8" t="s">
        <v>224</v>
      </c>
    </row>
    <row r="131">
      <c r="A131" s="31">
        <v>27.0</v>
      </c>
    </row>
    <row r="132">
      <c r="A132" s="8" t="s">
        <v>232</v>
      </c>
    </row>
    <row r="133">
      <c r="A133" s="8" t="s">
        <v>233</v>
      </c>
    </row>
    <row r="134">
      <c r="A134" s="8" t="s">
        <v>225</v>
      </c>
    </row>
    <row r="135">
      <c r="A135" s="8">
        <v>12.0</v>
      </c>
    </row>
    <row r="136">
      <c r="A136" s="8" t="s">
        <v>691</v>
      </c>
    </row>
    <row r="137">
      <c r="A137" s="8" t="s">
        <v>717</v>
      </c>
    </row>
    <row r="138">
      <c r="A138" s="8" t="s">
        <v>293</v>
      </c>
    </row>
    <row r="139">
      <c r="A139" s="8" t="s">
        <v>310</v>
      </c>
    </row>
    <row r="140">
      <c r="A140" s="8" t="s">
        <v>296</v>
      </c>
    </row>
    <row r="141">
      <c r="A141" s="8">
        <v>19.6</v>
      </c>
    </row>
    <row r="142">
      <c r="A142" s="8" t="s">
        <v>224</v>
      </c>
    </row>
    <row r="143">
      <c r="A143" s="31">
        <v>36.0</v>
      </c>
    </row>
    <row r="144">
      <c r="A144" s="8" t="s">
        <v>232</v>
      </c>
    </row>
    <row r="145">
      <c r="A145" s="8" t="s">
        <v>233</v>
      </c>
    </row>
    <row r="146">
      <c r="A146" s="8" t="s">
        <v>225</v>
      </c>
    </row>
    <row r="147">
      <c r="A147" s="8">
        <v>13.0</v>
      </c>
    </row>
    <row r="148">
      <c r="A148" s="8" t="s">
        <v>691</v>
      </c>
    </row>
    <row r="149">
      <c r="A149" s="8" t="s">
        <v>719</v>
      </c>
    </row>
    <row r="150">
      <c r="A150" s="8" t="s">
        <v>227</v>
      </c>
    </row>
    <row r="151">
      <c r="A151" s="8" t="s">
        <v>299</v>
      </c>
    </row>
    <row r="152">
      <c r="A152" s="8" t="s">
        <v>229</v>
      </c>
    </row>
    <row r="153">
      <c r="A153" s="8">
        <v>12.8</v>
      </c>
    </row>
    <row r="154">
      <c r="A154" s="8" t="s">
        <v>224</v>
      </c>
    </row>
    <row r="155">
      <c r="A155" s="31">
        <v>26.0</v>
      </c>
    </row>
    <row r="156">
      <c r="A156" s="8" t="s">
        <v>232</v>
      </c>
    </row>
    <row r="157">
      <c r="A157" s="8" t="s">
        <v>233</v>
      </c>
    </row>
    <row r="158">
      <c r="A158" s="8" t="s">
        <v>225</v>
      </c>
    </row>
    <row r="159">
      <c r="A159" s="8">
        <v>14.0</v>
      </c>
    </row>
    <row r="160">
      <c r="A160" s="8" t="s">
        <v>691</v>
      </c>
    </row>
    <row r="161">
      <c r="A161" s="8" t="s">
        <v>721</v>
      </c>
    </row>
    <row r="162">
      <c r="A162" s="8" t="s">
        <v>332</v>
      </c>
    </row>
    <row r="163">
      <c r="A163" s="8" t="s">
        <v>272</v>
      </c>
    </row>
    <row r="164">
      <c r="A164" s="8" t="s">
        <v>248</v>
      </c>
    </row>
    <row r="165">
      <c r="A165" s="8">
        <v>21.7</v>
      </c>
    </row>
    <row r="166">
      <c r="A166" s="8" t="s">
        <v>224</v>
      </c>
    </row>
    <row r="167">
      <c r="A167" s="31">
        <v>44.0</v>
      </c>
    </row>
    <row r="168">
      <c r="A168" s="8" t="s">
        <v>232</v>
      </c>
    </row>
    <row r="169">
      <c r="A169" s="8" t="s">
        <v>233</v>
      </c>
    </row>
    <row r="170">
      <c r="A170" s="8" t="s">
        <v>225</v>
      </c>
    </row>
    <row r="171">
      <c r="A171" s="8">
        <v>15.0</v>
      </c>
    </row>
    <row r="172">
      <c r="A172" s="8" t="s">
        <v>691</v>
      </c>
    </row>
    <row r="173">
      <c r="A173" s="8" t="s">
        <v>724</v>
      </c>
    </row>
    <row r="174">
      <c r="A174" s="8" t="s">
        <v>348</v>
      </c>
    </row>
    <row r="175">
      <c r="A175" s="8" t="s">
        <v>276</v>
      </c>
    </row>
    <row r="176">
      <c r="A176" s="8" t="s">
        <v>296</v>
      </c>
    </row>
    <row r="177">
      <c r="A177" s="8">
        <v>13.3</v>
      </c>
    </row>
    <row r="178">
      <c r="A178" s="8" t="s">
        <v>224</v>
      </c>
    </row>
    <row r="179">
      <c r="A179" s="31">
        <v>49.0</v>
      </c>
    </row>
    <row r="180">
      <c r="A180" s="8" t="s">
        <v>232</v>
      </c>
    </row>
    <row r="181">
      <c r="A181" s="8" t="s">
        <v>233</v>
      </c>
    </row>
    <row r="182">
      <c r="A182" s="8" t="s">
        <v>225</v>
      </c>
    </row>
    <row r="183">
      <c r="A183" s="8">
        <v>16.0</v>
      </c>
    </row>
    <row r="184">
      <c r="A184" s="8" t="s">
        <v>691</v>
      </c>
    </row>
    <row r="185">
      <c r="A185" s="8" t="s">
        <v>726</v>
      </c>
    </row>
    <row r="186">
      <c r="A186" s="8" t="s">
        <v>408</v>
      </c>
    </row>
    <row r="187">
      <c r="A187" s="8" t="s">
        <v>279</v>
      </c>
    </row>
    <row r="188">
      <c r="A188" s="8" t="s">
        <v>248</v>
      </c>
    </row>
    <row r="189">
      <c r="A189" s="8">
        <v>9.6</v>
      </c>
    </row>
    <row r="190">
      <c r="A190" s="8" t="s">
        <v>224</v>
      </c>
    </row>
    <row r="191">
      <c r="A191" s="31">
        <v>3.0</v>
      </c>
    </row>
    <row r="192">
      <c r="A192" s="8" t="s">
        <v>232</v>
      </c>
    </row>
    <row r="193">
      <c r="A193" s="8" t="s">
        <v>233</v>
      </c>
    </row>
    <row r="194">
      <c r="A194" s="8" t="s">
        <v>225</v>
      </c>
    </row>
    <row r="195">
      <c r="A195" s="8">
        <v>17.0</v>
      </c>
    </row>
    <row r="196">
      <c r="A196" s="8" t="s">
        <v>691</v>
      </c>
    </row>
    <row r="197">
      <c r="A197" s="8" t="s">
        <v>728</v>
      </c>
    </row>
    <row r="198">
      <c r="A198" s="8" t="s">
        <v>376</v>
      </c>
    </row>
    <row r="199">
      <c r="A199" s="8" t="s">
        <v>341</v>
      </c>
    </row>
    <row r="200">
      <c r="A200" s="8" t="s">
        <v>324</v>
      </c>
    </row>
    <row r="201">
      <c r="A201" s="8">
        <v>6.7</v>
      </c>
    </row>
    <row r="202">
      <c r="A202" s="8" t="s">
        <v>224</v>
      </c>
    </row>
    <row r="203">
      <c r="A203" s="31">
        <v>21.0</v>
      </c>
    </row>
    <row r="204">
      <c r="A204" s="8" t="s">
        <v>232</v>
      </c>
    </row>
    <row r="205">
      <c r="A205" s="8" t="s">
        <v>233</v>
      </c>
    </row>
    <row r="206">
      <c r="A206" s="8" t="s">
        <v>225</v>
      </c>
    </row>
    <row r="207">
      <c r="A207" s="8">
        <v>18.0</v>
      </c>
    </row>
    <row r="208">
      <c r="A208" s="8" t="s">
        <v>731</v>
      </c>
    </row>
    <row r="209">
      <c r="A209" s="8" t="s">
        <v>396</v>
      </c>
    </row>
    <row r="210">
      <c r="A210" s="8" t="s">
        <v>362</v>
      </c>
    </row>
    <row r="211">
      <c r="A211" s="8" t="s">
        <v>254</v>
      </c>
    </row>
    <row r="212">
      <c r="A212" s="8">
        <v>24.2</v>
      </c>
    </row>
    <row r="213">
      <c r="A213" s="8" t="s">
        <v>224</v>
      </c>
    </row>
    <row r="214">
      <c r="A214" s="31">
        <v>3.0</v>
      </c>
    </row>
    <row r="215">
      <c r="A215" s="8" t="s">
        <v>232</v>
      </c>
    </row>
    <row r="216">
      <c r="A216" s="8" t="s">
        <v>233</v>
      </c>
    </row>
    <row r="217">
      <c r="A217" s="8" t="s">
        <v>225</v>
      </c>
    </row>
    <row r="218">
      <c r="A218" s="8">
        <v>19.0</v>
      </c>
    </row>
    <row r="219">
      <c r="A219" s="8" t="s">
        <v>691</v>
      </c>
    </row>
    <row r="220">
      <c r="A220" s="8" t="s">
        <v>732</v>
      </c>
    </row>
    <row r="221">
      <c r="A221" s="8" t="s">
        <v>734</v>
      </c>
    </row>
    <row r="222">
      <c r="A222" s="8" t="s">
        <v>284</v>
      </c>
    </row>
    <row r="223">
      <c r="A223" s="8" t="s">
        <v>229</v>
      </c>
    </row>
    <row r="224">
      <c r="A224" s="8">
        <v>18.5</v>
      </c>
    </row>
    <row r="225">
      <c r="A225" s="8" t="s">
        <v>224</v>
      </c>
    </row>
    <row r="226">
      <c r="A226" s="31">
        <v>51.0</v>
      </c>
    </row>
    <row r="227">
      <c r="A227" s="8" t="s">
        <v>232</v>
      </c>
    </row>
    <row r="228">
      <c r="A228" s="8" t="s">
        <v>233</v>
      </c>
    </row>
    <row r="229">
      <c r="A229" s="8" t="s">
        <v>225</v>
      </c>
    </row>
    <row r="230">
      <c r="A230" s="8">
        <v>20.0</v>
      </c>
    </row>
    <row r="231">
      <c r="A231" s="8" t="s">
        <v>691</v>
      </c>
    </row>
    <row r="232">
      <c r="A232" s="8" t="s">
        <v>453</v>
      </c>
    </row>
    <row r="233">
      <c r="A233" s="8" t="s">
        <v>381</v>
      </c>
    </row>
    <row r="234">
      <c r="A234" s="8" t="s">
        <v>323</v>
      </c>
    </row>
    <row r="235">
      <c r="A235" s="8" t="s">
        <v>265</v>
      </c>
    </row>
    <row r="236">
      <c r="A236" s="8">
        <v>22.4</v>
      </c>
    </row>
    <row r="237">
      <c r="A237" s="8" t="s">
        <v>224</v>
      </c>
    </row>
    <row r="238">
      <c r="A238" s="31">
        <v>33.0</v>
      </c>
    </row>
    <row r="239">
      <c r="A239" s="8" t="s">
        <v>232</v>
      </c>
    </row>
    <row r="240">
      <c r="A240" s="8" t="s">
        <v>233</v>
      </c>
    </row>
    <row r="241">
      <c r="A241" s="8" t="s">
        <v>225</v>
      </c>
    </row>
    <row r="242">
      <c r="A242" s="8">
        <v>21.0</v>
      </c>
    </row>
    <row r="243">
      <c r="A243" s="8" t="s">
        <v>691</v>
      </c>
    </row>
    <row r="244">
      <c r="A244" s="8" t="s">
        <v>738</v>
      </c>
    </row>
    <row r="245">
      <c r="A245" s="8" t="s">
        <v>242</v>
      </c>
    </row>
    <row r="246">
      <c r="A246" s="8" t="s">
        <v>295</v>
      </c>
    </row>
    <row r="247">
      <c r="A247" s="8" t="s">
        <v>244</v>
      </c>
    </row>
    <row r="248">
      <c r="A248" s="8">
        <v>29.1</v>
      </c>
    </row>
    <row r="249">
      <c r="A249" s="8" t="s">
        <v>224</v>
      </c>
    </row>
    <row r="250">
      <c r="A250" s="31">
        <v>10.0</v>
      </c>
    </row>
    <row r="251">
      <c r="A251" s="8" t="s">
        <v>232</v>
      </c>
    </row>
    <row r="252">
      <c r="A252" s="8" t="s">
        <v>233</v>
      </c>
    </row>
    <row r="253">
      <c r="A253" s="8" t="s">
        <v>225</v>
      </c>
    </row>
    <row r="254">
      <c r="A254" s="8">
        <v>22.0</v>
      </c>
    </row>
    <row r="255">
      <c r="A255" s="8" t="s">
        <v>691</v>
      </c>
    </row>
    <row r="256">
      <c r="A256" s="8" t="s">
        <v>739</v>
      </c>
    </row>
    <row r="257">
      <c r="A257" s="8" t="s">
        <v>359</v>
      </c>
    </row>
    <row r="258">
      <c r="A258" s="8" t="s">
        <v>304</v>
      </c>
    </row>
    <row r="259">
      <c r="A259" s="8" t="s">
        <v>330</v>
      </c>
    </row>
    <row r="260">
      <c r="A260" s="8">
        <v>23.2</v>
      </c>
    </row>
    <row r="261">
      <c r="A261" s="8" t="s">
        <v>224</v>
      </c>
    </row>
    <row r="262">
      <c r="A262" s="31">
        <v>23.0</v>
      </c>
    </row>
    <row r="263">
      <c r="A263" s="8" t="s">
        <v>232</v>
      </c>
    </row>
    <row r="264">
      <c r="A264" s="8" t="s">
        <v>233</v>
      </c>
    </row>
    <row r="265">
      <c r="A265" s="8" t="s">
        <v>225</v>
      </c>
    </row>
    <row r="266">
      <c r="A266" s="8">
        <v>23.0</v>
      </c>
    </row>
    <row r="267">
      <c r="A267" s="8" t="s">
        <v>691</v>
      </c>
    </row>
    <row r="268">
      <c r="A268" s="8" t="s">
        <v>742</v>
      </c>
    </row>
    <row r="269">
      <c r="A269" s="8" t="s">
        <v>441</v>
      </c>
    </row>
    <row r="270">
      <c r="A270" s="8" t="s">
        <v>315</v>
      </c>
    </row>
    <row r="271">
      <c r="A271" s="8" t="s">
        <v>244</v>
      </c>
    </row>
    <row r="272">
      <c r="A272" s="8">
        <v>28.2</v>
      </c>
    </row>
    <row r="273">
      <c r="A273" s="8" t="s">
        <v>224</v>
      </c>
    </row>
    <row r="274">
      <c r="A274" s="31">
        <v>45.0</v>
      </c>
    </row>
    <row r="275">
      <c r="A275" s="8" t="s">
        <v>232</v>
      </c>
    </row>
    <row r="276">
      <c r="A276" s="8" t="s">
        <v>233</v>
      </c>
    </row>
    <row r="277">
      <c r="A277" s="8" t="s">
        <v>225</v>
      </c>
    </row>
    <row r="278">
      <c r="A278" s="8">
        <v>24.0</v>
      </c>
    </row>
    <row r="279">
      <c r="A279" s="8" t="s">
        <v>691</v>
      </c>
    </row>
    <row r="280">
      <c r="A280" s="8" t="s">
        <v>744</v>
      </c>
    </row>
    <row r="281">
      <c r="A281" s="8" t="s">
        <v>302</v>
      </c>
    </row>
    <row r="282">
      <c r="A282" s="8" t="s">
        <v>318</v>
      </c>
    </row>
    <row r="283">
      <c r="A283" s="8" t="s">
        <v>254</v>
      </c>
    </row>
    <row r="284">
      <c r="A284" s="8">
        <v>30.9</v>
      </c>
    </row>
    <row r="285">
      <c r="A285" s="8" t="s">
        <v>224</v>
      </c>
    </row>
    <row r="286">
      <c r="A286" s="31">
        <v>18.0</v>
      </c>
    </row>
    <row r="287">
      <c r="A287" s="8" t="s">
        <v>232</v>
      </c>
    </row>
    <row r="288">
      <c r="A288" s="8" t="s">
        <v>233</v>
      </c>
    </row>
    <row r="289">
      <c r="A289" s="8" t="s">
        <v>225</v>
      </c>
    </row>
    <row r="290">
      <c r="A290" s="8">
        <v>25.0</v>
      </c>
    </row>
    <row r="291">
      <c r="A291" s="8" t="s">
        <v>691</v>
      </c>
    </row>
    <row r="292">
      <c r="A292" s="8" t="s">
        <v>746</v>
      </c>
    </row>
    <row r="293">
      <c r="A293" s="8" t="s">
        <v>376</v>
      </c>
    </row>
    <row r="294">
      <c r="A294" s="8" t="s">
        <v>329</v>
      </c>
    </row>
    <row r="295">
      <c r="A295" s="8" t="s">
        <v>324</v>
      </c>
    </row>
    <row r="296">
      <c r="A296" s="8">
        <v>25.2</v>
      </c>
    </row>
    <row r="297">
      <c r="A297" s="8" t="s">
        <v>224</v>
      </c>
    </row>
    <row r="298">
      <c r="A298" s="31">
        <v>23.0</v>
      </c>
    </row>
    <row r="299">
      <c r="A299" s="8" t="s">
        <v>232</v>
      </c>
    </row>
    <row r="300">
      <c r="A300" s="8" t="s">
        <v>233</v>
      </c>
    </row>
    <row r="301">
      <c r="A301" s="8" t="s">
        <v>225</v>
      </c>
    </row>
    <row r="302">
      <c r="A302" s="8">
        <v>26.0</v>
      </c>
    </row>
    <row r="303">
      <c r="A303" s="8" t="s">
        <v>691</v>
      </c>
    </row>
    <row r="304">
      <c r="A304" s="8" t="s">
        <v>748</v>
      </c>
    </row>
    <row r="305">
      <c r="A305" s="8" t="s">
        <v>328</v>
      </c>
    </row>
    <row r="306">
      <c r="A306" s="8" t="s">
        <v>349</v>
      </c>
    </row>
    <row r="307">
      <c r="A307" s="8" t="s">
        <v>330</v>
      </c>
    </row>
    <row r="308">
      <c r="A308" s="8">
        <v>39.2</v>
      </c>
    </row>
    <row r="309">
      <c r="A309" s="8" t="s">
        <v>224</v>
      </c>
    </row>
    <row r="310">
      <c r="A310" s="31">
        <v>22.0</v>
      </c>
    </row>
    <row r="311">
      <c r="A311" s="8" t="s">
        <v>232</v>
      </c>
    </row>
    <row r="312">
      <c r="A312" s="8" t="s">
        <v>233</v>
      </c>
    </row>
    <row r="313">
      <c r="A313" s="8" t="s">
        <v>225</v>
      </c>
    </row>
    <row r="314">
      <c r="A314" s="8">
        <v>27.0</v>
      </c>
    </row>
    <row r="315">
      <c r="A315" s="8" t="s">
        <v>691</v>
      </c>
    </row>
    <row r="316">
      <c r="A316" s="8" t="s">
        <v>750</v>
      </c>
    </row>
    <row r="317">
      <c r="A317" s="8" t="s">
        <v>422</v>
      </c>
    </row>
    <row r="318">
      <c r="A318" s="8" t="s">
        <v>352</v>
      </c>
    </row>
    <row r="319">
      <c r="A319" s="8" t="s">
        <v>296</v>
      </c>
    </row>
    <row r="320">
      <c r="A320" s="8">
        <v>34.2</v>
      </c>
    </row>
    <row r="321">
      <c r="A321" s="8" t="s">
        <v>224</v>
      </c>
    </row>
    <row r="322">
      <c r="A322" s="31">
        <v>40.0</v>
      </c>
    </row>
    <row r="323">
      <c r="A323" s="8" t="s">
        <v>232</v>
      </c>
    </row>
    <row r="324">
      <c r="A324" s="8" t="s">
        <v>233</v>
      </c>
    </row>
    <row r="325">
      <c r="A325" s="8" t="s">
        <v>225</v>
      </c>
    </row>
    <row r="326">
      <c r="A326" s="8">
        <v>28.0</v>
      </c>
    </row>
    <row r="327">
      <c r="A327" s="8" t="s">
        <v>691</v>
      </c>
    </row>
    <row r="328">
      <c r="A328" s="8" t="s">
        <v>753</v>
      </c>
    </row>
    <row r="329">
      <c r="A329" s="8" t="s">
        <v>734</v>
      </c>
    </row>
    <row r="330">
      <c r="A330" s="8" t="s">
        <v>333</v>
      </c>
    </row>
    <row r="331">
      <c r="A331" s="8" t="s">
        <v>229</v>
      </c>
    </row>
    <row r="332">
      <c r="A332" s="8">
        <v>27.1</v>
      </c>
    </row>
    <row r="333">
      <c r="A333" s="8" t="s">
        <v>224</v>
      </c>
    </row>
    <row r="334">
      <c r="A334" s="31">
        <v>22.0</v>
      </c>
    </row>
    <row r="335">
      <c r="A335" s="8" t="s">
        <v>232</v>
      </c>
    </row>
    <row r="336">
      <c r="A336" s="8" t="s">
        <v>233</v>
      </c>
    </row>
    <row r="337">
      <c r="A337" s="8" t="s">
        <v>225</v>
      </c>
    </row>
    <row r="338">
      <c r="A338" s="8">
        <v>29.0</v>
      </c>
    </row>
    <row r="339">
      <c r="A339" s="8" t="s">
        <v>691</v>
      </c>
    </row>
    <row r="340">
      <c r="A340" s="8" t="s">
        <v>755</v>
      </c>
    </row>
    <row r="341">
      <c r="A341" s="8" t="s">
        <v>258</v>
      </c>
    </row>
    <row r="342">
      <c r="A342" s="8" t="s">
        <v>382</v>
      </c>
    </row>
    <row r="343">
      <c r="A343" s="8" t="s">
        <v>248</v>
      </c>
    </row>
    <row r="344">
      <c r="A344" s="8">
        <v>44.7</v>
      </c>
    </row>
    <row r="345">
      <c r="A345" s="8" t="s">
        <v>224</v>
      </c>
    </row>
    <row r="346">
      <c r="A346" s="31">
        <v>3.0</v>
      </c>
    </row>
    <row r="347">
      <c r="A347" s="8" t="s">
        <v>232</v>
      </c>
    </row>
    <row r="348">
      <c r="A348" s="8" t="s">
        <v>233</v>
      </c>
    </row>
    <row r="349">
      <c r="A349" s="8" t="s">
        <v>225</v>
      </c>
    </row>
    <row r="350">
      <c r="A350" s="8">
        <v>30.0</v>
      </c>
    </row>
    <row r="351">
      <c r="A351" s="8" t="s">
        <v>691</v>
      </c>
    </row>
    <row r="352">
      <c r="A352" s="8" t="s">
        <v>757</v>
      </c>
    </row>
    <row r="353">
      <c r="A353" s="8" t="s">
        <v>317</v>
      </c>
    </row>
    <row r="354">
      <c r="A354" s="8" t="s">
        <v>370</v>
      </c>
    </row>
    <row r="355">
      <c r="A355" s="8" t="s">
        <v>265</v>
      </c>
    </row>
    <row r="356">
      <c r="A356" s="8">
        <v>17.3</v>
      </c>
    </row>
    <row r="357">
      <c r="A357" s="8" t="s">
        <v>224</v>
      </c>
    </row>
    <row r="358">
      <c r="A358" s="31">
        <v>21.0</v>
      </c>
    </row>
    <row r="359">
      <c r="A359" s="8" t="s">
        <v>232</v>
      </c>
    </row>
    <row r="360">
      <c r="A360" s="8" t="s">
        <v>233</v>
      </c>
    </row>
    <row r="361">
      <c r="A361" s="8" t="s">
        <v>225</v>
      </c>
    </row>
    <row r="362">
      <c r="A362" s="8">
        <v>31.0</v>
      </c>
    </row>
    <row r="363">
      <c r="A363" s="8" t="s">
        <v>691</v>
      </c>
    </row>
    <row r="364">
      <c r="A364" s="8" t="s">
        <v>760</v>
      </c>
    </row>
    <row r="365">
      <c r="A365" s="8" t="s">
        <v>322</v>
      </c>
    </row>
    <row r="366">
      <c r="A366" s="8" t="s">
        <v>419</v>
      </c>
    </row>
    <row r="367">
      <c r="A367" s="8" t="s">
        <v>324</v>
      </c>
    </row>
    <row r="368">
      <c r="A368" s="8">
        <v>15.6</v>
      </c>
    </row>
    <row r="369">
      <c r="A369" s="8" t="s">
        <v>224</v>
      </c>
    </row>
    <row r="370">
      <c r="A370" s="31">
        <v>16.0</v>
      </c>
    </row>
    <row r="371">
      <c r="A371" s="8" t="s">
        <v>232</v>
      </c>
    </row>
    <row r="372">
      <c r="A372" s="8" t="s">
        <v>233</v>
      </c>
    </row>
    <row r="373">
      <c r="A373" s="8" t="s">
        <v>225</v>
      </c>
    </row>
    <row r="374">
      <c r="A374" s="8">
        <v>32.0</v>
      </c>
    </row>
    <row r="375">
      <c r="A375" s="8" t="s">
        <v>691</v>
      </c>
    </row>
    <row r="376">
      <c r="A376" s="8" t="s">
        <v>762</v>
      </c>
    </row>
    <row r="377">
      <c r="A377" s="8" t="s">
        <v>422</v>
      </c>
    </row>
    <row r="378">
      <c r="A378" s="8" t="s">
        <v>452</v>
      </c>
    </row>
    <row r="379">
      <c r="A379" s="8" t="s">
        <v>296</v>
      </c>
    </row>
    <row r="380">
      <c r="A380" s="8">
        <v>11.8</v>
      </c>
    </row>
    <row r="381">
      <c r="A381" s="8" t="s">
        <v>224</v>
      </c>
    </row>
    <row r="382">
      <c r="A382" s="31">
        <v>18.0</v>
      </c>
    </row>
    <row r="383">
      <c r="A383" s="8" t="s">
        <v>232</v>
      </c>
    </row>
    <row r="384">
      <c r="A384" s="8" t="s">
        <v>233</v>
      </c>
    </row>
    <row r="385">
      <c r="A385" s="8" t="s">
        <v>225</v>
      </c>
    </row>
    <row r="386">
      <c r="A386" s="8">
        <v>33.0</v>
      </c>
    </row>
    <row r="387">
      <c r="A387" s="8" t="s">
        <v>691</v>
      </c>
    </row>
    <row r="388">
      <c r="A388" s="8" t="s">
        <v>764</v>
      </c>
    </row>
    <row r="389">
      <c r="A389" s="8" t="s">
        <v>262</v>
      </c>
    </row>
    <row r="390">
      <c r="A390" s="8" t="s">
        <v>337</v>
      </c>
    </row>
    <row r="391">
      <c r="A391" s="8" t="s">
        <v>265</v>
      </c>
    </row>
    <row r="392">
      <c r="A392" s="8">
        <v>33.8</v>
      </c>
    </row>
    <row r="393">
      <c r="A393" s="8" t="s">
        <v>224</v>
      </c>
    </row>
    <row r="394">
      <c r="A394" s="31">
        <v>27.0</v>
      </c>
    </row>
    <row r="395">
      <c r="A395" s="8" t="s">
        <v>232</v>
      </c>
    </row>
    <row r="396">
      <c r="A396" s="8" t="s">
        <v>233</v>
      </c>
    </row>
    <row r="397">
      <c r="A397" s="8" t="s">
        <v>225</v>
      </c>
    </row>
    <row r="398">
      <c r="A398" s="8">
        <v>34.0</v>
      </c>
    </row>
    <row r="399">
      <c r="A399" s="8" t="s">
        <v>691</v>
      </c>
    </row>
    <row r="400">
      <c r="A400" s="8" t="s">
        <v>766</v>
      </c>
    </row>
    <row r="401">
      <c r="A401" s="8" t="s">
        <v>392</v>
      </c>
    </row>
    <row r="402">
      <c r="A402" s="8" t="s">
        <v>344</v>
      </c>
    </row>
    <row r="403">
      <c r="A403" s="8" t="s">
        <v>324</v>
      </c>
    </row>
    <row r="404">
      <c r="A404" s="8">
        <v>37.7</v>
      </c>
    </row>
    <row r="405">
      <c r="A405" s="8" t="s">
        <v>224</v>
      </c>
    </row>
    <row r="406">
      <c r="A406" s="31">
        <v>37.0</v>
      </c>
    </row>
    <row r="407">
      <c r="A407" s="8" t="s">
        <v>232</v>
      </c>
    </row>
    <row r="408">
      <c r="A408" s="8" t="s">
        <v>233</v>
      </c>
    </row>
    <row r="409">
      <c r="A409" s="8" t="s">
        <v>225</v>
      </c>
    </row>
    <row r="410">
      <c r="A410" s="8">
        <v>35.0</v>
      </c>
    </row>
    <row r="411">
      <c r="A411" s="8" t="s">
        <v>691</v>
      </c>
    </row>
    <row r="412">
      <c r="A412" s="8" t="s">
        <v>768</v>
      </c>
    </row>
    <row r="413">
      <c r="A413" s="8" t="s">
        <v>381</v>
      </c>
    </row>
    <row r="414">
      <c r="A414" s="8" t="s">
        <v>372</v>
      </c>
    </row>
    <row r="415">
      <c r="A415" s="8" t="s">
        <v>265</v>
      </c>
    </row>
    <row r="416">
      <c r="A416" s="8">
        <v>31.8</v>
      </c>
    </row>
    <row r="417">
      <c r="A417" s="8" t="s">
        <v>224</v>
      </c>
    </row>
    <row r="418">
      <c r="A418" s="31">
        <v>8.0</v>
      </c>
    </row>
    <row r="419">
      <c r="A419" s="8" t="s">
        <v>232</v>
      </c>
    </row>
    <row r="420">
      <c r="A420" s="8" t="s">
        <v>233</v>
      </c>
    </row>
    <row r="421">
      <c r="A421" s="8" t="s">
        <v>225</v>
      </c>
    </row>
    <row r="422">
      <c r="A422" s="8">
        <v>36.0</v>
      </c>
    </row>
    <row r="423">
      <c r="A423" s="8" t="s">
        <v>691</v>
      </c>
    </row>
    <row r="424">
      <c r="A424" s="8" t="s">
        <v>769</v>
      </c>
    </row>
    <row r="425">
      <c r="A425" s="8" t="s">
        <v>408</v>
      </c>
    </row>
    <row r="426">
      <c r="A426" s="8" t="s">
        <v>400</v>
      </c>
    </row>
    <row r="427">
      <c r="A427" s="8" t="s">
        <v>248</v>
      </c>
    </row>
    <row r="428">
      <c r="A428" s="8">
        <v>35.4</v>
      </c>
    </row>
    <row r="429">
      <c r="A429" s="8" t="s">
        <v>224</v>
      </c>
    </row>
    <row r="430">
      <c r="A430" s="31">
        <v>23.0</v>
      </c>
    </row>
    <row r="431">
      <c r="A431" s="8" t="s">
        <v>232</v>
      </c>
    </row>
    <row r="432">
      <c r="A432" s="8" t="s">
        <v>233</v>
      </c>
    </row>
    <row r="433">
      <c r="A433" s="8" t="s">
        <v>225</v>
      </c>
    </row>
    <row r="434">
      <c r="A434" s="8">
        <v>37.0</v>
      </c>
    </row>
    <row r="435">
      <c r="A435" s="8" t="s">
        <v>691</v>
      </c>
    </row>
    <row r="436">
      <c r="A436" s="8" t="s">
        <v>770</v>
      </c>
    </row>
    <row r="437">
      <c r="A437" s="8" t="s">
        <v>262</v>
      </c>
    </row>
    <row r="438">
      <c r="A438" s="8" t="s">
        <v>409</v>
      </c>
    </row>
    <row r="439">
      <c r="A439" s="8" t="s">
        <v>265</v>
      </c>
    </row>
    <row r="440">
      <c r="A440" s="8">
        <v>40.9</v>
      </c>
    </row>
    <row r="441">
      <c r="A441" s="8" t="s">
        <v>224</v>
      </c>
    </row>
    <row r="442">
      <c r="A442" s="31">
        <v>22.0</v>
      </c>
    </row>
    <row r="443">
      <c r="A443" s="8" t="s">
        <v>232</v>
      </c>
    </row>
    <row r="444">
      <c r="A444" s="8" t="s">
        <v>233</v>
      </c>
    </row>
    <row r="445">
      <c r="A445" s="8" t="s">
        <v>225</v>
      </c>
    </row>
    <row r="446">
      <c r="A446" s="8">
        <v>38.0</v>
      </c>
    </row>
    <row r="447">
      <c r="A447" s="8" t="s">
        <v>235</v>
      </c>
    </row>
    <row r="448">
      <c r="A448" s="8" t="s">
        <v>236</v>
      </c>
    </row>
    <row r="449">
      <c r="A449" s="8" t="s">
        <v>355</v>
      </c>
    </row>
    <row r="450">
      <c r="A450" s="8" t="s">
        <v>238</v>
      </c>
    </row>
    <row r="451">
      <c r="A451" s="8">
        <v>41.4</v>
      </c>
    </row>
    <row r="452">
      <c r="A452" s="8" t="s">
        <v>224</v>
      </c>
    </row>
    <row r="453">
      <c r="A453" s="8" t="s">
        <v>231</v>
      </c>
    </row>
    <row r="454">
      <c r="A454" s="8" t="s">
        <v>232</v>
      </c>
    </row>
    <row r="455">
      <c r="A455" s="8" t="s">
        <v>233</v>
      </c>
    </row>
    <row r="456">
      <c r="A456" s="8" t="s">
        <v>225</v>
      </c>
    </row>
    <row r="457">
      <c r="A457" s="8">
        <v>39.0</v>
      </c>
    </row>
    <row r="458">
      <c r="A458" s="8" t="s">
        <v>691</v>
      </c>
    </row>
    <row r="459">
      <c r="A459" s="8" t="s">
        <v>771</v>
      </c>
    </row>
    <row r="460">
      <c r="A460" s="8" t="s">
        <v>396</v>
      </c>
    </row>
    <row r="461">
      <c r="A461" s="8" t="s">
        <v>662</v>
      </c>
    </row>
    <row r="462">
      <c r="A462" s="8" t="s">
        <v>254</v>
      </c>
    </row>
    <row r="463">
      <c r="A463" s="8">
        <v>53.6</v>
      </c>
    </row>
    <row r="464">
      <c r="A464" s="8" t="s">
        <v>224</v>
      </c>
    </row>
    <row r="465">
      <c r="A465" s="31">
        <v>3.0</v>
      </c>
    </row>
    <row r="466">
      <c r="A466" s="8" t="s">
        <v>232</v>
      </c>
    </row>
    <row r="467">
      <c r="A467" s="8" t="s">
        <v>233</v>
      </c>
    </row>
    <row r="468">
      <c r="A468" s="8" t="s">
        <v>225</v>
      </c>
    </row>
    <row r="469">
      <c r="A469" s="8">
        <v>40.0</v>
      </c>
    </row>
    <row r="470">
      <c r="A470" s="8" t="s">
        <v>772</v>
      </c>
    </row>
    <row r="471">
      <c r="A471" s="8" t="s">
        <v>396</v>
      </c>
    </row>
    <row r="472">
      <c r="A472" s="8" t="s">
        <v>360</v>
      </c>
    </row>
    <row r="473">
      <c r="A473" s="8" t="s">
        <v>254</v>
      </c>
    </row>
    <row r="474">
      <c r="A474" s="8">
        <v>46.6</v>
      </c>
    </row>
    <row r="475">
      <c r="A475" s="8" t="s">
        <v>224</v>
      </c>
    </row>
    <row r="476">
      <c r="A476" s="31">
        <v>3.0</v>
      </c>
    </row>
    <row r="477">
      <c r="A477" s="8" t="s">
        <v>232</v>
      </c>
    </row>
    <row r="478">
      <c r="A478" s="8" t="s">
        <v>233</v>
      </c>
    </row>
    <row r="479">
      <c r="A479" s="8" t="s">
        <v>225</v>
      </c>
    </row>
    <row r="480">
      <c r="A480" s="8">
        <v>41.0</v>
      </c>
    </row>
    <row r="481">
      <c r="A481" s="8" t="s">
        <v>691</v>
      </c>
    </row>
    <row r="482">
      <c r="A482" s="8" t="s">
        <v>773</v>
      </c>
    </row>
    <row r="483">
      <c r="A483" s="8" t="s">
        <v>302</v>
      </c>
    </row>
    <row r="484">
      <c r="A484" s="8" t="s">
        <v>454</v>
      </c>
    </row>
    <row r="485">
      <c r="A485" s="8" t="s">
        <v>254</v>
      </c>
    </row>
    <row r="486">
      <c r="A486" s="8">
        <v>42.3</v>
      </c>
    </row>
    <row r="487">
      <c r="A487" s="8" t="s">
        <v>224</v>
      </c>
    </row>
    <row r="488">
      <c r="A488" s="31">
        <v>37.0</v>
      </c>
    </row>
    <row r="489">
      <c r="A489" s="8" t="s">
        <v>232</v>
      </c>
    </row>
    <row r="490">
      <c r="A490" s="8" t="s">
        <v>233</v>
      </c>
    </row>
    <row r="491">
      <c r="A491" s="8" t="s">
        <v>225</v>
      </c>
    </row>
    <row r="492">
      <c r="A492" s="8">
        <v>42.0</v>
      </c>
    </row>
    <row r="493">
      <c r="A493" s="8" t="s">
        <v>691</v>
      </c>
    </row>
    <row r="494">
      <c r="A494" s="8" t="s">
        <v>774</v>
      </c>
    </row>
    <row r="495">
      <c r="A495" s="8" t="s">
        <v>317</v>
      </c>
    </row>
    <row r="496">
      <c r="A496" s="8" t="s">
        <v>366</v>
      </c>
    </row>
    <row r="497">
      <c r="A497" s="8" t="s">
        <v>265</v>
      </c>
    </row>
    <row r="498">
      <c r="A498" s="8">
        <v>59.4</v>
      </c>
    </row>
    <row r="499">
      <c r="A499" s="8" t="s">
        <v>224</v>
      </c>
    </row>
    <row r="500">
      <c r="A500" s="31">
        <v>14.0</v>
      </c>
    </row>
    <row r="501">
      <c r="A501" s="8" t="s">
        <v>232</v>
      </c>
    </row>
    <row r="502">
      <c r="A502" s="8" t="s">
        <v>233</v>
      </c>
    </row>
    <row r="503">
      <c r="A503" s="8" t="s">
        <v>225</v>
      </c>
    </row>
    <row r="504">
      <c r="A504" s="8">
        <v>43.0</v>
      </c>
    </row>
    <row r="505">
      <c r="A505" s="8" t="s">
        <v>691</v>
      </c>
    </row>
    <row r="506">
      <c r="A506" s="8" t="s">
        <v>775</v>
      </c>
    </row>
    <row r="507">
      <c r="A507" s="8" t="s">
        <v>252</v>
      </c>
    </row>
    <row r="508">
      <c r="A508" s="8" t="s">
        <v>666</v>
      </c>
    </row>
    <row r="509">
      <c r="A509" s="8" t="s">
        <v>254</v>
      </c>
    </row>
    <row r="510">
      <c r="A510" s="8">
        <v>26.2</v>
      </c>
    </row>
    <row r="511">
      <c r="A511" s="8" t="s">
        <v>224</v>
      </c>
    </row>
    <row r="512">
      <c r="A512" s="31">
        <v>14.0</v>
      </c>
    </row>
    <row r="513">
      <c r="A513" s="8" t="s">
        <v>232</v>
      </c>
    </row>
    <row r="514">
      <c r="A514" s="8" t="s">
        <v>233</v>
      </c>
    </row>
    <row r="515">
      <c r="A515" s="8" t="s">
        <v>225</v>
      </c>
    </row>
    <row r="516">
      <c r="A516" s="8">
        <v>44.0</v>
      </c>
    </row>
    <row r="517">
      <c r="A517" s="8" t="s">
        <v>691</v>
      </c>
    </row>
    <row r="518">
      <c r="A518" s="8" t="s">
        <v>776</v>
      </c>
    </row>
    <row r="519">
      <c r="A519" s="8" t="s">
        <v>340</v>
      </c>
    </row>
    <row r="520">
      <c r="A520" s="8" t="s">
        <v>777</v>
      </c>
    </row>
    <row r="521">
      <c r="A521" s="8" t="s">
        <v>248</v>
      </c>
    </row>
    <row r="522">
      <c r="A522" s="8">
        <v>58.8</v>
      </c>
    </row>
    <row r="523">
      <c r="A523" s="8" t="s">
        <v>224</v>
      </c>
    </row>
    <row r="524">
      <c r="A524" s="31">
        <v>29.0</v>
      </c>
    </row>
    <row r="525">
      <c r="A525" s="8" t="s">
        <v>232</v>
      </c>
    </row>
    <row r="526">
      <c r="A526" s="8" t="s">
        <v>233</v>
      </c>
    </row>
    <row r="527">
      <c r="A527" s="8" t="s">
        <v>225</v>
      </c>
    </row>
    <row r="528">
      <c r="A528" s="8">
        <v>45.0</v>
      </c>
    </row>
    <row r="529">
      <c r="A529" s="8" t="s">
        <v>691</v>
      </c>
    </row>
    <row r="530">
      <c r="A530" s="8" t="s">
        <v>778</v>
      </c>
    </row>
    <row r="531">
      <c r="A531" s="8" t="s">
        <v>433</v>
      </c>
    </row>
    <row r="532">
      <c r="A532" s="8" t="s">
        <v>377</v>
      </c>
    </row>
    <row r="533">
      <c r="A533" s="8" t="s">
        <v>324</v>
      </c>
    </row>
    <row r="534">
      <c r="A534" s="8">
        <v>57.6</v>
      </c>
    </row>
    <row r="535">
      <c r="A535" s="8" t="s">
        <v>224</v>
      </c>
    </row>
    <row r="536">
      <c r="A536" s="31">
        <v>45.0</v>
      </c>
    </row>
    <row r="537">
      <c r="A537" s="8" t="s">
        <v>232</v>
      </c>
    </row>
    <row r="538">
      <c r="A538" s="8" t="s">
        <v>233</v>
      </c>
    </row>
    <row r="539">
      <c r="A539" s="8" t="s">
        <v>225</v>
      </c>
    </row>
    <row r="540">
      <c r="A540" s="8">
        <v>46.0</v>
      </c>
    </row>
    <row r="541">
      <c r="A541" s="8" t="s">
        <v>691</v>
      </c>
    </row>
    <row r="542">
      <c r="A542" s="8" t="s">
        <v>779</v>
      </c>
    </row>
    <row r="543">
      <c r="A543" s="8" t="s">
        <v>252</v>
      </c>
    </row>
    <row r="544">
      <c r="A544" s="8" t="s">
        <v>780</v>
      </c>
    </row>
    <row r="545">
      <c r="A545" s="8" t="s">
        <v>254</v>
      </c>
    </row>
    <row r="546">
      <c r="A546" s="8">
        <v>48.2</v>
      </c>
    </row>
    <row r="547">
      <c r="A547" s="8" t="s">
        <v>224</v>
      </c>
    </row>
    <row r="548">
      <c r="A548" s="31">
        <v>46.0</v>
      </c>
    </row>
    <row r="549">
      <c r="A549" s="8" t="s">
        <v>232</v>
      </c>
    </row>
    <row r="550">
      <c r="A550" s="8" t="s">
        <v>233</v>
      </c>
    </row>
    <row r="551">
      <c r="A551" s="8" t="s">
        <v>225</v>
      </c>
    </row>
    <row r="552">
      <c r="A552" s="8">
        <v>47.0</v>
      </c>
    </row>
    <row r="553">
      <c r="A553" s="8" t="s">
        <v>691</v>
      </c>
    </row>
    <row r="554">
      <c r="A554" s="8" t="s">
        <v>781</v>
      </c>
    </row>
    <row r="555">
      <c r="A555" s="8" t="s">
        <v>408</v>
      </c>
    </row>
    <row r="556">
      <c r="A556" s="8" t="s">
        <v>388</v>
      </c>
    </row>
    <row r="557">
      <c r="A557" s="8" t="s">
        <v>248</v>
      </c>
    </row>
    <row r="558">
      <c r="A558" s="8">
        <v>52.5</v>
      </c>
    </row>
    <row r="559">
      <c r="A559" s="8" t="s">
        <v>224</v>
      </c>
    </row>
    <row r="560">
      <c r="A560" s="31">
        <v>32.0</v>
      </c>
    </row>
    <row r="561">
      <c r="A561" s="8" t="s">
        <v>232</v>
      </c>
    </row>
    <row r="562">
      <c r="A562" s="8" t="s">
        <v>233</v>
      </c>
    </row>
    <row r="563">
      <c r="A563" s="8" t="s">
        <v>225</v>
      </c>
    </row>
    <row r="564">
      <c r="A564" s="8">
        <v>48.0</v>
      </c>
    </row>
    <row r="565">
      <c r="A565" s="8" t="s">
        <v>691</v>
      </c>
    </row>
    <row r="566">
      <c r="A566" s="8" t="s">
        <v>782</v>
      </c>
    </row>
    <row r="567">
      <c r="A567" s="8" t="s">
        <v>267</v>
      </c>
    </row>
    <row r="568">
      <c r="A568" s="8" t="s">
        <v>783</v>
      </c>
    </row>
    <row r="569">
      <c r="A569" s="8" t="s">
        <v>244</v>
      </c>
    </row>
    <row r="570">
      <c r="A570" s="8">
        <v>36.4</v>
      </c>
    </row>
    <row r="571">
      <c r="A571" s="8" t="s">
        <v>224</v>
      </c>
    </row>
    <row r="572">
      <c r="A572" s="31">
        <v>44.0</v>
      </c>
    </row>
    <row r="573">
      <c r="A573" s="8" t="s">
        <v>232</v>
      </c>
    </row>
    <row r="574">
      <c r="A574" s="8" t="s">
        <v>233</v>
      </c>
    </row>
    <row r="575">
      <c r="A575" s="8" t="s">
        <v>225</v>
      </c>
    </row>
    <row r="576">
      <c r="A576" s="8">
        <v>49.0</v>
      </c>
    </row>
    <row r="577">
      <c r="A577" s="8" t="s">
        <v>691</v>
      </c>
    </row>
    <row r="578">
      <c r="A578" s="8" t="s">
        <v>784</v>
      </c>
    </row>
    <row r="579">
      <c r="A579" s="8" t="s">
        <v>785</v>
      </c>
    </row>
    <row r="580">
      <c r="A580" s="8" t="s">
        <v>385</v>
      </c>
    </row>
    <row r="581">
      <c r="A581" s="8" t="s">
        <v>248</v>
      </c>
    </row>
    <row r="582">
      <c r="A582" s="8">
        <v>50.3</v>
      </c>
    </row>
    <row r="583">
      <c r="A583" s="8" t="s">
        <v>224</v>
      </c>
    </row>
    <row r="584">
      <c r="A584" s="31">
        <v>4.0</v>
      </c>
    </row>
    <row r="585">
      <c r="A585" s="8" t="s">
        <v>232</v>
      </c>
    </row>
    <row r="586">
      <c r="A586" s="8" t="s">
        <v>233</v>
      </c>
    </row>
    <row r="587">
      <c r="A587" s="8" t="s">
        <v>225</v>
      </c>
    </row>
    <row r="588">
      <c r="A588" s="8">
        <v>50.0</v>
      </c>
    </row>
    <row r="589">
      <c r="A589" s="8" t="s">
        <v>691</v>
      </c>
    </row>
    <row r="590">
      <c r="A590" s="8" t="s">
        <v>786</v>
      </c>
    </row>
    <row r="591">
      <c r="A591" s="8" t="s">
        <v>258</v>
      </c>
    </row>
    <row r="592">
      <c r="A592" s="8" t="s">
        <v>412</v>
      </c>
    </row>
    <row r="593">
      <c r="A593" s="8" t="s">
        <v>248</v>
      </c>
    </row>
    <row r="594">
      <c r="A594" s="8">
        <v>38.6</v>
      </c>
    </row>
    <row r="595">
      <c r="A595" s="8" t="s">
        <v>224</v>
      </c>
    </row>
    <row r="596">
      <c r="A596" s="31">
        <v>1.0</v>
      </c>
    </row>
    <row r="597">
      <c r="A597" s="8" t="s">
        <v>232</v>
      </c>
    </row>
    <row r="598">
      <c r="A598" s="8" t="s">
        <v>233</v>
      </c>
    </row>
    <row r="599">
      <c r="A599" s="8" t="s">
        <v>225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>
      <c r="A2" s="4">
        <v>1.0</v>
      </c>
      <c r="B2" s="5" t="s">
        <v>789</v>
      </c>
      <c r="C2" s="6" t="s">
        <v>6</v>
      </c>
      <c r="D2" s="6">
        <v>1.0</v>
      </c>
      <c r="E2" s="7" t="s">
        <v>791</v>
      </c>
    </row>
    <row r="3">
      <c r="A3" s="4">
        <v>2.0</v>
      </c>
      <c r="B3" s="5" t="s">
        <v>792</v>
      </c>
      <c r="C3" s="6" t="s">
        <v>9</v>
      </c>
      <c r="D3" s="6">
        <v>2.0</v>
      </c>
      <c r="E3" s="7" t="s">
        <v>794</v>
      </c>
    </row>
    <row r="4">
      <c r="A4" s="4">
        <v>3.0</v>
      </c>
      <c r="B4" s="5" t="s">
        <v>795</v>
      </c>
      <c r="C4" s="6" t="s">
        <v>15</v>
      </c>
      <c r="D4" s="6">
        <v>3.0</v>
      </c>
      <c r="E4" s="7" t="s">
        <v>796</v>
      </c>
    </row>
    <row r="5">
      <c r="A5" s="4">
        <v>4.0</v>
      </c>
      <c r="B5" s="5" t="s">
        <v>798</v>
      </c>
      <c r="C5" s="6" t="s">
        <v>12</v>
      </c>
      <c r="D5" s="6">
        <v>4.0</v>
      </c>
      <c r="E5" s="7">
        <v>4.0</v>
      </c>
    </row>
    <row r="6">
      <c r="A6" s="4">
        <v>5.0</v>
      </c>
      <c r="B6" s="5" t="s">
        <v>799</v>
      </c>
      <c r="C6" s="6" t="s">
        <v>18</v>
      </c>
      <c r="D6" s="6">
        <v>5.0</v>
      </c>
      <c r="E6" s="7" t="s">
        <v>801</v>
      </c>
    </row>
    <row r="7">
      <c r="A7" s="4">
        <v>6.0</v>
      </c>
      <c r="B7" s="5" t="s">
        <v>802</v>
      </c>
      <c r="C7" s="6" t="s">
        <v>33</v>
      </c>
      <c r="D7" s="6">
        <v>6.0</v>
      </c>
      <c r="E7" s="7" t="s">
        <v>804</v>
      </c>
    </row>
    <row r="8">
      <c r="A8" s="4">
        <v>7.0</v>
      </c>
      <c r="B8" s="5" t="s">
        <v>805</v>
      </c>
      <c r="C8" s="6" t="s">
        <v>21</v>
      </c>
      <c r="D8" s="6">
        <v>7.0</v>
      </c>
      <c r="E8" s="7" t="s">
        <v>807</v>
      </c>
    </row>
    <row r="9">
      <c r="A9" s="4">
        <v>8.0</v>
      </c>
      <c r="B9" s="5" t="s">
        <v>808</v>
      </c>
      <c r="C9" s="6" t="s">
        <v>24</v>
      </c>
      <c r="D9" s="6">
        <v>8.0</v>
      </c>
      <c r="E9" s="7" t="s">
        <v>810</v>
      </c>
    </row>
    <row r="10">
      <c r="A10" s="4">
        <v>9.0</v>
      </c>
      <c r="B10" s="5" t="s">
        <v>811</v>
      </c>
      <c r="C10" s="6" t="s">
        <v>90</v>
      </c>
      <c r="D10" s="6">
        <v>9.0</v>
      </c>
      <c r="E10" s="7" t="s">
        <v>813</v>
      </c>
    </row>
    <row r="11">
      <c r="A11" s="4">
        <v>10.0</v>
      </c>
      <c r="B11" s="5" t="s">
        <v>814</v>
      </c>
      <c r="C11" s="6" t="s">
        <v>30</v>
      </c>
      <c r="D11" s="6">
        <v>10.0</v>
      </c>
      <c r="E11" s="7" t="s">
        <v>816</v>
      </c>
    </row>
    <row r="12">
      <c r="A12" s="4">
        <v>11.0</v>
      </c>
      <c r="B12" s="5" t="s">
        <v>817</v>
      </c>
      <c r="C12" s="6" t="s">
        <v>94</v>
      </c>
      <c r="D12" s="6">
        <v>11.0</v>
      </c>
      <c r="E12" s="7" t="s">
        <v>818</v>
      </c>
    </row>
    <row r="13">
      <c r="A13" s="4">
        <v>12.0</v>
      </c>
      <c r="B13" s="5" t="s">
        <v>819</v>
      </c>
      <c r="C13" s="6" t="s">
        <v>63</v>
      </c>
      <c r="D13" s="6">
        <v>12.0</v>
      </c>
      <c r="E13" s="7" t="s">
        <v>821</v>
      </c>
    </row>
    <row r="14">
      <c r="A14" s="4">
        <v>13.0</v>
      </c>
      <c r="B14" s="5" t="s">
        <v>822</v>
      </c>
      <c r="C14" s="6" t="s">
        <v>27</v>
      </c>
      <c r="D14" s="6">
        <v>13.0</v>
      </c>
      <c r="E14" s="7" t="s">
        <v>824</v>
      </c>
    </row>
    <row r="15">
      <c r="A15" s="4">
        <v>14.0</v>
      </c>
      <c r="B15" s="5" t="s">
        <v>825</v>
      </c>
      <c r="C15" s="6" t="s">
        <v>36</v>
      </c>
      <c r="D15" s="6">
        <v>14.0</v>
      </c>
      <c r="E15" s="7" t="s">
        <v>827</v>
      </c>
    </row>
    <row r="16">
      <c r="A16" s="4">
        <v>15.0</v>
      </c>
      <c r="B16" s="5" t="s">
        <v>828</v>
      </c>
      <c r="C16" s="6" t="s">
        <v>123</v>
      </c>
      <c r="D16" s="6">
        <v>15.0</v>
      </c>
      <c r="E16" s="7" t="s">
        <v>829</v>
      </c>
    </row>
    <row r="17">
      <c r="A17" s="4">
        <v>16.0</v>
      </c>
      <c r="B17" s="5" t="s">
        <v>831</v>
      </c>
      <c r="C17" s="6" t="s">
        <v>45</v>
      </c>
      <c r="D17" s="6">
        <v>16.0</v>
      </c>
      <c r="E17" s="7" t="s">
        <v>832</v>
      </c>
    </row>
    <row r="18">
      <c r="A18" s="4">
        <v>17.0</v>
      </c>
      <c r="B18" s="5" t="s">
        <v>833</v>
      </c>
      <c r="C18" s="6" t="s">
        <v>133</v>
      </c>
      <c r="D18" s="6">
        <v>17.0</v>
      </c>
      <c r="E18" s="7" t="s">
        <v>835</v>
      </c>
    </row>
    <row r="19">
      <c r="A19" s="4">
        <v>18.0</v>
      </c>
      <c r="B19" s="5" t="s">
        <v>836</v>
      </c>
      <c r="C19" s="6" t="s">
        <v>39</v>
      </c>
      <c r="D19" s="6">
        <v>18.0</v>
      </c>
      <c r="E19" s="7" t="s">
        <v>838</v>
      </c>
    </row>
    <row r="20">
      <c r="A20" s="4">
        <v>19.0</v>
      </c>
      <c r="B20" s="5" t="s">
        <v>855</v>
      </c>
      <c r="C20" s="6" t="s">
        <v>48</v>
      </c>
      <c r="D20" s="6">
        <v>19.0</v>
      </c>
      <c r="E20" s="7" t="s">
        <v>857</v>
      </c>
    </row>
    <row r="21">
      <c r="A21" s="4">
        <v>20.0</v>
      </c>
      <c r="B21" s="5" t="s">
        <v>858</v>
      </c>
      <c r="C21" s="6" t="s">
        <v>57</v>
      </c>
      <c r="D21" s="6">
        <v>20.0</v>
      </c>
      <c r="E21" s="7" t="s">
        <v>860</v>
      </c>
    </row>
    <row r="22">
      <c r="A22" s="4">
        <v>21.0</v>
      </c>
      <c r="B22" s="5" t="s">
        <v>861</v>
      </c>
      <c r="C22" s="6" t="s">
        <v>42</v>
      </c>
      <c r="D22" s="6">
        <v>21.0</v>
      </c>
      <c r="E22" s="7" t="s">
        <v>863</v>
      </c>
    </row>
    <row r="23">
      <c r="A23" s="4">
        <v>22.0</v>
      </c>
      <c r="B23" s="5" t="s">
        <v>864</v>
      </c>
      <c r="C23" s="6" t="s">
        <v>60</v>
      </c>
      <c r="D23" s="6">
        <v>22.0</v>
      </c>
      <c r="E23" s="7" t="s">
        <v>865</v>
      </c>
    </row>
    <row r="24">
      <c r="A24" s="4">
        <v>23.0</v>
      </c>
      <c r="B24" s="5" t="s">
        <v>866</v>
      </c>
      <c r="C24" s="6" t="s">
        <v>51</v>
      </c>
      <c r="D24" s="6">
        <v>23.0</v>
      </c>
      <c r="E24" s="7" t="s">
        <v>868</v>
      </c>
    </row>
    <row r="25">
      <c r="A25" s="4">
        <v>24.0</v>
      </c>
      <c r="B25" s="5" t="s">
        <v>869</v>
      </c>
      <c r="C25" s="6" t="s">
        <v>103</v>
      </c>
      <c r="D25" s="6">
        <v>24.0</v>
      </c>
      <c r="E25" s="7" t="s">
        <v>870</v>
      </c>
    </row>
    <row r="26">
      <c r="A26" s="4">
        <v>25.0</v>
      </c>
      <c r="B26" s="5" t="s">
        <v>871</v>
      </c>
      <c r="C26" s="6" t="s">
        <v>75</v>
      </c>
      <c r="D26" s="6">
        <v>25.0</v>
      </c>
      <c r="E26" s="7" t="s">
        <v>873</v>
      </c>
    </row>
    <row r="27">
      <c r="A27" s="4">
        <v>26.0</v>
      </c>
      <c r="B27" s="5" t="s">
        <v>874</v>
      </c>
      <c r="C27" s="6" t="s">
        <v>141</v>
      </c>
      <c r="D27" s="6">
        <v>26.0</v>
      </c>
      <c r="E27" s="7" t="s">
        <v>876</v>
      </c>
    </row>
    <row r="28">
      <c r="A28" s="4">
        <v>27.0</v>
      </c>
      <c r="B28" s="5" t="s">
        <v>877</v>
      </c>
      <c r="C28" s="6" t="s">
        <v>54</v>
      </c>
      <c r="D28" s="6">
        <v>27.0</v>
      </c>
      <c r="E28" s="7" t="s">
        <v>879</v>
      </c>
    </row>
    <row r="29">
      <c r="A29" s="4">
        <v>28.0</v>
      </c>
      <c r="B29" s="5" t="s">
        <v>880</v>
      </c>
      <c r="C29" s="6" t="s">
        <v>66</v>
      </c>
      <c r="D29" s="6">
        <v>28.0</v>
      </c>
      <c r="E29" s="7" t="s">
        <v>882</v>
      </c>
    </row>
    <row r="30">
      <c r="A30" s="4">
        <v>29.0</v>
      </c>
      <c r="B30" s="5" t="s">
        <v>883</v>
      </c>
      <c r="C30" s="6" t="s">
        <v>69</v>
      </c>
      <c r="D30" s="6">
        <v>29.0</v>
      </c>
      <c r="E30" s="7" t="s">
        <v>885</v>
      </c>
    </row>
    <row r="31">
      <c r="A31" s="4">
        <v>30.0</v>
      </c>
      <c r="B31" s="5" t="s">
        <v>886</v>
      </c>
      <c r="C31" s="6" t="s">
        <v>72</v>
      </c>
      <c r="D31" s="6">
        <v>30.0</v>
      </c>
      <c r="E31" s="7" t="s">
        <v>888</v>
      </c>
    </row>
    <row r="32">
      <c r="A32" s="4">
        <v>31.0</v>
      </c>
      <c r="B32" s="5" t="s">
        <v>889</v>
      </c>
      <c r="C32" s="6" t="s">
        <v>105</v>
      </c>
      <c r="D32" s="6">
        <v>31.0</v>
      </c>
      <c r="E32" s="7" t="s">
        <v>891</v>
      </c>
    </row>
    <row r="33">
      <c r="A33" s="4">
        <v>32.0</v>
      </c>
      <c r="B33" s="5" t="s">
        <v>892</v>
      </c>
      <c r="C33" s="6" t="s">
        <v>81</v>
      </c>
      <c r="D33" s="6">
        <v>32.0</v>
      </c>
      <c r="E33" s="7" t="s">
        <v>894</v>
      </c>
    </row>
    <row r="34">
      <c r="A34" s="4">
        <v>33.0</v>
      </c>
      <c r="B34" s="5" t="s">
        <v>895</v>
      </c>
      <c r="C34" s="6" t="s">
        <v>78</v>
      </c>
      <c r="D34" s="6">
        <v>33.0</v>
      </c>
      <c r="E34" s="7" t="s">
        <v>896</v>
      </c>
    </row>
    <row r="35">
      <c r="A35" s="4">
        <v>34.0</v>
      </c>
      <c r="B35" s="5" t="s">
        <v>898</v>
      </c>
      <c r="C35" s="6" t="s">
        <v>92</v>
      </c>
      <c r="D35" s="6">
        <v>34.0</v>
      </c>
      <c r="E35" s="7" t="s">
        <v>899</v>
      </c>
    </row>
    <row r="36">
      <c r="A36" s="4">
        <v>35.0</v>
      </c>
      <c r="B36" s="5" t="s">
        <v>900</v>
      </c>
      <c r="C36" s="6" t="s">
        <v>119</v>
      </c>
      <c r="D36" s="6">
        <v>35.0</v>
      </c>
      <c r="E36" s="7" t="s">
        <v>902</v>
      </c>
    </row>
    <row r="37">
      <c r="A37" s="4">
        <v>36.0</v>
      </c>
      <c r="B37" s="5" t="s">
        <v>903</v>
      </c>
      <c r="C37" s="6" t="s">
        <v>84</v>
      </c>
      <c r="D37" s="6">
        <v>36.0</v>
      </c>
      <c r="E37" s="7" t="s">
        <v>905</v>
      </c>
    </row>
    <row r="38">
      <c r="A38" s="4">
        <v>37.0</v>
      </c>
      <c r="B38" s="5" t="s">
        <v>906</v>
      </c>
      <c r="C38" s="6" t="s">
        <v>109</v>
      </c>
      <c r="D38" s="6">
        <v>37.0</v>
      </c>
      <c r="E38" s="7" t="s">
        <v>907</v>
      </c>
    </row>
    <row r="39">
      <c r="A39" s="4">
        <v>38.0</v>
      </c>
      <c r="B39" s="5" t="s">
        <v>909</v>
      </c>
      <c r="C39" s="6" t="s">
        <v>121</v>
      </c>
      <c r="D39" s="6">
        <v>38.0</v>
      </c>
      <c r="E39" s="7" t="s">
        <v>910</v>
      </c>
    </row>
    <row r="40">
      <c r="A40" s="4">
        <v>39.0</v>
      </c>
      <c r="B40" s="5" t="s">
        <v>911</v>
      </c>
      <c r="C40" s="6" t="s">
        <v>129</v>
      </c>
      <c r="D40" s="6">
        <v>39.0</v>
      </c>
      <c r="E40" s="7" t="s">
        <v>913</v>
      </c>
    </row>
    <row r="41">
      <c r="A41" s="4">
        <v>40.0</v>
      </c>
      <c r="B41" s="5" t="s">
        <v>914</v>
      </c>
      <c r="C41" s="6" t="s">
        <v>87</v>
      </c>
      <c r="D41" s="6">
        <v>40.0</v>
      </c>
      <c r="E41" s="7" t="s">
        <v>916</v>
      </c>
    </row>
    <row r="42">
      <c r="A42" s="4">
        <v>41.0</v>
      </c>
      <c r="B42" s="5" t="s">
        <v>917</v>
      </c>
      <c r="C42" s="6" t="s">
        <v>131</v>
      </c>
      <c r="D42" s="6">
        <v>41.0</v>
      </c>
      <c r="E42" s="7" t="s">
        <v>918</v>
      </c>
    </row>
    <row r="43">
      <c r="A43" s="4">
        <v>42.0</v>
      </c>
      <c r="B43" s="5" t="s">
        <v>919</v>
      </c>
      <c r="C43" s="6" t="s">
        <v>96</v>
      </c>
      <c r="D43" s="6">
        <v>42.0</v>
      </c>
      <c r="E43" s="7" t="s">
        <v>921</v>
      </c>
    </row>
    <row r="44">
      <c r="A44" s="4">
        <v>43.0</v>
      </c>
      <c r="B44" s="5" t="s">
        <v>922</v>
      </c>
      <c r="C44" s="6" t="s">
        <v>135</v>
      </c>
      <c r="D44" s="6">
        <v>43.0</v>
      </c>
      <c r="E44" s="7" t="s">
        <v>924</v>
      </c>
    </row>
    <row r="45">
      <c r="A45" s="4">
        <v>44.0</v>
      </c>
      <c r="B45" s="5" t="s">
        <v>925</v>
      </c>
      <c r="C45" s="6" t="s">
        <v>145</v>
      </c>
      <c r="D45" s="6">
        <v>44.0</v>
      </c>
      <c r="E45" s="7" t="s">
        <v>927</v>
      </c>
    </row>
    <row r="46">
      <c r="A46" s="4">
        <v>45.0</v>
      </c>
      <c r="B46" s="5" t="s">
        <v>928</v>
      </c>
      <c r="C46" s="6" t="s">
        <v>98</v>
      </c>
      <c r="D46" s="6">
        <v>45.0</v>
      </c>
      <c r="E46" s="7" t="s">
        <v>930</v>
      </c>
    </row>
    <row r="47">
      <c r="A47" s="4">
        <v>46.0</v>
      </c>
      <c r="B47" s="5" t="s">
        <v>931</v>
      </c>
      <c r="C47" s="6" t="s">
        <v>101</v>
      </c>
      <c r="D47" s="6">
        <v>46.0</v>
      </c>
      <c r="E47" s="7" t="s">
        <v>932</v>
      </c>
    </row>
    <row r="48">
      <c r="A48" s="4">
        <v>47.0</v>
      </c>
      <c r="B48" s="5" t="s">
        <v>933</v>
      </c>
      <c r="C48" s="6" t="s">
        <v>159</v>
      </c>
      <c r="D48" s="6">
        <v>47.0</v>
      </c>
      <c r="E48" s="7" t="s">
        <v>935</v>
      </c>
    </row>
    <row r="49">
      <c r="A49" s="4">
        <v>48.0</v>
      </c>
      <c r="B49" s="5" t="s">
        <v>936</v>
      </c>
      <c r="C49" s="6" t="s">
        <v>107</v>
      </c>
      <c r="D49" s="6">
        <v>48.0</v>
      </c>
      <c r="E49" s="7" t="s">
        <v>938</v>
      </c>
    </row>
    <row r="50">
      <c r="A50" s="4">
        <v>49.0</v>
      </c>
      <c r="B50" s="5" t="s">
        <v>939</v>
      </c>
      <c r="C50" s="6" t="s">
        <v>117</v>
      </c>
      <c r="D50" s="6">
        <v>49.0</v>
      </c>
      <c r="E50" s="7" t="s">
        <v>941</v>
      </c>
    </row>
    <row r="51">
      <c r="A51" s="4">
        <v>50.0</v>
      </c>
      <c r="B51" s="5" t="s">
        <v>942</v>
      </c>
      <c r="C51" s="6" t="s">
        <v>111</v>
      </c>
      <c r="D51" s="6">
        <v>50.0</v>
      </c>
      <c r="E51" s="7" t="s">
        <v>943</v>
      </c>
    </row>
    <row r="52">
      <c r="A52" s="4">
        <v>51.0</v>
      </c>
      <c r="B52" s="5" t="s">
        <v>945</v>
      </c>
      <c r="C52" s="6" t="s">
        <v>113</v>
      </c>
      <c r="D52" s="6">
        <v>51.0</v>
      </c>
      <c r="E52" s="7" t="s">
        <v>946</v>
      </c>
    </row>
    <row r="53">
      <c r="A53" s="4">
        <v>52.0</v>
      </c>
      <c r="B53" s="5" t="s">
        <v>947</v>
      </c>
      <c r="C53" s="6" t="s">
        <v>149</v>
      </c>
      <c r="D53" s="6">
        <v>52.0</v>
      </c>
      <c r="E53" s="7" t="s">
        <v>949</v>
      </c>
    </row>
    <row r="54">
      <c r="A54" s="4">
        <v>53.0</v>
      </c>
      <c r="B54" s="5" t="s">
        <v>950</v>
      </c>
      <c r="C54" s="6" t="s">
        <v>193</v>
      </c>
      <c r="D54" s="6">
        <v>53.0</v>
      </c>
      <c r="E54" s="7" t="s">
        <v>952</v>
      </c>
    </row>
    <row r="55">
      <c r="A55" s="4">
        <v>54.0</v>
      </c>
      <c r="B55" s="5" t="s">
        <v>953</v>
      </c>
      <c r="C55" s="6" t="s">
        <v>115</v>
      </c>
      <c r="D55" s="6">
        <v>54.0</v>
      </c>
      <c r="E55" s="7" t="s">
        <v>955</v>
      </c>
    </row>
    <row r="56">
      <c r="A56" s="4">
        <v>55.0</v>
      </c>
      <c r="B56" s="5" t="s">
        <v>956</v>
      </c>
      <c r="C56" s="6" t="s">
        <v>195</v>
      </c>
      <c r="D56" s="6">
        <v>55.0</v>
      </c>
      <c r="E56" s="7" t="s">
        <v>958</v>
      </c>
    </row>
    <row r="57">
      <c r="A57" s="4">
        <v>56.0</v>
      </c>
      <c r="B57" s="5" t="s">
        <v>959</v>
      </c>
      <c r="C57" s="6" t="s">
        <v>125</v>
      </c>
      <c r="D57" s="6">
        <v>56.0</v>
      </c>
      <c r="E57" s="7" t="s">
        <v>960</v>
      </c>
    </row>
    <row r="58">
      <c r="A58" s="4">
        <v>57.0</v>
      </c>
      <c r="B58" s="5" t="s">
        <v>961</v>
      </c>
      <c r="C58" s="6" t="s">
        <v>161</v>
      </c>
      <c r="D58" s="6">
        <v>57.0</v>
      </c>
      <c r="E58" s="7" t="s">
        <v>963</v>
      </c>
    </row>
    <row r="59">
      <c r="A59" s="4">
        <v>58.0</v>
      </c>
      <c r="B59" s="5" t="s">
        <v>964</v>
      </c>
      <c r="C59" s="6" t="s">
        <v>127</v>
      </c>
      <c r="D59" s="6">
        <v>58.0</v>
      </c>
      <c r="E59" s="7" t="s">
        <v>966</v>
      </c>
    </row>
    <row r="60">
      <c r="A60" s="4">
        <v>59.0</v>
      </c>
      <c r="B60" s="5" t="s">
        <v>967</v>
      </c>
      <c r="C60" s="6" t="s">
        <v>137</v>
      </c>
      <c r="D60" s="6">
        <v>59.0</v>
      </c>
      <c r="E60" s="7" t="s">
        <v>969</v>
      </c>
    </row>
    <row r="61">
      <c r="A61" s="4">
        <v>60.0</v>
      </c>
      <c r="B61" s="5" t="s">
        <v>970</v>
      </c>
      <c r="C61" s="6" t="s">
        <v>197</v>
      </c>
      <c r="D61" s="6">
        <v>60.0</v>
      </c>
      <c r="E61" s="7" t="s">
        <v>971</v>
      </c>
    </row>
    <row r="62">
      <c r="A62" s="4">
        <v>61.0</v>
      </c>
      <c r="B62" s="5" t="s">
        <v>972</v>
      </c>
      <c r="C62" s="6" t="s">
        <v>143</v>
      </c>
      <c r="D62" s="6">
        <v>61.0</v>
      </c>
      <c r="E62" s="7" t="s">
        <v>974</v>
      </c>
    </row>
    <row r="63">
      <c r="A63" s="4">
        <v>62.0</v>
      </c>
      <c r="B63" s="5" t="s">
        <v>975</v>
      </c>
      <c r="C63" s="6" t="s">
        <v>139</v>
      </c>
      <c r="D63" s="6">
        <v>62.0</v>
      </c>
      <c r="E63" s="7">
        <v>62.0</v>
      </c>
    </row>
    <row r="64">
      <c r="A64" s="4">
        <v>63.0</v>
      </c>
      <c r="B64" s="5" t="s">
        <v>976</v>
      </c>
      <c r="C64" s="6" t="s">
        <v>199</v>
      </c>
      <c r="D64" s="6">
        <v>63.0</v>
      </c>
      <c r="E64" s="7" t="s">
        <v>978</v>
      </c>
    </row>
    <row r="65">
      <c r="A65" s="4">
        <v>64.0</v>
      </c>
      <c r="B65" s="5" t="s">
        <v>979</v>
      </c>
      <c r="C65" s="6" t="s">
        <v>201</v>
      </c>
      <c r="D65" s="6">
        <v>64.0</v>
      </c>
      <c r="E65" s="7" t="s">
        <v>981</v>
      </c>
    </row>
    <row r="66">
      <c r="A66" s="4">
        <v>65.0</v>
      </c>
      <c r="B66" s="5" t="s">
        <v>982</v>
      </c>
      <c r="C66" s="6" t="s">
        <v>222</v>
      </c>
      <c r="D66" s="6">
        <v>65.0</v>
      </c>
      <c r="E66" s="7" t="s">
        <v>984</v>
      </c>
    </row>
    <row r="67">
      <c r="A67" s="4">
        <v>66.0</v>
      </c>
      <c r="B67" s="5" t="s">
        <v>985</v>
      </c>
      <c r="C67" s="6" t="s">
        <v>207</v>
      </c>
      <c r="D67" s="6">
        <v>66.0</v>
      </c>
      <c r="E67" s="7" t="s">
        <v>987</v>
      </c>
    </row>
    <row r="68">
      <c r="A68" s="4">
        <v>67.0</v>
      </c>
      <c r="B68" s="5" t="s">
        <v>988</v>
      </c>
      <c r="C68" s="6" t="s">
        <v>153</v>
      </c>
      <c r="D68" s="6">
        <v>67.0</v>
      </c>
      <c r="E68" s="7" t="s">
        <v>989</v>
      </c>
    </row>
    <row r="69">
      <c r="A69" s="4">
        <v>68.0</v>
      </c>
      <c r="B69" s="5" t="s">
        <v>991</v>
      </c>
      <c r="C69" s="6" t="s">
        <v>209</v>
      </c>
      <c r="D69" s="6">
        <v>68.0</v>
      </c>
      <c r="E69" s="7" t="s">
        <v>992</v>
      </c>
    </row>
    <row r="70">
      <c r="A70" s="4">
        <v>69.0</v>
      </c>
      <c r="B70" s="5" t="s">
        <v>993</v>
      </c>
      <c r="C70" s="6" t="s">
        <v>147</v>
      </c>
      <c r="D70" s="6">
        <v>69.0</v>
      </c>
      <c r="E70" s="7" t="s">
        <v>995</v>
      </c>
    </row>
    <row r="71">
      <c r="A71" s="4">
        <v>70.0</v>
      </c>
      <c r="B71" s="5" t="s">
        <v>996</v>
      </c>
      <c r="C71" s="6" t="s">
        <v>157</v>
      </c>
      <c r="D71" s="6">
        <v>70.0</v>
      </c>
      <c r="E71" s="7" t="s">
        <v>998</v>
      </c>
    </row>
    <row r="72">
      <c r="A72" s="4">
        <v>71.0</v>
      </c>
      <c r="B72" s="5" t="s">
        <v>999</v>
      </c>
      <c r="C72" s="6" t="s">
        <v>213</v>
      </c>
      <c r="D72" s="6">
        <v>71.0</v>
      </c>
      <c r="E72" s="7" t="s">
        <v>1001</v>
      </c>
    </row>
    <row r="73">
      <c r="A73" s="4">
        <v>72.0</v>
      </c>
      <c r="B73" s="5" t="s">
        <v>1002</v>
      </c>
      <c r="C73" s="6" t="s">
        <v>230</v>
      </c>
      <c r="D73" s="6">
        <v>72.0</v>
      </c>
      <c r="E73" s="7" t="s">
        <v>1004</v>
      </c>
    </row>
    <row r="74">
      <c r="A74" s="4">
        <v>73.0</v>
      </c>
      <c r="B74" s="5" t="s">
        <v>1005</v>
      </c>
      <c r="C74" s="6" t="s">
        <v>239</v>
      </c>
      <c r="D74" s="6">
        <v>73.0</v>
      </c>
      <c r="E74" s="7" t="s">
        <v>1007</v>
      </c>
    </row>
    <row r="75">
      <c r="A75" s="4">
        <v>74.0</v>
      </c>
      <c r="B75" s="5" t="s">
        <v>1008</v>
      </c>
      <c r="C75" s="6" t="s">
        <v>151</v>
      </c>
      <c r="D75" s="6">
        <v>74.0</v>
      </c>
      <c r="E75" s="7" t="s">
        <v>1009</v>
      </c>
    </row>
    <row r="76">
      <c r="A76" s="4">
        <v>75.0</v>
      </c>
      <c r="B76" s="5" t="s">
        <v>1011</v>
      </c>
      <c r="C76" s="6" t="s">
        <v>280</v>
      </c>
      <c r="D76" s="6">
        <v>75.0</v>
      </c>
      <c r="E76" s="7" t="s">
        <v>1012</v>
      </c>
    </row>
    <row r="77">
      <c r="A77" s="4">
        <v>76.0</v>
      </c>
      <c r="B77" s="5" t="s">
        <v>1013</v>
      </c>
      <c r="C77" s="6" t="s">
        <v>175</v>
      </c>
      <c r="D77" s="6">
        <v>76.0</v>
      </c>
      <c r="E77" s="7" t="s">
        <v>1015</v>
      </c>
    </row>
    <row r="78">
      <c r="A78" s="4">
        <v>77.0</v>
      </c>
      <c r="B78" s="5" t="s">
        <v>1016</v>
      </c>
      <c r="C78" s="6" t="s">
        <v>177</v>
      </c>
      <c r="D78" s="6">
        <v>77.0</v>
      </c>
      <c r="E78" s="7" t="s">
        <v>1018</v>
      </c>
    </row>
    <row r="79">
      <c r="A79" s="4">
        <v>78.0</v>
      </c>
      <c r="B79" s="5" t="s">
        <v>1019</v>
      </c>
      <c r="C79" s="6" t="s">
        <v>181</v>
      </c>
      <c r="D79" s="6">
        <v>78.0</v>
      </c>
      <c r="E79" s="7" t="s">
        <v>1021</v>
      </c>
    </row>
    <row r="80">
      <c r="A80" s="4">
        <v>79.0</v>
      </c>
      <c r="B80" s="5" t="s">
        <v>1022</v>
      </c>
      <c r="C80" s="6" t="s">
        <v>183</v>
      </c>
      <c r="D80" s="6">
        <v>79.0</v>
      </c>
      <c r="E80" s="7" t="s">
        <v>1023</v>
      </c>
    </row>
    <row r="81">
      <c r="A81" s="4">
        <v>80.0</v>
      </c>
      <c r="B81" s="5" t="s">
        <v>1025</v>
      </c>
      <c r="C81" s="6" t="s">
        <v>249</v>
      </c>
      <c r="D81" s="6">
        <v>80.0</v>
      </c>
      <c r="E81" s="7" t="s">
        <v>1026</v>
      </c>
    </row>
    <row r="82">
      <c r="A82" s="4">
        <v>81.0</v>
      </c>
      <c r="B82" s="5" t="s">
        <v>1027</v>
      </c>
      <c r="C82" s="6" t="s">
        <v>189</v>
      </c>
      <c r="D82" s="6">
        <v>81.0</v>
      </c>
      <c r="E82" s="7" t="s">
        <v>1029</v>
      </c>
    </row>
    <row r="83">
      <c r="A83" s="4">
        <v>82.0</v>
      </c>
      <c r="B83" s="5" t="s">
        <v>1030</v>
      </c>
      <c r="C83" s="6" t="s">
        <v>191</v>
      </c>
      <c r="D83" s="6">
        <v>82.0</v>
      </c>
      <c r="E83" s="7" t="s">
        <v>1032</v>
      </c>
    </row>
    <row r="84">
      <c r="A84" s="4">
        <v>83.0</v>
      </c>
      <c r="B84" s="5" t="s">
        <v>1033</v>
      </c>
      <c r="C84" s="6" t="s">
        <v>203</v>
      </c>
      <c r="D84" s="6">
        <v>83.0</v>
      </c>
      <c r="E84" s="7" t="s">
        <v>1034</v>
      </c>
    </row>
    <row r="85">
      <c r="A85" s="4">
        <v>84.0</v>
      </c>
      <c r="B85" s="5" t="s">
        <v>1035</v>
      </c>
      <c r="C85" s="6" t="s">
        <v>255</v>
      </c>
      <c r="D85" s="6">
        <v>84.0</v>
      </c>
      <c r="E85" s="7" t="s">
        <v>1037</v>
      </c>
    </row>
    <row r="86">
      <c r="A86" s="4">
        <v>85.0</v>
      </c>
      <c r="B86" s="5" t="s">
        <v>1038</v>
      </c>
      <c r="C86" s="6" t="s">
        <v>155</v>
      </c>
      <c r="D86" s="6">
        <v>85.0</v>
      </c>
      <c r="E86" s="7" t="s">
        <v>1040</v>
      </c>
    </row>
    <row r="87">
      <c r="A87" s="4">
        <v>86.0</v>
      </c>
      <c r="B87" s="5" t="s">
        <v>1041</v>
      </c>
      <c r="C87" s="6" t="s">
        <v>163</v>
      </c>
      <c r="D87" s="6">
        <v>87.0</v>
      </c>
      <c r="E87" s="7" t="s">
        <v>1043</v>
      </c>
    </row>
    <row r="88">
      <c r="A88" s="4">
        <v>87.0</v>
      </c>
      <c r="B88" s="5" t="s">
        <v>1044</v>
      </c>
      <c r="C88" s="6" t="s">
        <v>294</v>
      </c>
      <c r="D88" s="6">
        <v>88.0</v>
      </c>
      <c r="E88" s="7" t="s">
        <v>1046</v>
      </c>
    </row>
    <row r="89">
      <c r="A89" s="4">
        <v>88.0</v>
      </c>
      <c r="B89" s="5" t="s">
        <v>1047</v>
      </c>
      <c r="C89" s="6" t="s">
        <v>205</v>
      </c>
      <c r="D89" s="6">
        <v>89.0</v>
      </c>
      <c r="E89" s="7" t="s">
        <v>1049</v>
      </c>
    </row>
    <row r="90">
      <c r="A90" s="4">
        <v>89.0</v>
      </c>
      <c r="B90" s="5" t="s">
        <v>1050</v>
      </c>
      <c r="C90" s="6" t="s">
        <v>211</v>
      </c>
      <c r="D90" s="6">
        <v>90.0</v>
      </c>
      <c r="E90" s="7" t="s">
        <v>1052</v>
      </c>
    </row>
    <row r="91">
      <c r="A91" s="4">
        <v>90.0</v>
      </c>
      <c r="B91" s="5" t="s">
        <v>1053</v>
      </c>
      <c r="C91" s="6" t="s">
        <v>215</v>
      </c>
      <c r="D91" s="6">
        <v>91.0</v>
      </c>
      <c r="E91" s="7" t="s">
        <v>1054</v>
      </c>
    </row>
    <row r="92">
      <c r="A92" s="4">
        <v>91.0</v>
      </c>
      <c r="B92" s="5" t="s">
        <v>1055</v>
      </c>
      <c r="C92" s="6" t="s">
        <v>165</v>
      </c>
      <c r="D92" s="6">
        <v>92.0</v>
      </c>
      <c r="E92" s="7" t="s">
        <v>1057</v>
      </c>
    </row>
    <row r="93">
      <c r="A93" s="4">
        <v>92.0</v>
      </c>
      <c r="B93" s="5" t="s">
        <v>1058</v>
      </c>
      <c r="C93" s="6" t="s">
        <v>300</v>
      </c>
      <c r="D93" s="6">
        <v>93.0</v>
      </c>
      <c r="E93" s="7" t="s">
        <v>1060</v>
      </c>
    </row>
    <row r="94">
      <c r="A94" s="4">
        <v>93.0</v>
      </c>
      <c r="B94" s="5" t="s">
        <v>1061</v>
      </c>
      <c r="C94" s="6" t="s">
        <v>169</v>
      </c>
      <c r="D94" s="6">
        <v>94.0</v>
      </c>
      <c r="E94" s="7" t="s">
        <v>1062</v>
      </c>
    </row>
    <row r="95">
      <c r="A95" s="4">
        <v>94.0</v>
      </c>
      <c r="B95" s="5" t="s">
        <v>1063</v>
      </c>
      <c r="C95" s="6" t="s">
        <v>288</v>
      </c>
      <c r="D95" s="6">
        <v>95.0</v>
      </c>
      <c r="E95" s="7" t="s">
        <v>1065</v>
      </c>
    </row>
    <row r="96">
      <c r="A96" s="4">
        <v>95.0</v>
      </c>
      <c r="B96" s="5" t="s">
        <v>1066</v>
      </c>
      <c r="C96" s="6" t="s">
        <v>261</v>
      </c>
      <c r="D96" s="6">
        <v>96.0</v>
      </c>
      <c r="E96" s="7" t="s">
        <v>1067</v>
      </c>
    </row>
    <row r="97">
      <c r="A97" s="4">
        <v>96.0</v>
      </c>
      <c r="B97" s="5" t="s">
        <v>1069</v>
      </c>
      <c r="C97" s="6" t="s">
        <v>269</v>
      </c>
      <c r="D97" s="6">
        <v>97.0</v>
      </c>
      <c r="E97" s="7" t="s">
        <v>1070</v>
      </c>
    </row>
    <row r="98">
      <c r="A98" s="4">
        <v>97.0</v>
      </c>
      <c r="B98" s="5" t="s">
        <v>1071</v>
      </c>
      <c r="C98" s="6" t="s">
        <v>273</v>
      </c>
      <c r="D98" s="6">
        <v>98.0</v>
      </c>
      <c r="E98" s="7" t="s">
        <v>1073</v>
      </c>
    </row>
    <row r="99">
      <c r="A99" s="4">
        <v>98.0</v>
      </c>
      <c r="B99" s="5" t="s">
        <v>1074</v>
      </c>
      <c r="C99" s="6" t="s">
        <v>319</v>
      </c>
      <c r="D99" s="6">
        <v>99.0</v>
      </c>
      <c r="E99" s="7" t="s">
        <v>1076</v>
      </c>
    </row>
    <row r="100">
      <c r="A100" s="4">
        <v>99.0</v>
      </c>
      <c r="B100" s="5" t="s">
        <v>1077</v>
      </c>
      <c r="C100" s="6" t="s">
        <v>171</v>
      </c>
      <c r="D100" s="6">
        <v>100.0</v>
      </c>
      <c r="E100" s="7" t="s">
        <v>1078</v>
      </c>
    </row>
    <row r="101">
      <c r="A101" s="4">
        <v>100.0</v>
      </c>
      <c r="B101" s="5" t="s">
        <v>1079</v>
      </c>
      <c r="C101" s="6" t="s">
        <v>338</v>
      </c>
      <c r="D101" s="6">
        <v>101.0</v>
      </c>
      <c r="E101" s="7" t="s">
        <v>1081</v>
      </c>
    </row>
    <row r="102">
      <c r="A102" s="4">
        <v>101.0</v>
      </c>
      <c r="B102" s="5" t="s">
        <v>1082</v>
      </c>
      <c r="C102" s="6" t="s">
        <v>311</v>
      </c>
      <c r="D102" s="6">
        <v>102.0</v>
      </c>
      <c r="E102" s="7" t="s">
        <v>1083</v>
      </c>
    </row>
    <row r="103">
      <c r="A103" s="4">
        <v>102.0</v>
      </c>
      <c r="B103" s="5" t="s">
        <v>1084</v>
      </c>
      <c r="C103" s="6" t="s">
        <v>334</v>
      </c>
      <c r="D103" s="6">
        <v>103.0</v>
      </c>
      <c r="E103" s="7" t="s">
        <v>1087</v>
      </c>
    </row>
    <row r="104">
      <c r="A104" s="4">
        <v>103.0</v>
      </c>
      <c r="B104" s="5" t="s">
        <v>1088</v>
      </c>
      <c r="C104" s="6" t="s">
        <v>345</v>
      </c>
      <c r="D104" s="6">
        <v>104.0</v>
      </c>
      <c r="E104" s="7" t="s">
        <v>1091</v>
      </c>
    </row>
    <row r="105">
      <c r="A105" s="4">
        <v>104.0</v>
      </c>
      <c r="B105" s="5" t="s">
        <v>1092</v>
      </c>
      <c r="C105" s="6" t="s">
        <v>356</v>
      </c>
      <c r="D105" s="6">
        <v>105.0</v>
      </c>
      <c r="E105" s="7" t="s">
        <v>1095</v>
      </c>
    </row>
    <row r="106">
      <c r="A106" s="4">
        <v>105.0</v>
      </c>
      <c r="B106" s="5" t="s">
        <v>1097</v>
      </c>
      <c r="C106" s="6" t="s">
        <v>363</v>
      </c>
      <c r="D106" s="6">
        <v>106.0</v>
      </c>
      <c r="E106" s="7" t="s">
        <v>1099</v>
      </c>
    </row>
    <row r="107">
      <c r="A107" s="4">
        <v>106.0</v>
      </c>
      <c r="B107" s="5" t="s">
        <v>1100</v>
      </c>
      <c r="C107" s="6" t="s">
        <v>351</v>
      </c>
      <c r="D107" s="6">
        <v>107.0</v>
      </c>
      <c r="E107" s="7" t="s">
        <v>1104</v>
      </c>
    </row>
    <row r="108">
      <c r="A108" s="4">
        <v>107.0</v>
      </c>
      <c r="B108" s="5" t="s">
        <v>1105</v>
      </c>
      <c r="C108" s="6" t="s">
        <v>1107</v>
      </c>
      <c r="D108" s="6">
        <v>108.0</v>
      </c>
      <c r="E108" s="7" t="s">
        <v>1108</v>
      </c>
    </row>
    <row r="109">
      <c r="A109" s="4">
        <v>108.0</v>
      </c>
      <c r="B109" s="5" t="s">
        <v>1111</v>
      </c>
      <c r="C109" s="6" t="s">
        <v>367</v>
      </c>
      <c r="D109" s="6">
        <v>109.0</v>
      </c>
      <c r="E109" s="7" t="s">
        <v>1113</v>
      </c>
    </row>
    <row r="110">
      <c r="A110" s="4">
        <v>109.0</v>
      </c>
      <c r="B110" s="5" t="s">
        <v>1115</v>
      </c>
      <c r="C110" s="6" t="s">
        <v>373</v>
      </c>
      <c r="D110" s="6">
        <v>110.0</v>
      </c>
      <c r="E110" s="7" t="s">
        <v>1117</v>
      </c>
    </row>
    <row r="111">
      <c r="A111" s="4">
        <v>110.0</v>
      </c>
      <c r="B111" s="5" t="s">
        <v>1118</v>
      </c>
      <c r="C111" s="6" t="s">
        <v>378</v>
      </c>
      <c r="D111" s="6">
        <v>111.0</v>
      </c>
      <c r="E111" s="7" t="s">
        <v>1122</v>
      </c>
    </row>
    <row r="112">
      <c r="A112" s="4">
        <v>111.0</v>
      </c>
      <c r="B112" s="5" t="s">
        <v>1123</v>
      </c>
      <c r="C112" s="6" t="s">
        <v>1126</v>
      </c>
      <c r="D112" s="6">
        <v>112.0</v>
      </c>
      <c r="E112" s="7" t="s">
        <v>1127</v>
      </c>
    </row>
    <row r="113">
      <c r="A113" s="4">
        <v>112.0</v>
      </c>
      <c r="B113" s="5" t="s">
        <v>1129</v>
      </c>
      <c r="C113" s="6" t="s">
        <v>325</v>
      </c>
      <c r="D113" s="6">
        <v>113.0</v>
      </c>
      <c r="E113" s="7" t="s">
        <v>1132</v>
      </c>
    </row>
    <row r="114">
      <c r="A114" s="4">
        <v>113.0</v>
      </c>
      <c r="B114" s="5" t="s">
        <v>1133</v>
      </c>
      <c r="C114" s="6" t="s">
        <v>173</v>
      </c>
      <c r="D114" s="6">
        <v>114.0</v>
      </c>
      <c r="E114" s="7" t="s">
        <v>1136</v>
      </c>
    </row>
    <row r="115">
      <c r="A115" s="4">
        <v>114.0</v>
      </c>
      <c r="B115" s="5" t="s">
        <v>1137</v>
      </c>
      <c r="C115" s="6" t="s">
        <v>384</v>
      </c>
      <c r="D115" s="6">
        <v>115.0</v>
      </c>
      <c r="E115" s="7" t="s">
        <v>1140</v>
      </c>
    </row>
    <row r="116">
      <c r="A116" s="4">
        <v>115.0</v>
      </c>
      <c r="B116" s="5" t="s">
        <v>1141</v>
      </c>
      <c r="C116" s="6" t="s">
        <v>389</v>
      </c>
      <c r="D116" s="6">
        <v>116.0</v>
      </c>
      <c r="E116" s="7" t="s">
        <v>1144</v>
      </c>
    </row>
    <row r="117">
      <c r="A117" s="4">
        <v>116.0</v>
      </c>
      <c r="B117" s="5" t="s">
        <v>1146</v>
      </c>
      <c r="C117" s="6" t="s">
        <v>1148</v>
      </c>
      <c r="D117" s="6">
        <v>117.0</v>
      </c>
      <c r="E117" s="7" t="s">
        <v>1149</v>
      </c>
    </row>
    <row r="118">
      <c r="A118" s="4">
        <v>117.0</v>
      </c>
      <c r="B118" s="5" t="s">
        <v>1150</v>
      </c>
      <c r="C118" s="6" t="s">
        <v>179</v>
      </c>
      <c r="D118" s="6">
        <v>118.0</v>
      </c>
      <c r="E118" s="7" t="s">
        <v>1154</v>
      </c>
    </row>
    <row r="119">
      <c r="A119" s="4">
        <v>118.0</v>
      </c>
      <c r="B119" s="5" t="s">
        <v>1155</v>
      </c>
      <c r="C119" s="6" t="s">
        <v>394</v>
      </c>
      <c r="D119" s="6">
        <v>119.0</v>
      </c>
      <c r="E119" s="7" t="s">
        <v>1159</v>
      </c>
    </row>
    <row r="120">
      <c r="A120" s="4">
        <v>119.0</v>
      </c>
      <c r="B120" s="5" t="s">
        <v>1160</v>
      </c>
      <c r="C120" s="6" t="s">
        <v>401</v>
      </c>
      <c r="D120" s="6">
        <v>120.0</v>
      </c>
      <c r="E120" s="7" t="s">
        <v>1162</v>
      </c>
    </row>
    <row r="121">
      <c r="A121" s="4">
        <v>120.0</v>
      </c>
      <c r="B121" s="5" t="s">
        <v>1164</v>
      </c>
      <c r="C121" s="6" t="s">
        <v>1167</v>
      </c>
      <c r="D121" s="6">
        <v>121.0</v>
      </c>
      <c r="E121" s="7" t="s">
        <v>1168</v>
      </c>
    </row>
    <row r="122">
      <c r="A122" s="4">
        <v>121.0</v>
      </c>
      <c r="B122" s="5" t="s">
        <v>1169</v>
      </c>
      <c r="C122" s="6" t="s">
        <v>405</v>
      </c>
      <c r="D122" s="6">
        <v>122.0</v>
      </c>
      <c r="E122" s="7" t="s">
        <v>1171</v>
      </c>
    </row>
    <row r="123">
      <c r="A123" s="4">
        <v>122.0</v>
      </c>
      <c r="B123" s="5" t="s">
        <v>1174</v>
      </c>
      <c r="C123" s="6" t="s">
        <v>421</v>
      </c>
      <c r="D123" s="6">
        <v>123.0</v>
      </c>
      <c r="E123" s="7" t="s">
        <v>1176</v>
      </c>
    </row>
    <row r="124">
      <c r="A124" s="4">
        <v>123.0</v>
      </c>
      <c r="B124" s="5" t="s">
        <v>1177</v>
      </c>
      <c r="C124" s="6" t="s">
        <v>411</v>
      </c>
      <c r="D124" s="6">
        <v>124.0</v>
      </c>
      <c r="E124" s="7" t="s">
        <v>1180</v>
      </c>
    </row>
    <row r="125">
      <c r="A125" s="4">
        <v>124.0</v>
      </c>
      <c r="B125" s="5" t="s">
        <v>1182</v>
      </c>
      <c r="C125" s="6" t="s">
        <v>185</v>
      </c>
      <c r="D125" s="6">
        <v>125.0</v>
      </c>
      <c r="E125" s="7" t="s">
        <v>88</v>
      </c>
    </row>
    <row r="126">
      <c r="A126" s="4">
        <v>125.0</v>
      </c>
      <c r="B126" s="5" t="s">
        <v>1185</v>
      </c>
      <c r="C126" s="6" t="s">
        <v>416</v>
      </c>
      <c r="D126" s="6">
        <v>126.0</v>
      </c>
      <c r="E126" s="7" t="s">
        <v>1188</v>
      </c>
    </row>
    <row r="127">
      <c r="A127" s="4">
        <v>126.0</v>
      </c>
      <c r="B127" s="5" t="s">
        <v>1189</v>
      </c>
      <c r="C127" s="6" t="s">
        <v>1193</v>
      </c>
      <c r="D127" s="6">
        <v>127.0</v>
      </c>
      <c r="E127" s="7" t="s">
        <v>1194</v>
      </c>
    </row>
    <row r="128">
      <c r="A128" s="4">
        <v>127.0</v>
      </c>
      <c r="B128" s="5" t="s">
        <v>1195</v>
      </c>
      <c r="C128" s="6" t="s">
        <v>1198</v>
      </c>
      <c r="D128" s="6">
        <v>128.0</v>
      </c>
      <c r="E128" s="7" t="s">
        <v>1199</v>
      </c>
    </row>
    <row r="129">
      <c r="A129" s="4">
        <v>128.0</v>
      </c>
      <c r="B129" s="5" t="s">
        <v>1201</v>
      </c>
      <c r="C129" s="6" t="s">
        <v>1204</v>
      </c>
      <c r="D129" s="6">
        <v>129.0</v>
      </c>
      <c r="E129" s="7" t="s">
        <v>88</v>
      </c>
    </row>
    <row r="130">
      <c r="A130" s="4">
        <v>129.0</v>
      </c>
      <c r="B130" s="5" t="s">
        <v>1206</v>
      </c>
      <c r="C130" s="6" t="s">
        <v>1208</v>
      </c>
      <c r="D130" s="6">
        <v>130.0</v>
      </c>
      <c r="E130" s="7" t="s">
        <v>1209</v>
      </c>
    </row>
    <row r="131">
      <c r="A131" s="4">
        <v>130.0</v>
      </c>
      <c r="B131" s="5" t="s">
        <v>1211</v>
      </c>
      <c r="C131" s="6" t="s">
        <v>187</v>
      </c>
      <c r="D131" s="6">
        <v>131.0</v>
      </c>
      <c r="E131" s="7" t="s">
        <v>1214</v>
      </c>
    </row>
    <row r="132">
      <c r="A132" s="4">
        <v>131.0</v>
      </c>
      <c r="B132" s="5" t="s">
        <v>1215</v>
      </c>
      <c r="C132" s="6" t="s">
        <v>1219</v>
      </c>
      <c r="D132" s="6">
        <v>132.0</v>
      </c>
      <c r="E132" s="7" t="s">
        <v>1220</v>
      </c>
    </row>
    <row r="133">
      <c r="A133" s="4">
        <v>132.0</v>
      </c>
      <c r="B133" s="5" t="s">
        <v>1221</v>
      </c>
      <c r="C133" s="6" t="s">
        <v>1224</v>
      </c>
      <c r="D133" s="6">
        <v>133.0</v>
      </c>
      <c r="E133" s="7" t="s">
        <v>1225</v>
      </c>
    </row>
    <row r="134">
      <c r="A134" s="4">
        <v>133.0</v>
      </c>
      <c r="B134" s="5" t="s">
        <v>1226</v>
      </c>
      <c r="C134" s="6" t="s">
        <v>217</v>
      </c>
      <c r="D134" s="6">
        <v>134.0</v>
      </c>
      <c r="E134" s="7" t="s">
        <v>1230</v>
      </c>
    </row>
    <row r="135">
      <c r="A135" s="4">
        <v>134.0</v>
      </c>
      <c r="B135" s="5" t="s">
        <v>1231</v>
      </c>
      <c r="C135" s="6" t="s">
        <v>1235</v>
      </c>
      <c r="D135" s="6">
        <v>135.0</v>
      </c>
      <c r="E135" s="7" t="s">
        <v>1236</v>
      </c>
    </row>
    <row r="136">
      <c r="A136" s="4">
        <v>135.0</v>
      </c>
      <c r="B136" s="5" t="s">
        <v>1237</v>
      </c>
      <c r="C136" s="6" t="s">
        <v>1239</v>
      </c>
      <c r="D136" s="6">
        <v>136.0</v>
      </c>
      <c r="E136" s="7" t="s">
        <v>1240</v>
      </c>
    </row>
    <row r="137">
      <c r="A137" s="4">
        <v>136.0</v>
      </c>
      <c r="B137" s="5" t="s">
        <v>1243</v>
      </c>
      <c r="C137" s="6" t="s">
        <v>1245</v>
      </c>
      <c r="D137" s="6">
        <v>137.0</v>
      </c>
      <c r="E137" s="7" t="s">
        <v>1247</v>
      </c>
    </row>
    <row r="138">
      <c r="A138" s="4">
        <v>137.0</v>
      </c>
      <c r="B138" s="5" t="s">
        <v>1248</v>
      </c>
      <c r="C138" s="6" t="s">
        <v>1251</v>
      </c>
      <c r="D138" s="6">
        <v>138.0</v>
      </c>
      <c r="E138" s="7" t="s">
        <v>1252</v>
      </c>
    </row>
    <row r="139">
      <c r="A139" s="4">
        <v>138.0</v>
      </c>
      <c r="B139" s="5" t="s">
        <v>1254</v>
      </c>
      <c r="C139" s="6" t="s">
        <v>1257</v>
      </c>
      <c r="D139" s="6">
        <v>139.0</v>
      </c>
      <c r="E139" s="7" t="s">
        <v>1258</v>
      </c>
    </row>
    <row r="140">
      <c r="A140" s="4">
        <v>139.0</v>
      </c>
      <c r="B140" s="5" t="s">
        <v>1259</v>
      </c>
      <c r="C140" s="6" t="s">
        <v>219</v>
      </c>
      <c r="D140" s="6">
        <v>140.0</v>
      </c>
      <c r="E140" s="7" t="s">
        <v>1262</v>
      </c>
    </row>
    <row r="141">
      <c r="A141" s="4">
        <v>140.0</v>
      </c>
      <c r="B141" s="5" t="s">
        <v>1263</v>
      </c>
      <c r="C141" s="6" t="s">
        <v>1267</v>
      </c>
      <c r="D141" s="6">
        <v>141.0</v>
      </c>
      <c r="E141" s="7" t="s">
        <v>1268</v>
      </c>
    </row>
    <row r="142">
      <c r="A142" s="4">
        <v>141.0</v>
      </c>
      <c r="B142" s="5" t="s">
        <v>1269</v>
      </c>
      <c r="C142" s="6" t="s">
        <v>1272</v>
      </c>
      <c r="D142" s="6">
        <v>142.0</v>
      </c>
      <c r="E142" s="7" t="s">
        <v>1273</v>
      </c>
    </row>
    <row r="143">
      <c r="A143" s="4">
        <v>142.0</v>
      </c>
      <c r="B143" s="5" t="s">
        <v>1274</v>
      </c>
      <c r="C143" s="6" t="s">
        <v>1278</v>
      </c>
      <c r="D143" s="6">
        <v>143.0</v>
      </c>
      <c r="E143" s="7" t="s">
        <v>1279</v>
      </c>
    </row>
    <row r="144">
      <c r="A144" s="4">
        <v>143.0</v>
      </c>
      <c r="B144" s="5" t="s">
        <v>1280</v>
      </c>
      <c r="C144" s="6" t="s">
        <v>1284</v>
      </c>
      <c r="D144" s="6">
        <v>144.0</v>
      </c>
      <c r="E144" s="7" t="s">
        <v>1285</v>
      </c>
    </row>
    <row r="145">
      <c r="A145" s="4">
        <v>144.0</v>
      </c>
      <c r="B145" s="5" t="s">
        <v>1286</v>
      </c>
      <c r="C145" s="6" t="s">
        <v>1288</v>
      </c>
      <c r="D145" s="6">
        <v>145.0</v>
      </c>
      <c r="E145" s="7" t="s">
        <v>1289</v>
      </c>
    </row>
    <row r="146">
      <c r="A146" s="4">
        <v>145.0</v>
      </c>
      <c r="B146" s="5" t="s">
        <v>1290</v>
      </c>
      <c r="C146" s="6" t="s">
        <v>307</v>
      </c>
      <c r="D146" s="6">
        <v>146.0</v>
      </c>
      <c r="E146" s="7" t="s">
        <v>1294</v>
      </c>
    </row>
    <row r="147">
      <c r="A147" s="4">
        <v>146.0</v>
      </c>
      <c r="B147" s="5" t="s">
        <v>1295</v>
      </c>
      <c r="C147" s="6" t="s">
        <v>438</v>
      </c>
      <c r="D147" s="6">
        <v>147.0</v>
      </c>
      <c r="E147" s="7" t="s">
        <v>1299</v>
      </c>
    </row>
    <row r="148">
      <c r="A148" s="4">
        <v>147.0</v>
      </c>
      <c r="B148" s="5" t="s">
        <v>1300</v>
      </c>
      <c r="C148" s="6" t="s">
        <v>463</v>
      </c>
      <c r="D148" s="6">
        <v>148.0</v>
      </c>
      <c r="E148" s="7" t="s">
        <v>1304</v>
      </c>
    </row>
    <row r="149">
      <c r="A149" s="4">
        <v>148.0</v>
      </c>
      <c r="B149" s="5" t="s">
        <v>1305</v>
      </c>
      <c r="C149" s="6" t="s">
        <v>1308</v>
      </c>
      <c r="D149" s="6">
        <v>149.0</v>
      </c>
      <c r="E149" s="7" t="s">
        <v>1309</v>
      </c>
    </row>
    <row r="150">
      <c r="A150" s="4">
        <v>149.0</v>
      </c>
      <c r="B150" s="5" t="s">
        <v>1311</v>
      </c>
      <c r="C150" s="6" t="s">
        <v>1313</v>
      </c>
      <c r="D150" s="6">
        <v>150.0</v>
      </c>
      <c r="E150" s="7" t="s">
        <v>1314</v>
      </c>
    </row>
    <row r="151">
      <c r="A151" s="4">
        <v>150.0</v>
      </c>
      <c r="B151" s="5" t="s">
        <v>1315</v>
      </c>
      <c r="C151" s="6" t="s">
        <v>465</v>
      </c>
      <c r="D151" s="6">
        <v>151.0</v>
      </c>
      <c r="E151" s="7" t="s">
        <v>1318</v>
      </c>
    </row>
    <row r="152">
      <c r="A152" s="4">
        <v>151.0</v>
      </c>
      <c r="B152" s="5" t="s">
        <v>1320</v>
      </c>
      <c r="C152" s="6" t="s">
        <v>427</v>
      </c>
      <c r="D152" s="6">
        <v>152.0</v>
      </c>
      <c r="E152" s="7" t="s">
        <v>88</v>
      </c>
    </row>
    <row r="153">
      <c r="A153" s="4">
        <v>152.0</v>
      </c>
      <c r="B153" s="5" t="s">
        <v>1323</v>
      </c>
      <c r="C153" s="6" t="s">
        <v>1327</v>
      </c>
      <c r="D153" s="6">
        <v>153.0</v>
      </c>
      <c r="E153" s="7" t="s">
        <v>1328</v>
      </c>
    </row>
    <row r="154">
      <c r="A154" s="4">
        <v>153.0</v>
      </c>
      <c r="B154" s="5" t="s">
        <v>1330</v>
      </c>
      <c r="C154" s="6" t="s">
        <v>1333</v>
      </c>
      <c r="D154" s="6">
        <v>154.0</v>
      </c>
      <c r="E154" s="7" t="s">
        <v>1334</v>
      </c>
    </row>
    <row r="155">
      <c r="A155" s="4">
        <v>154.0</v>
      </c>
      <c r="B155" s="5" t="s">
        <v>1336</v>
      </c>
      <c r="C155" s="6" t="s">
        <v>467</v>
      </c>
      <c r="D155" s="6">
        <v>155.0</v>
      </c>
      <c r="E155" s="7" t="s">
        <v>1338</v>
      </c>
    </row>
    <row r="156">
      <c r="A156" s="4">
        <v>155.0</v>
      </c>
      <c r="B156" s="5" t="s">
        <v>1339</v>
      </c>
      <c r="C156" s="6" t="s">
        <v>1343</v>
      </c>
      <c r="D156" s="6">
        <v>156.0</v>
      </c>
      <c r="E156" s="7" t="s">
        <v>1344</v>
      </c>
    </row>
    <row r="157">
      <c r="A157" s="4">
        <v>156.0</v>
      </c>
      <c r="B157" s="5" t="s">
        <v>1345</v>
      </c>
      <c r="C157" s="6" t="s">
        <v>431</v>
      </c>
      <c r="D157" s="6">
        <v>157.0</v>
      </c>
      <c r="E157" s="7">
        <v>156.0</v>
      </c>
    </row>
    <row r="158">
      <c r="A158" s="4">
        <v>157.0</v>
      </c>
      <c r="B158" s="5" t="s">
        <v>1349</v>
      </c>
      <c r="C158" s="6" t="s">
        <v>1352</v>
      </c>
      <c r="D158" s="6">
        <v>158.0</v>
      </c>
      <c r="E158" s="7" t="s">
        <v>1353</v>
      </c>
    </row>
    <row r="159">
      <c r="A159" s="4">
        <v>158.0</v>
      </c>
      <c r="B159" s="5" t="s">
        <v>1354</v>
      </c>
      <c r="C159" s="6" t="s">
        <v>1213</v>
      </c>
      <c r="D159" s="6">
        <v>159.0</v>
      </c>
      <c r="E159" s="7" t="s">
        <v>1357</v>
      </c>
    </row>
    <row r="160">
      <c r="A160" s="4">
        <v>159.0</v>
      </c>
      <c r="B160" s="5" t="s">
        <v>1358</v>
      </c>
      <c r="C160" s="6" t="s">
        <v>1362</v>
      </c>
      <c r="D160" s="6">
        <v>160.0</v>
      </c>
      <c r="E160" s="7" t="s">
        <v>1363</v>
      </c>
    </row>
    <row r="161">
      <c r="A161" s="4">
        <v>160.0</v>
      </c>
      <c r="B161" s="5" t="s">
        <v>1364</v>
      </c>
      <c r="C161" s="6" t="s">
        <v>1367</v>
      </c>
      <c r="D161" s="6">
        <v>161.0</v>
      </c>
      <c r="E161" s="7" t="s">
        <v>1368</v>
      </c>
    </row>
    <row r="162">
      <c r="A162" s="4">
        <v>161.0</v>
      </c>
      <c r="B162" s="5" t="s">
        <v>1370</v>
      </c>
      <c r="C162" s="6" t="s">
        <v>1373</v>
      </c>
      <c r="D162" s="6">
        <v>162.0</v>
      </c>
      <c r="E162" s="7" t="s">
        <v>1374</v>
      </c>
    </row>
    <row r="163">
      <c r="A163" s="4">
        <v>162.0</v>
      </c>
      <c r="B163" s="5" t="s">
        <v>1375</v>
      </c>
      <c r="C163" s="6" t="s">
        <v>470</v>
      </c>
      <c r="D163" s="6">
        <v>163.0</v>
      </c>
      <c r="E163" s="7" t="s">
        <v>88</v>
      </c>
    </row>
    <row r="164">
      <c r="A164" s="4">
        <v>163.0</v>
      </c>
      <c r="B164" s="5" t="s">
        <v>1378</v>
      </c>
      <c r="C164" s="6" t="s">
        <v>472</v>
      </c>
      <c r="D164" s="6">
        <v>164.0</v>
      </c>
      <c r="E164" s="7" t="s">
        <v>1382</v>
      </c>
    </row>
    <row r="165">
      <c r="A165" s="4">
        <v>164.0</v>
      </c>
      <c r="B165" s="5" t="s">
        <v>1384</v>
      </c>
      <c r="C165" s="6" t="s">
        <v>475</v>
      </c>
      <c r="D165" s="6">
        <v>165.0</v>
      </c>
      <c r="E165" s="7" t="s">
        <v>1388</v>
      </c>
    </row>
    <row r="166">
      <c r="A166" s="4">
        <v>165.0</v>
      </c>
      <c r="B166" s="5" t="s">
        <v>1389</v>
      </c>
      <c r="C166" s="6" t="s">
        <v>1246</v>
      </c>
      <c r="D166" s="6">
        <v>166.0</v>
      </c>
      <c r="E166" s="7" t="s">
        <v>1393</v>
      </c>
    </row>
    <row r="167">
      <c r="A167" s="4">
        <v>166.0</v>
      </c>
      <c r="B167" s="5" t="s">
        <v>1394</v>
      </c>
      <c r="C167" s="6" t="s">
        <v>1397</v>
      </c>
      <c r="D167" s="6">
        <v>167.0</v>
      </c>
      <c r="E167" s="7" t="s">
        <v>1398</v>
      </c>
    </row>
    <row r="168">
      <c r="A168" s="4">
        <v>167.0</v>
      </c>
      <c r="B168" s="5" t="s">
        <v>1400</v>
      </c>
      <c r="C168" s="6" t="s">
        <v>1402</v>
      </c>
      <c r="D168" s="6">
        <v>168.0</v>
      </c>
      <c r="E168" s="7" t="s">
        <v>1403</v>
      </c>
    </row>
    <row r="169">
      <c r="A169" s="4">
        <v>168.0</v>
      </c>
      <c r="B169" s="5" t="s">
        <v>1404</v>
      </c>
      <c r="C169" s="6" t="s">
        <v>477</v>
      </c>
      <c r="D169" s="6">
        <v>169.0</v>
      </c>
      <c r="E169" s="7" t="s">
        <v>1408</v>
      </c>
    </row>
    <row r="170">
      <c r="A170" s="4">
        <v>169.0</v>
      </c>
      <c r="B170" s="5" t="s">
        <v>1409</v>
      </c>
      <c r="C170" s="6" t="s">
        <v>1412</v>
      </c>
      <c r="D170" s="6">
        <v>170.0</v>
      </c>
      <c r="E170" s="7" t="s">
        <v>1413</v>
      </c>
    </row>
    <row r="171">
      <c r="A171" s="4">
        <v>170.0</v>
      </c>
      <c r="B171" s="5" t="s">
        <v>1414</v>
      </c>
      <c r="C171" s="6" t="s">
        <v>1418</v>
      </c>
      <c r="D171" s="6">
        <v>171.0</v>
      </c>
      <c r="E171" s="7" t="s">
        <v>1419</v>
      </c>
    </row>
    <row r="172">
      <c r="A172" s="4">
        <v>171.0</v>
      </c>
      <c r="B172" s="5" t="s">
        <v>1420</v>
      </c>
      <c r="C172" s="6" t="s">
        <v>1424</v>
      </c>
      <c r="D172" s="6">
        <v>172.0</v>
      </c>
      <c r="E172" s="7" t="s">
        <v>88</v>
      </c>
    </row>
    <row r="173">
      <c r="A173" s="4">
        <v>172.0</v>
      </c>
      <c r="B173" s="5" t="s">
        <v>1425</v>
      </c>
      <c r="C173" s="6" t="s">
        <v>1426</v>
      </c>
      <c r="D173" s="6">
        <v>173.0</v>
      </c>
      <c r="E173" s="7" t="s">
        <v>88</v>
      </c>
    </row>
    <row r="174">
      <c r="A174" s="4">
        <v>173.0</v>
      </c>
      <c r="B174" s="5" t="s">
        <v>1427</v>
      </c>
      <c r="C174" s="6" t="s">
        <v>480</v>
      </c>
      <c r="D174" s="6">
        <v>174.0</v>
      </c>
      <c r="E174" s="7" t="s">
        <v>1429</v>
      </c>
    </row>
    <row r="175">
      <c r="A175" s="4">
        <v>174.0</v>
      </c>
      <c r="B175" s="5" t="s">
        <v>1430</v>
      </c>
      <c r="C175" s="6" t="s">
        <v>1433</v>
      </c>
      <c r="D175" s="6">
        <v>175.0</v>
      </c>
      <c r="E175" s="7" t="s">
        <v>1434</v>
      </c>
    </row>
    <row r="176">
      <c r="A176" s="4">
        <v>175.0</v>
      </c>
      <c r="B176" s="5" t="s">
        <v>1435</v>
      </c>
      <c r="C176" s="6" t="s">
        <v>1436</v>
      </c>
      <c r="D176" s="6">
        <v>176.0</v>
      </c>
      <c r="E176" s="7" t="s">
        <v>1438</v>
      </c>
    </row>
    <row r="177">
      <c r="A177" s="4">
        <v>176.0</v>
      </c>
      <c r="B177" s="5" t="s">
        <v>1440</v>
      </c>
      <c r="C177" s="6" t="s">
        <v>1442</v>
      </c>
      <c r="D177" s="6">
        <v>177.0</v>
      </c>
      <c r="E177" s="7" t="s">
        <v>1443</v>
      </c>
    </row>
    <row r="178">
      <c r="A178" s="4">
        <v>177.0</v>
      </c>
      <c r="B178" s="5" t="s">
        <v>1444</v>
      </c>
      <c r="C178" s="6" t="s">
        <v>1447</v>
      </c>
      <c r="D178" s="6">
        <v>178.0</v>
      </c>
      <c r="E178" s="7" t="s">
        <v>1448</v>
      </c>
    </row>
    <row r="179">
      <c r="A179" s="4">
        <v>178.0</v>
      </c>
      <c r="B179" s="5" t="s">
        <v>1450</v>
      </c>
      <c r="C179" s="6" t="s">
        <v>1453</v>
      </c>
      <c r="D179" s="6">
        <v>179.0</v>
      </c>
      <c r="E179" s="7" t="s">
        <v>1454</v>
      </c>
    </row>
    <row r="180">
      <c r="A180" s="4">
        <v>179.0</v>
      </c>
      <c r="B180" s="5" t="s">
        <v>1455</v>
      </c>
      <c r="C180" s="6" t="s">
        <v>1459</v>
      </c>
      <c r="D180" s="6">
        <v>180.0</v>
      </c>
      <c r="E180" s="7" t="s">
        <v>1460</v>
      </c>
    </row>
    <row r="181">
      <c r="A181" s="4">
        <v>180.0</v>
      </c>
      <c r="B181" s="5" t="s">
        <v>1461</v>
      </c>
      <c r="C181" s="6" t="s">
        <v>1271</v>
      </c>
      <c r="D181" s="6">
        <v>181.0</v>
      </c>
      <c r="E181" s="7" t="s">
        <v>1463</v>
      </c>
    </row>
    <row r="182">
      <c r="A182" s="4">
        <v>181.0</v>
      </c>
      <c r="B182" s="5" t="s">
        <v>1465</v>
      </c>
      <c r="C182" s="6" t="s">
        <v>1496</v>
      </c>
      <c r="D182" s="6">
        <v>182.0</v>
      </c>
      <c r="E182" s="7" t="s">
        <v>1717</v>
      </c>
    </row>
    <row r="183">
      <c r="A183" s="4">
        <v>182.0</v>
      </c>
      <c r="B183" s="5" t="s">
        <v>1718</v>
      </c>
      <c r="C183" s="6" t="s">
        <v>1601</v>
      </c>
      <c r="D183" s="6">
        <v>183.0</v>
      </c>
      <c r="E183" s="7" t="s">
        <v>1720</v>
      </c>
    </row>
    <row r="184">
      <c r="A184" s="4">
        <v>183.0</v>
      </c>
      <c r="B184" s="5" t="s">
        <v>1721</v>
      </c>
      <c r="C184" s="6" t="s">
        <v>1562</v>
      </c>
      <c r="D184" s="6">
        <v>184.0</v>
      </c>
      <c r="E184" s="7" t="s">
        <v>1723</v>
      </c>
    </row>
    <row r="185">
      <c r="A185" s="4">
        <v>184.0</v>
      </c>
      <c r="B185" s="5" t="s">
        <v>1725</v>
      </c>
      <c r="C185" s="6" t="s">
        <v>1623</v>
      </c>
      <c r="D185" s="6">
        <v>185.0</v>
      </c>
      <c r="E185" s="7" t="s">
        <v>1726</v>
      </c>
    </row>
    <row r="186">
      <c r="A186" s="4">
        <v>185.0</v>
      </c>
      <c r="B186" s="5" t="s">
        <v>1727</v>
      </c>
      <c r="C186" s="6" t="s">
        <v>1553</v>
      </c>
      <c r="D186" s="6">
        <v>186.0</v>
      </c>
      <c r="E186" s="7" t="s">
        <v>1730</v>
      </c>
    </row>
    <row r="187">
      <c r="A187" s="4">
        <v>186.0</v>
      </c>
      <c r="B187" s="5" t="s">
        <v>1731</v>
      </c>
      <c r="C187" s="6" t="s">
        <v>1732</v>
      </c>
      <c r="D187" s="6">
        <v>187.0</v>
      </c>
      <c r="E187" s="7" t="s">
        <v>88</v>
      </c>
    </row>
    <row r="188">
      <c r="A188" s="4">
        <v>187.0</v>
      </c>
      <c r="B188" s="5" t="s">
        <v>1733</v>
      </c>
      <c r="C188" s="6" t="s">
        <v>1634</v>
      </c>
      <c r="D188" s="6">
        <v>188.0</v>
      </c>
      <c r="E188" s="7" t="s">
        <v>1735</v>
      </c>
    </row>
    <row r="189">
      <c r="A189" s="4">
        <v>188.0</v>
      </c>
      <c r="B189" s="5" t="s">
        <v>1736</v>
      </c>
      <c r="C189" s="6" t="s">
        <v>1342</v>
      </c>
      <c r="D189" s="6">
        <v>189.0</v>
      </c>
      <c r="E189" s="7" t="s">
        <v>1738</v>
      </c>
    </row>
    <row r="190">
      <c r="A190" s="4">
        <v>189.0</v>
      </c>
      <c r="B190" s="5" t="s">
        <v>1739</v>
      </c>
      <c r="C190" s="6" t="s">
        <v>1329</v>
      </c>
      <c r="D190" s="6">
        <v>190.0</v>
      </c>
      <c r="E190" s="7" t="s">
        <v>1740</v>
      </c>
    </row>
    <row r="191">
      <c r="A191" s="4">
        <v>190.0</v>
      </c>
      <c r="B191" s="5" t="s">
        <v>1741</v>
      </c>
      <c r="C191" s="6" t="s">
        <v>1665</v>
      </c>
      <c r="D191" s="6">
        <v>191.0</v>
      </c>
      <c r="E191" s="7" t="s">
        <v>1743</v>
      </c>
    </row>
    <row r="192">
      <c r="A192" s="4">
        <v>191.0</v>
      </c>
      <c r="B192" s="5" t="s">
        <v>1744</v>
      </c>
      <c r="C192" s="6" t="s">
        <v>1745</v>
      </c>
      <c r="D192" s="6">
        <v>192.0</v>
      </c>
      <c r="E192" s="7" t="s">
        <v>1746</v>
      </c>
    </row>
    <row r="193">
      <c r="A193" s="4">
        <v>192.0</v>
      </c>
      <c r="B193" s="5" t="s">
        <v>1747</v>
      </c>
      <c r="C193" s="6" t="s">
        <v>1728</v>
      </c>
      <c r="D193" s="6">
        <v>193.0</v>
      </c>
      <c r="E193" s="7" t="s">
        <v>88</v>
      </c>
    </row>
    <row r="194">
      <c r="A194" s="4">
        <v>193.0</v>
      </c>
      <c r="B194" s="5" t="s">
        <v>1749</v>
      </c>
      <c r="C194" s="6" t="s">
        <v>1479</v>
      </c>
      <c r="D194" s="6">
        <v>194.0</v>
      </c>
      <c r="E194" s="7" t="s">
        <v>1752</v>
      </c>
    </row>
    <row r="195">
      <c r="A195" s="4">
        <v>194.0</v>
      </c>
      <c r="B195" s="5" t="s">
        <v>1753</v>
      </c>
      <c r="C195" s="6" t="s">
        <v>1677</v>
      </c>
      <c r="D195" s="6">
        <v>195.0</v>
      </c>
      <c r="E195" s="7" t="s">
        <v>1754</v>
      </c>
    </row>
    <row r="196">
      <c r="A196" s="4">
        <v>195.0</v>
      </c>
      <c r="B196" s="5" t="s">
        <v>1755</v>
      </c>
      <c r="C196" s="6" t="s">
        <v>1668</v>
      </c>
      <c r="D196" s="6">
        <v>196.0</v>
      </c>
      <c r="E196" s="7" t="s">
        <v>1757</v>
      </c>
    </row>
    <row r="197">
      <c r="A197" s="4">
        <v>196.0</v>
      </c>
      <c r="B197" s="5" t="s">
        <v>1758</v>
      </c>
      <c r="C197" s="6" t="s">
        <v>1759</v>
      </c>
      <c r="D197" s="6">
        <v>197.0</v>
      </c>
      <c r="E197" s="7" t="s">
        <v>1760</v>
      </c>
    </row>
    <row r="198">
      <c r="A198" s="4">
        <v>197.0</v>
      </c>
      <c r="B198" s="5" t="s">
        <v>1762</v>
      </c>
      <c r="C198" s="6" t="s">
        <v>1604</v>
      </c>
      <c r="D198" s="6">
        <v>198.0</v>
      </c>
      <c r="E198" s="7" t="s">
        <v>1764</v>
      </c>
    </row>
    <row r="199">
      <c r="A199" s="4">
        <v>198.0</v>
      </c>
      <c r="B199" s="5" t="s">
        <v>1765</v>
      </c>
      <c r="C199" s="6" t="s">
        <v>1536</v>
      </c>
      <c r="D199" s="6">
        <v>199.0</v>
      </c>
      <c r="E199" s="7" t="s">
        <v>1767</v>
      </c>
    </row>
    <row r="200">
      <c r="A200" s="4">
        <v>199.0</v>
      </c>
      <c r="B200" s="5" t="s">
        <v>1768</v>
      </c>
      <c r="C200" s="6" t="s">
        <v>1682</v>
      </c>
      <c r="D200" s="6">
        <v>200.0</v>
      </c>
      <c r="E200" s="7" t="s">
        <v>1770</v>
      </c>
    </row>
    <row r="201">
      <c r="A201" s="4">
        <v>200.0</v>
      </c>
      <c r="B201" s="5" t="s">
        <v>1771</v>
      </c>
      <c r="C201" s="6" t="s">
        <v>1232</v>
      </c>
      <c r="D201" s="6">
        <v>201.0</v>
      </c>
      <c r="E201" s="7" t="s">
        <v>88</v>
      </c>
    </row>
    <row r="202">
      <c r="A202" s="4">
        <v>201.0</v>
      </c>
      <c r="B202" s="5" t="s">
        <v>1773</v>
      </c>
      <c r="C202" s="6" t="s">
        <v>1630</v>
      </c>
      <c r="D202" s="6">
        <v>202.0</v>
      </c>
      <c r="E202" s="7" t="s">
        <v>1774</v>
      </c>
    </row>
    <row r="203">
      <c r="A203" s="4">
        <v>202.0</v>
      </c>
      <c r="B203" s="5" t="s">
        <v>1775</v>
      </c>
      <c r="C203" s="6" t="s">
        <v>1512</v>
      </c>
      <c r="D203" s="6">
        <v>203.0</v>
      </c>
      <c r="E203" s="7" t="s">
        <v>88</v>
      </c>
    </row>
    <row r="204">
      <c r="A204" s="4">
        <v>203.0</v>
      </c>
      <c r="B204" s="5" t="s">
        <v>1778</v>
      </c>
      <c r="C204" s="6" t="s">
        <v>1779</v>
      </c>
      <c r="D204" s="6">
        <v>204.0</v>
      </c>
      <c r="E204" s="7" t="s">
        <v>1780</v>
      </c>
    </row>
    <row r="205">
      <c r="A205" s="4">
        <v>204.0</v>
      </c>
      <c r="B205" s="5" t="s">
        <v>1781</v>
      </c>
      <c r="C205" s="6" t="s">
        <v>1750</v>
      </c>
      <c r="D205" s="6">
        <v>205.0</v>
      </c>
      <c r="E205" s="7" t="s">
        <v>1783</v>
      </c>
    </row>
    <row r="206">
      <c r="A206" s="4">
        <v>205.0</v>
      </c>
      <c r="B206" s="5" t="s">
        <v>1784</v>
      </c>
      <c r="C206" s="6" t="s">
        <v>1686</v>
      </c>
      <c r="D206" s="6">
        <v>206.0</v>
      </c>
      <c r="E206" s="7" t="s">
        <v>1786</v>
      </c>
    </row>
    <row r="207">
      <c r="A207" s="4">
        <v>206.0</v>
      </c>
      <c r="B207" s="5" t="s">
        <v>1787</v>
      </c>
      <c r="C207" s="6" t="s">
        <v>1640</v>
      </c>
      <c r="D207" s="6">
        <v>207.0</v>
      </c>
      <c r="E207" s="7" t="s">
        <v>1788</v>
      </c>
    </row>
    <row r="208">
      <c r="A208" s="4">
        <v>207.0</v>
      </c>
      <c r="B208" s="5" t="s">
        <v>1790</v>
      </c>
      <c r="C208" s="6" t="s">
        <v>1654</v>
      </c>
      <c r="D208" s="6">
        <v>208.0</v>
      </c>
      <c r="E208" s="7" t="s">
        <v>1792</v>
      </c>
    </row>
    <row r="209">
      <c r="A209" s="4">
        <v>208.0</v>
      </c>
      <c r="B209" s="5" t="s">
        <v>1793</v>
      </c>
      <c r="C209" s="6" t="s">
        <v>1580</v>
      </c>
      <c r="D209" s="6">
        <v>209.0</v>
      </c>
      <c r="E209" s="7" t="s">
        <v>88</v>
      </c>
    </row>
    <row r="210">
      <c r="A210" s="4">
        <v>209.0</v>
      </c>
      <c r="B210" s="5" t="s">
        <v>1795</v>
      </c>
      <c r="C210" s="6" t="s">
        <v>1590</v>
      </c>
      <c r="D210" s="6">
        <v>210.0</v>
      </c>
      <c r="E210" s="7" t="s">
        <v>1796</v>
      </c>
    </row>
    <row r="211">
      <c r="A211" s="4">
        <v>210.0</v>
      </c>
      <c r="B211" s="5" t="s">
        <v>1798</v>
      </c>
      <c r="C211" s="6" t="s">
        <v>1627</v>
      </c>
      <c r="D211" s="6">
        <v>211.0</v>
      </c>
      <c r="E211" s="7" t="s">
        <v>88</v>
      </c>
    </row>
    <row r="212">
      <c r="A212" s="4">
        <v>211.0</v>
      </c>
      <c r="B212" s="5" t="s">
        <v>1800</v>
      </c>
      <c r="C212" s="6" t="s">
        <v>1710</v>
      </c>
      <c r="D212" s="6">
        <v>212.0</v>
      </c>
      <c r="E212" s="7" t="s">
        <v>1802</v>
      </c>
    </row>
    <row r="213">
      <c r="A213" s="4">
        <v>212.0</v>
      </c>
      <c r="B213" s="5" t="s">
        <v>1803</v>
      </c>
      <c r="C213" s="6" t="s">
        <v>1761</v>
      </c>
      <c r="D213" s="6">
        <v>213.0</v>
      </c>
      <c r="E213" s="7" t="s">
        <v>1805</v>
      </c>
    </row>
    <row r="214">
      <c r="A214" s="4">
        <v>213.0</v>
      </c>
      <c r="B214" s="5" t="s">
        <v>1806</v>
      </c>
      <c r="C214" s="6" t="s">
        <v>1807</v>
      </c>
      <c r="D214" s="6">
        <v>214.0</v>
      </c>
      <c r="E214" s="7" t="s">
        <v>88</v>
      </c>
    </row>
    <row r="215">
      <c r="A215" s="4">
        <v>214.0</v>
      </c>
      <c r="B215" s="5" t="s">
        <v>1808</v>
      </c>
      <c r="C215" s="6" t="s">
        <v>1607</v>
      </c>
      <c r="D215" s="6">
        <v>215.0</v>
      </c>
      <c r="E215" s="7" t="s">
        <v>88</v>
      </c>
    </row>
    <row r="216">
      <c r="A216" s="4">
        <v>215.0</v>
      </c>
      <c r="B216" s="5" t="s">
        <v>1810</v>
      </c>
      <c r="C216" s="6" t="s">
        <v>1568</v>
      </c>
      <c r="D216" s="6">
        <v>216.0</v>
      </c>
      <c r="E216" s="7" t="s">
        <v>88</v>
      </c>
    </row>
    <row r="217">
      <c r="A217" s="4">
        <v>216.0</v>
      </c>
      <c r="B217" s="5" t="s">
        <v>1813</v>
      </c>
      <c r="C217" s="6" t="s">
        <v>1648</v>
      </c>
      <c r="D217" s="6">
        <v>217.0</v>
      </c>
      <c r="E217" s="7" t="s">
        <v>88</v>
      </c>
    </row>
    <row r="218">
      <c r="A218" s="4">
        <v>217.0</v>
      </c>
      <c r="B218" s="5" t="s">
        <v>1814</v>
      </c>
      <c r="C218" s="6" t="s">
        <v>1816</v>
      </c>
      <c r="D218" s="6">
        <v>218.0</v>
      </c>
      <c r="E218" s="7" t="s">
        <v>1817</v>
      </c>
    </row>
    <row r="219">
      <c r="A219" s="4">
        <v>218.0</v>
      </c>
      <c r="B219" s="5" t="s">
        <v>1818</v>
      </c>
      <c r="C219" s="6" t="s">
        <v>1386</v>
      </c>
      <c r="D219" s="6">
        <v>219.0</v>
      </c>
      <c r="E219" s="7" t="s">
        <v>88</v>
      </c>
    </row>
    <row r="220">
      <c r="A220" s="4">
        <v>219.0</v>
      </c>
      <c r="B220" s="5" t="s">
        <v>1821</v>
      </c>
      <c r="C220" s="6" t="s">
        <v>1598</v>
      </c>
      <c r="D220" s="6">
        <v>220.0</v>
      </c>
      <c r="E220" s="7" t="s">
        <v>88</v>
      </c>
    </row>
    <row r="221">
      <c r="A221" s="4">
        <v>220.0</v>
      </c>
      <c r="B221" s="5" t="s">
        <v>1824</v>
      </c>
      <c r="C221" s="6" t="s">
        <v>1825</v>
      </c>
      <c r="D221" s="6">
        <v>221.0</v>
      </c>
      <c r="E221" s="7" t="s">
        <v>88</v>
      </c>
    </row>
    <row r="222">
      <c r="A222" s="4">
        <v>221.0</v>
      </c>
      <c r="B222" s="5" t="s">
        <v>1826</v>
      </c>
      <c r="C222" s="6" t="s">
        <v>1494</v>
      </c>
      <c r="D222" s="6">
        <v>222.0</v>
      </c>
      <c r="E222" s="7" t="s">
        <v>1828</v>
      </c>
    </row>
    <row r="223">
      <c r="A223" s="4">
        <v>222.0</v>
      </c>
      <c r="B223" s="5" t="s">
        <v>1829</v>
      </c>
      <c r="C223" s="6" t="s">
        <v>1657</v>
      </c>
      <c r="D223" s="6">
        <v>223.0</v>
      </c>
      <c r="E223" s="7" t="s">
        <v>1831</v>
      </c>
    </row>
    <row r="224">
      <c r="A224" s="4">
        <v>223.0</v>
      </c>
      <c r="B224" s="5" t="s">
        <v>1832</v>
      </c>
      <c r="C224" s="6" t="s">
        <v>1574</v>
      </c>
      <c r="D224" s="6">
        <v>224.0</v>
      </c>
      <c r="E224" s="7" t="s">
        <v>1834</v>
      </c>
    </row>
    <row r="225">
      <c r="A225" s="4">
        <v>224.0</v>
      </c>
      <c r="B225" s="5" t="s">
        <v>1835</v>
      </c>
      <c r="C225" s="6" t="s">
        <v>1836</v>
      </c>
      <c r="D225" s="6">
        <v>225.0</v>
      </c>
      <c r="E225" s="7" t="s">
        <v>1837</v>
      </c>
    </row>
    <row r="226">
      <c r="A226" s="4">
        <v>225.0</v>
      </c>
      <c r="B226" s="5" t="s">
        <v>1838</v>
      </c>
      <c r="C226" s="6" t="s">
        <v>1565</v>
      </c>
      <c r="D226" s="6">
        <v>226.0</v>
      </c>
      <c r="E226" s="7" t="s">
        <v>88</v>
      </c>
    </row>
    <row r="227">
      <c r="A227" s="4">
        <v>226.0</v>
      </c>
      <c r="B227" s="5" t="s">
        <v>1840</v>
      </c>
      <c r="C227" s="6" t="s">
        <v>1523</v>
      </c>
      <c r="D227" s="6">
        <v>227.0</v>
      </c>
      <c r="E227" s="7" t="s">
        <v>1841</v>
      </c>
    </row>
    <row r="228">
      <c r="A228" s="4">
        <v>227.0</v>
      </c>
      <c r="B228" s="5" t="s">
        <v>1843</v>
      </c>
      <c r="C228" s="6" t="s">
        <v>1844</v>
      </c>
      <c r="D228" s="6">
        <v>228.0</v>
      </c>
      <c r="E228" s="7" t="s">
        <v>88</v>
      </c>
    </row>
    <row r="229">
      <c r="A229" s="4">
        <v>228.0</v>
      </c>
      <c r="B229" s="5" t="s">
        <v>1845</v>
      </c>
      <c r="C229" s="6" t="s">
        <v>1613</v>
      </c>
      <c r="D229" s="6">
        <v>229.0</v>
      </c>
      <c r="E229" s="7" t="s">
        <v>88</v>
      </c>
    </row>
    <row r="230">
      <c r="A230" s="4">
        <v>229.0</v>
      </c>
      <c r="B230" s="5" t="s">
        <v>1847</v>
      </c>
      <c r="C230" s="6" t="s">
        <v>1680</v>
      </c>
      <c r="D230" s="6">
        <v>230.0</v>
      </c>
      <c r="E230" s="7" t="s">
        <v>1850</v>
      </c>
    </row>
    <row r="231">
      <c r="A231" s="4">
        <v>230.0</v>
      </c>
      <c r="B231" s="5" t="s">
        <v>1851</v>
      </c>
      <c r="C231" s="6" t="s">
        <v>1848</v>
      </c>
      <c r="D231" s="6">
        <v>231.0</v>
      </c>
      <c r="E231" s="7" t="s">
        <v>1853</v>
      </c>
    </row>
    <row r="232">
      <c r="A232" s="4">
        <v>231.0</v>
      </c>
      <c r="B232" s="5" t="s">
        <v>1854</v>
      </c>
      <c r="C232" s="6" t="s">
        <v>1577</v>
      </c>
      <c r="D232" s="6">
        <v>232.0</v>
      </c>
      <c r="E232" s="7" t="s">
        <v>1855</v>
      </c>
    </row>
    <row r="233">
      <c r="A233" s="4">
        <v>232.0</v>
      </c>
      <c r="B233" s="5" t="s">
        <v>1857</v>
      </c>
      <c r="C233" s="6" t="s">
        <v>1819</v>
      </c>
      <c r="D233" s="6">
        <v>233.0</v>
      </c>
      <c r="E233" s="7" t="s">
        <v>88</v>
      </c>
    </row>
    <row r="234">
      <c r="A234" s="4">
        <v>233.0</v>
      </c>
      <c r="B234" s="5" t="s">
        <v>1858</v>
      </c>
      <c r="C234" s="6" t="s">
        <v>1860</v>
      </c>
      <c r="D234" s="6">
        <v>234.0</v>
      </c>
      <c r="E234" s="7" t="s">
        <v>88</v>
      </c>
    </row>
    <row r="235">
      <c r="A235" s="4">
        <v>234.0</v>
      </c>
      <c r="B235" s="5" t="s">
        <v>1861</v>
      </c>
      <c r="C235" s="6" t="s">
        <v>1489</v>
      </c>
      <c r="D235" s="6">
        <v>235.0</v>
      </c>
      <c r="E235" s="7" t="s">
        <v>1864</v>
      </c>
    </row>
    <row r="236">
      <c r="A236" s="4">
        <v>235.0</v>
      </c>
      <c r="B236" s="5" t="s">
        <v>1865</v>
      </c>
      <c r="C236" s="6" t="s">
        <v>1789</v>
      </c>
      <c r="D236" s="6">
        <v>236.0</v>
      </c>
      <c r="E236" s="7" t="s">
        <v>1867</v>
      </c>
    </row>
    <row r="237">
      <c r="A237" s="4">
        <v>236.0</v>
      </c>
      <c r="B237" s="5" t="s">
        <v>1868</v>
      </c>
      <c r="C237" s="6" t="s">
        <v>1870</v>
      </c>
      <c r="D237" s="6">
        <v>237.0</v>
      </c>
      <c r="E237" s="7" t="s">
        <v>88</v>
      </c>
    </row>
    <row r="238">
      <c r="A238" s="4">
        <v>237.0</v>
      </c>
      <c r="B238" s="5" t="s">
        <v>1871</v>
      </c>
      <c r="C238" s="6" t="s">
        <v>1645</v>
      </c>
      <c r="D238" s="6">
        <v>238.0</v>
      </c>
      <c r="E238" s="7" t="s">
        <v>88</v>
      </c>
    </row>
    <row r="239">
      <c r="A239" s="4">
        <v>238.0</v>
      </c>
      <c r="B239" s="5" t="s">
        <v>1873</v>
      </c>
      <c r="C239" s="6" t="s">
        <v>1874</v>
      </c>
      <c r="D239" s="6">
        <v>239.0</v>
      </c>
      <c r="E239" s="7" t="s">
        <v>88</v>
      </c>
    </row>
    <row r="240">
      <c r="A240" s="4">
        <v>239.0</v>
      </c>
      <c r="B240" s="5" t="s">
        <v>1876</v>
      </c>
      <c r="C240" s="6" t="s">
        <v>1878</v>
      </c>
      <c r="D240" s="6">
        <v>240.0</v>
      </c>
      <c r="E240" s="7" t="s">
        <v>88</v>
      </c>
    </row>
    <row r="241">
      <c r="A241" s="4">
        <v>240.0</v>
      </c>
      <c r="B241" s="5" t="s">
        <v>1879</v>
      </c>
      <c r="C241" s="6" t="s">
        <v>1543</v>
      </c>
      <c r="D241" s="6">
        <v>241.0</v>
      </c>
      <c r="E241" s="7" t="s">
        <v>1881</v>
      </c>
    </row>
    <row r="242">
      <c r="A242" s="4">
        <v>241.0</v>
      </c>
      <c r="B242" s="5" t="s">
        <v>1882</v>
      </c>
      <c r="C242" s="6" t="s">
        <v>1883</v>
      </c>
      <c r="D242" s="6">
        <v>242.0</v>
      </c>
      <c r="E242" s="7" t="s">
        <v>1885</v>
      </c>
    </row>
    <row r="243">
      <c r="A243" s="4">
        <v>242.0</v>
      </c>
      <c r="B243" s="5" t="s">
        <v>1886</v>
      </c>
      <c r="C243" s="6" t="s">
        <v>1595</v>
      </c>
      <c r="D243" s="6">
        <v>244.0</v>
      </c>
      <c r="E243" s="7" t="s">
        <v>88</v>
      </c>
    </row>
    <row r="244">
      <c r="A244" s="4">
        <v>243.0</v>
      </c>
      <c r="B244" s="5" t="s">
        <v>1889</v>
      </c>
      <c r="C244" s="6" t="s">
        <v>1891</v>
      </c>
      <c r="D244" s="6">
        <v>245.0</v>
      </c>
      <c r="E244" s="7" t="s">
        <v>88</v>
      </c>
    </row>
    <row r="245">
      <c r="A245" s="4">
        <v>244.0</v>
      </c>
      <c r="B245" s="5" t="s">
        <v>1893</v>
      </c>
      <c r="C245" s="6" t="s">
        <v>1894</v>
      </c>
      <c r="D245" s="6">
        <v>246.0</v>
      </c>
      <c r="E245" s="7" t="s">
        <v>88</v>
      </c>
    </row>
    <row r="246">
      <c r="A246" s="4">
        <v>245.0</v>
      </c>
      <c r="B246" s="5" t="s">
        <v>1896</v>
      </c>
      <c r="C246" s="6" t="s">
        <v>1898</v>
      </c>
      <c r="D246" s="6">
        <v>247.0</v>
      </c>
      <c r="E246" s="7" t="s">
        <v>88</v>
      </c>
    </row>
    <row r="247">
      <c r="A247" s="4">
        <v>246.0</v>
      </c>
      <c r="B247" s="5" t="s">
        <v>1899</v>
      </c>
      <c r="C247" s="6" t="s">
        <v>1673</v>
      </c>
      <c r="D247" s="6">
        <v>248.0</v>
      </c>
      <c r="E247" s="7" t="s">
        <v>88</v>
      </c>
    </row>
    <row r="248">
      <c r="A248" s="4">
        <v>247.0</v>
      </c>
      <c r="B248" s="5" t="s">
        <v>1902</v>
      </c>
      <c r="C248" s="6" t="s">
        <v>1905</v>
      </c>
      <c r="D248" s="6">
        <v>249.0</v>
      </c>
      <c r="E248" s="7" t="s">
        <v>88</v>
      </c>
    </row>
    <row r="249">
      <c r="A249" s="4">
        <v>248.0</v>
      </c>
      <c r="B249" s="5" t="s">
        <v>1906</v>
      </c>
      <c r="C249" s="6" t="s">
        <v>1909</v>
      </c>
      <c r="D249" s="6">
        <v>250.0</v>
      </c>
      <c r="E249" s="7" t="s">
        <v>88</v>
      </c>
    </row>
    <row r="250">
      <c r="A250" s="4">
        <v>249.0</v>
      </c>
      <c r="B250" s="5" t="s">
        <v>1910</v>
      </c>
      <c r="C250" s="6" t="s">
        <v>1911</v>
      </c>
      <c r="D250" s="6">
        <v>251.0</v>
      </c>
      <c r="E250" s="7" t="s">
        <v>88</v>
      </c>
    </row>
    <row r="251">
      <c r="A251" s="4">
        <v>250.0</v>
      </c>
      <c r="B251" s="5" t="s">
        <v>1913</v>
      </c>
      <c r="C251" s="6" t="s">
        <v>1660</v>
      </c>
      <c r="D251" s="6">
        <v>252.0</v>
      </c>
      <c r="E251" s="7" t="s">
        <v>1915</v>
      </c>
    </row>
    <row r="252">
      <c r="A252" s="4">
        <v>251.0</v>
      </c>
      <c r="B252" s="5" t="s">
        <v>1917</v>
      </c>
      <c r="C252" s="6" t="s">
        <v>1593</v>
      </c>
      <c r="D252" s="6">
        <v>253.0</v>
      </c>
      <c r="E252" s="7" t="s">
        <v>88</v>
      </c>
    </row>
    <row r="253">
      <c r="A253" s="4">
        <v>252.0</v>
      </c>
      <c r="B253" s="5" t="s">
        <v>1918</v>
      </c>
      <c r="C253" s="6" t="s">
        <v>1875</v>
      </c>
      <c r="D253" s="6">
        <v>254.0</v>
      </c>
      <c r="E253" s="7" t="s">
        <v>1921</v>
      </c>
    </row>
    <row r="254">
      <c r="A254" s="4">
        <v>253.0</v>
      </c>
      <c r="B254" s="5" t="s">
        <v>1922</v>
      </c>
      <c r="C254" s="6" t="s">
        <v>1516</v>
      </c>
      <c r="D254" s="6">
        <v>255.0</v>
      </c>
      <c r="E254" s="7" t="s">
        <v>1925</v>
      </c>
    </row>
    <row r="255">
      <c r="A255" s="4">
        <v>254.0</v>
      </c>
      <c r="B255" s="5" t="s">
        <v>1926</v>
      </c>
      <c r="C255" s="6" t="s">
        <v>1928</v>
      </c>
      <c r="D255" s="6">
        <v>256.0</v>
      </c>
      <c r="E255" s="7" t="s">
        <v>88</v>
      </c>
    </row>
    <row r="256">
      <c r="A256" s="4">
        <v>255.0</v>
      </c>
      <c r="B256" s="5" t="s">
        <v>1929</v>
      </c>
      <c r="C256" s="6" t="s">
        <v>1931</v>
      </c>
      <c r="D256" s="6">
        <v>257.0</v>
      </c>
      <c r="E256" s="7" t="s">
        <v>88</v>
      </c>
    </row>
    <row r="257">
      <c r="A257" s="4">
        <v>256.0</v>
      </c>
      <c r="B257" s="5" t="s">
        <v>1932</v>
      </c>
      <c r="C257" s="6" t="s">
        <v>1936</v>
      </c>
      <c r="D257" s="6">
        <v>258.0</v>
      </c>
      <c r="E257" s="7" t="s">
        <v>88</v>
      </c>
    </row>
    <row r="258">
      <c r="A258" s="4">
        <v>257.0</v>
      </c>
      <c r="B258" s="5" t="s">
        <v>1937</v>
      </c>
      <c r="C258" s="6" t="s">
        <v>1862</v>
      </c>
      <c r="D258" s="6">
        <v>259.0</v>
      </c>
      <c r="E258" s="7" t="s">
        <v>1938</v>
      </c>
    </row>
    <row r="259">
      <c r="A259" s="4">
        <v>258.0</v>
      </c>
      <c r="B259" s="5" t="s">
        <v>1941</v>
      </c>
      <c r="C259" s="6" t="s">
        <v>1811</v>
      </c>
      <c r="D259" s="6">
        <v>260.0</v>
      </c>
      <c r="E259" s="7" t="s">
        <v>88</v>
      </c>
    </row>
    <row r="260">
      <c r="A260" s="4">
        <v>259.0</v>
      </c>
      <c r="B260" s="5" t="s">
        <v>1942</v>
      </c>
      <c r="C260" s="6" t="s">
        <v>1571</v>
      </c>
      <c r="D260" s="6">
        <v>261.0</v>
      </c>
      <c r="E260" s="7" t="s">
        <v>1945</v>
      </c>
    </row>
    <row r="261">
      <c r="A261" s="4">
        <v>260.0</v>
      </c>
      <c r="B261" s="5" t="s">
        <v>1946</v>
      </c>
      <c r="C261" s="6" t="s">
        <v>1676</v>
      </c>
      <c r="D261" s="6">
        <v>262.0</v>
      </c>
      <c r="E261" s="7" t="s">
        <v>88</v>
      </c>
    </row>
    <row r="262">
      <c r="A262" s="4">
        <v>261.0</v>
      </c>
      <c r="B262" s="5" t="s">
        <v>1950</v>
      </c>
      <c r="C262" s="6" t="s">
        <v>1621</v>
      </c>
      <c r="D262" s="6">
        <v>263.0</v>
      </c>
      <c r="E262" s="7" t="s">
        <v>1954</v>
      </c>
    </row>
    <row r="263">
      <c r="A263" s="4">
        <v>262.0</v>
      </c>
      <c r="B263" s="5" t="s">
        <v>1955</v>
      </c>
      <c r="C263" s="6" t="s">
        <v>1957</v>
      </c>
      <c r="D263" s="6">
        <v>264.0</v>
      </c>
      <c r="E263" s="7" t="s">
        <v>88</v>
      </c>
    </row>
    <row r="264">
      <c r="A264" s="4">
        <v>263.0</v>
      </c>
      <c r="B264" s="5" t="s">
        <v>1958</v>
      </c>
      <c r="C264" s="6" t="s">
        <v>1951</v>
      </c>
      <c r="D264" s="6">
        <v>265.0</v>
      </c>
      <c r="E264" s="7" t="s">
        <v>88</v>
      </c>
    </row>
    <row r="265">
      <c r="A265" s="4">
        <v>264.0</v>
      </c>
      <c r="B265" s="5" t="s">
        <v>1961</v>
      </c>
      <c r="C265" s="6" t="s">
        <v>1888</v>
      </c>
      <c r="D265" s="6">
        <v>266.0</v>
      </c>
      <c r="E265" s="7" t="s">
        <v>88</v>
      </c>
    </row>
    <row r="266">
      <c r="A266" s="4">
        <v>265.0</v>
      </c>
      <c r="B266" s="5" t="s">
        <v>1964</v>
      </c>
      <c r="C266" s="6" t="s">
        <v>1965</v>
      </c>
      <c r="D266" s="6">
        <v>267.0</v>
      </c>
      <c r="E266" s="7" t="s">
        <v>88</v>
      </c>
    </row>
    <row r="267">
      <c r="A267" s="4">
        <v>266.0</v>
      </c>
      <c r="B267" s="5" t="s">
        <v>1967</v>
      </c>
      <c r="C267" s="6" t="s">
        <v>1670</v>
      </c>
      <c r="D267" s="6">
        <v>268.0</v>
      </c>
      <c r="E267" s="7" t="s">
        <v>88</v>
      </c>
    </row>
    <row r="268">
      <c r="A268" s="4">
        <v>267.0</v>
      </c>
      <c r="B268" s="5" t="s">
        <v>1970</v>
      </c>
      <c r="C268" s="6" t="s">
        <v>1972</v>
      </c>
      <c r="D268" s="6">
        <v>269.0</v>
      </c>
      <c r="E268" s="7" t="s">
        <v>88</v>
      </c>
    </row>
    <row r="269">
      <c r="A269" s="4">
        <v>268.0</v>
      </c>
      <c r="B269" s="5" t="s">
        <v>1973</v>
      </c>
      <c r="C269" s="6" t="s">
        <v>1694</v>
      </c>
      <c r="D269" s="6">
        <v>270.0</v>
      </c>
      <c r="E269" s="7" t="s">
        <v>1976</v>
      </c>
    </row>
    <row r="270">
      <c r="A270" s="4">
        <v>269.0</v>
      </c>
      <c r="B270" s="5" t="s">
        <v>1977</v>
      </c>
      <c r="C270" s="6" t="s">
        <v>1980</v>
      </c>
      <c r="D270" s="6">
        <v>271.0</v>
      </c>
      <c r="E270" s="7" t="s">
        <v>88</v>
      </c>
    </row>
    <row r="271">
      <c r="A271" s="4">
        <v>270.0</v>
      </c>
      <c r="B271" s="5" t="s">
        <v>1981</v>
      </c>
      <c r="C271" s="6" t="s">
        <v>1799</v>
      </c>
      <c r="D271" s="6">
        <v>272.0</v>
      </c>
      <c r="E271" s="7" t="s">
        <v>88</v>
      </c>
    </row>
    <row r="272">
      <c r="A272" s="4">
        <v>271.0</v>
      </c>
      <c r="B272" s="5" t="s">
        <v>1984</v>
      </c>
      <c r="C272" s="6" t="s">
        <v>1610</v>
      </c>
      <c r="D272" s="6">
        <v>273.0</v>
      </c>
      <c r="E272" s="7" t="s">
        <v>88</v>
      </c>
    </row>
    <row r="273">
      <c r="A273" s="4">
        <v>272.0</v>
      </c>
      <c r="B273" s="5" t="s">
        <v>1987</v>
      </c>
      <c r="C273" s="6" t="s">
        <v>1989</v>
      </c>
      <c r="D273" s="6">
        <v>274.0</v>
      </c>
      <c r="E273" s="7" t="s">
        <v>88</v>
      </c>
    </row>
    <row r="274">
      <c r="A274" s="4">
        <v>273.0</v>
      </c>
      <c r="B274" s="5" t="s">
        <v>1990</v>
      </c>
      <c r="C274" s="6" t="s">
        <v>1993</v>
      </c>
      <c r="D274" s="6">
        <v>275.0</v>
      </c>
      <c r="E274" s="7" t="s">
        <v>88</v>
      </c>
    </row>
    <row r="275">
      <c r="A275" s="4">
        <v>274.0</v>
      </c>
      <c r="B275" s="5" t="s">
        <v>1994</v>
      </c>
      <c r="C275" s="6" t="s">
        <v>1985</v>
      </c>
      <c r="D275" s="6">
        <v>276.0</v>
      </c>
      <c r="E275" s="7" t="s">
        <v>88</v>
      </c>
    </row>
    <row r="276">
      <c r="A276" s="4">
        <v>275.0</v>
      </c>
      <c r="B276" s="5" t="s">
        <v>1996</v>
      </c>
      <c r="C276" s="6" t="s">
        <v>1999</v>
      </c>
      <c r="D276" s="6">
        <v>277.0</v>
      </c>
      <c r="E276" s="7" t="s">
        <v>88</v>
      </c>
    </row>
    <row r="277">
      <c r="A277" s="4">
        <v>276.0</v>
      </c>
      <c r="B277" s="5" t="s">
        <v>2000</v>
      </c>
      <c r="C277" s="6" t="s">
        <v>2002</v>
      </c>
      <c r="D277" s="6">
        <v>278.0</v>
      </c>
      <c r="E277" s="7" t="s">
        <v>88</v>
      </c>
    </row>
    <row r="278">
      <c r="A278" s="4">
        <v>277.0</v>
      </c>
      <c r="B278" s="5" t="s">
        <v>2003</v>
      </c>
      <c r="C278" s="6" t="s">
        <v>2006</v>
      </c>
      <c r="D278" s="6">
        <v>279.0</v>
      </c>
      <c r="E278" s="7" t="s">
        <v>2007</v>
      </c>
    </row>
    <row r="279">
      <c r="A279" s="4">
        <v>278.0</v>
      </c>
      <c r="B279" s="5" t="s">
        <v>2008</v>
      </c>
      <c r="C279" s="6" t="s">
        <v>2010</v>
      </c>
      <c r="D279" s="6">
        <v>280.0</v>
      </c>
      <c r="E279" s="7" t="s">
        <v>88</v>
      </c>
    </row>
    <row r="280">
      <c r="A280" s="4">
        <v>279.0</v>
      </c>
      <c r="B280" s="5" t="s">
        <v>2011</v>
      </c>
      <c r="C280" s="6" t="s">
        <v>1651</v>
      </c>
      <c r="D280" s="6">
        <v>281.0</v>
      </c>
      <c r="E280" s="7" t="s">
        <v>88</v>
      </c>
    </row>
    <row r="281">
      <c r="A281" s="4">
        <v>280.0</v>
      </c>
      <c r="B281" s="5" t="s">
        <v>2014</v>
      </c>
      <c r="C281" s="6" t="s">
        <v>2016</v>
      </c>
      <c r="D281" s="6">
        <v>282.0</v>
      </c>
      <c r="E281" s="7" t="s">
        <v>88</v>
      </c>
    </row>
    <row r="282">
      <c r="A282" s="4">
        <v>281.0</v>
      </c>
      <c r="B282" s="5" t="s">
        <v>2017</v>
      </c>
      <c r="C282" s="6" t="s">
        <v>1616</v>
      </c>
      <c r="D282" s="6">
        <v>283.0</v>
      </c>
      <c r="E282" s="7" t="s">
        <v>88</v>
      </c>
    </row>
    <row r="283">
      <c r="A283" s="4">
        <v>282.0</v>
      </c>
      <c r="B283" s="5" t="s">
        <v>2019</v>
      </c>
      <c r="C283" s="6" t="s">
        <v>2022</v>
      </c>
      <c r="D283" s="6">
        <v>284.0</v>
      </c>
      <c r="E283" s="7" t="s">
        <v>2023</v>
      </c>
    </row>
    <row r="284">
      <c r="A284" s="4">
        <v>283.0</v>
      </c>
      <c r="B284" s="5" t="s">
        <v>2024</v>
      </c>
      <c r="C284" s="6" t="s">
        <v>1933</v>
      </c>
      <c r="D284" s="6">
        <v>285.0</v>
      </c>
      <c r="E284" s="7" t="s">
        <v>88</v>
      </c>
    </row>
    <row r="285">
      <c r="A285" s="4">
        <v>284.0</v>
      </c>
      <c r="B285" s="5" t="s">
        <v>2027</v>
      </c>
      <c r="C285" s="6" t="s">
        <v>1969</v>
      </c>
      <c r="D285" s="6">
        <v>286.0</v>
      </c>
      <c r="E285" s="7" t="s">
        <v>88</v>
      </c>
    </row>
    <row r="286">
      <c r="A286" s="4">
        <v>285.0</v>
      </c>
      <c r="B286" s="5" t="s">
        <v>2028</v>
      </c>
      <c r="C286" s="6" t="s">
        <v>1947</v>
      </c>
      <c r="D286" s="6">
        <v>287.0</v>
      </c>
      <c r="E286" s="7" t="s">
        <v>88</v>
      </c>
    </row>
    <row r="287">
      <c r="A287" s="4">
        <v>286.0</v>
      </c>
      <c r="B287" s="5" t="s">
        <v>2031</v>
      </c>
      <c r="C287" s="6" t="s">
        <v>1587</v>
      </c>
      <c r="D287" s="6">
        <v>288.0</v>
      </c>
      <c r="E287" s="7" t="s">
        <v>88</v>
      </c>
    </row>
    <row r="288">
      <c r="A288" s="4">
        <v>287.0</v>
      </c>
      <c r="B288" s="5" t="s">
        <v>2034</v>
      </c>
      <c r="C288" s="6" t="s">
        <v>1822</v>
      </c>
      <c r="D288" s="6">
        <v>289.0</v>
      </c>
      <c r="E288" s="7" t="s">
        <v>88</v>
      </c>
    </row>
    <row r="289">
      <c r="A289" s="4">
        <v>288.0</v>
      </c>
      <c r="B289" s="5" t="s">
        <v>2037</v>
      </c>
      <c r="C289" s="6" t="s">
        <v>1956</v>
      </c>
      <c r="D289" s="6">
        <v>290.0</v>
      </c>
      <c r="E289" s="7" t="s">
        <v>88</v>
      </c>
    </row>
    <row r="290">
      <c r="A290" s="4">
        <v>289.0</v>
      </c>
      <c r="B290" s="5" t="s">
        <v>2039</v>
      </c>
      <c r="C290" s="6" t="s">
        <v>2041</v>
      </c>
      <c r="D290" s="6">
        <v>291.0</v>
      </c>
      <c r="E290" s="7" t="s">
        <v>88</v>
      </c>
    </row>
    <row r="291">
      <c r="A291" s="4">
        <v>290.0</v>
      </c>
      <c r="B291" s="5" t="s">
        <v>2043</v>
      </c>
      <c r="C291" s="6" t="s">
        <v>2045</v>
      </c>
      <c r="D291" s="6">
        <v>292.0</v>
      </c>
      <c r="E291" s="7" t="s">
        <v>88</v>
      </c>
    </row>
    <row r="292">
      <c r="A292" s="4">
        <v>291.0</v>
      </c>
      <c r="B292" s="5" t="s">
        <v>2047</v>
      </c>
      <c r="C292" s="6" t="s">
        <v>2049</v>
      </c>
      <c r="D292" s="6">
        <v>293.0</v>
      </c>
      <c r="E292" s="7" t="s">
        <v>88</v>
      </c>
    </row>
    <row r="293">
      <c r="A293" s="4">
        <v>292.0</v>
      </c>
      <c r="B293" s="5" t="s">
        <v>2050</v>
      </c>
      <c r="C293" s="6" t="s">
        <v>2052</v>
      </c>
      <c r="D293" s="6">
        <v>294.0</v>
      </c>
      <c r="E293" s="7" t="s">
        <v>88</v>
      </c>
    </row>
    <row r="294">
      <c r="A294" s="4">
        <v>293.0</v>
      </c>
      <c r="B294" s="5" t="s">
        <v>2053</v>
      </c>
      <c r="C294" s="6" t="s">
        <v>2056</v>
      </c>
      <c r="D294" s="6">
        <v>295.0</v>
      </c>
      <c r="E294" s="7" t="s">
        <v>88</v>
      </c>
    </row>
    <row r="295">
      <c r="A295" s="4">
        <v>294.0</v>
      </c>
      <c r="B295" s="5" t="s">
        <v>2057</v>
      </c>
      <c r="C295" s="6" t="s">
        <v>2060</v>
      </c>
      <c r="D295" s="6">
        <v>296.0</v>
      </c>
      <c r="E295" s="7" t="s">
        <v>88</v>
      </c>
    </row>
    <row r="296">
      <c r="A296" s="4">
        <v>295.0</v>
      </c>
      <c r="B296" s="5" t="s">
        <v>2061</v>
      </c>
      <c r="C296" s="6" t="s">
        <v>2064</v>
      </c>
      <c r="D296" s="6">
        <v>297.0</v>
      </c>
      <c r="E296" s="7" t="s">
        <v>88</v>
      </c>
    </row>
    <row r="297">
      <c r="A297" s="4">
        <v>296.0</v>
      </c>
      <c r="B297" s="5" t="s">
        <v>2065</v>
      </c>
      <c r="C297" s="6" t="s">
        <v>2066</v>
      </c>
      <c r="D297" s="6">
        <v>298.0</v>
      </c>
      <c r="E297" s="7" t="s">
        <v>88</v>
      </c>
    </row>
    <row r="298">
      <c r="A298" s="4">
        <v>297.0</v>
      </c>
      <c r="B298" s="5" t="s">
        <v>2068</v>
      </c>
      <c r="C298" s="6" t="s">
        <v>2070</v>
      </c>
      <c r="D298" s="6">
        <v>299.0</v>
      </c>
      <c r="E298" s="7" t="s">
        <v>88</v>
      </c>
    </row>
    <row r="299">
      <c r="A299" s="4">
        <v>298.0</v>
      </c>
      <c r="B299" s="5" t="s">
        <v>2071</v>
      </c>
      <c r="C299" s="6" t="s">
        <v>2074</v>
      </c>
      <c r="D299" s="6">
        <v>300.0</v>
      </c>
      <c r="E299" s="7" t="s">
        <v>88</v>
      </c>
    </row>
    <row r="300">
      <c r="A300" s="4">
        <v>299.0</v>
      </c>
      <c r="B300" s="5" t="s">
        <v>2075</v>
      </c>
      <c r="C300" s="6" t="s">
        <v>2077</v>
      </c>
      <c r="D300" s="6">
        <v>301.0</v>
      </c>
      <c r="E300" s="7" t="s">
        <v>88</v>
      </c>
    </row>
    <row r="301">
      <c r="A301" s="4">
        <v>300.0</v>
      </c>
      <c r="B301" s="5" t="s">
        <v>2078</v>
      </c>
      <c r="C301" s="6" t="s">
        <v>2080</v>
      </c>
      <c r="D301" s="6">
        <v>302.0</v>
      </c>
      <c r="E301" s="7" t="s">
        <v>88</v>
      </c>
    </row>
    <row r="302">
      <c r="A302" s="4">
        <v>301.0</v>
      </c>
      <c r="B302" s="5" t="s">
        <v>2082</v>
      </c>
      <c r="C302" s="6" t="s">
        <v>2084</v>
      </c>
      <c r="D302" s="6">
        <v>303.0</v>
      </c>
      <c r="E302" s="7" t="s">
        <v>88</v>
      </c>
    </row>
    <row r="303">
      <c r="A303" s="4">
        <v>302.0</v>
      </c>
      <c r="B303" s="5" t="s">
        <v>2085</v>
      </c>
      <c r="C303" s="6" t="s">
        <v>2087</v>
      </c>
      <c r="D303" s="6">
        <v>304.0</v>
      </c>
      <c r="E303" s="7" t="s">
        <v>88</v>
      </c>
    </row>
    <row r="304">
      <c r="A304" s="4">
        <v>303.0</v>
      </c>
      <c r="B304" s="5" t="s">
        <v>2088</v>
      </c>
      <c r="C304" s="6" t="s">
        <v>2091</v>
      </c>
      <c r="D304" s="6">
        <v>305.0</v>
      </c>
      <c r="E304" s="7" t="s">
        <v>88</v>
      </c>
    </row>
    <row r="305">
      <c r="A305" s="4">
        <v>304.0</v>
      </c>
      <c r="B305" s="5" t="s">
        <v>2092</v>
      </c>
      <c r="C305" s="6" t="s">
        <v>2095</v>
      </c>
      <c r="D305" s="6">
        <v>306.0</v>
      </c>
      <c r="E305" s="7" t="s">
        <v>88</v>
      </c>
    </row>
    <row r="306">
      <c r="A306" s="4">
        <v>305.0</v>
      </c>
      <c r="B306" s="5" t="s">
        <v>2096</v>
      </c>
      <c r="C306" s="6" t="s">
        <v>2099</v>
      </c>
      <c r="D306" s="6">
        <v>307.0</v>
      </c>
      <c r="E306" s="7" t="s">
        <v>88</v>
      </c>
    </row>
    <row r="307">
      <c r="A307" s="4">
        <v>306.0</v>
      </c>
      <c r="B307" s="5" t="s">
        <v>2100</v>
      </c>
      <c r="C307" s="6" t="s">
        <v>2102</v>
      </c>
      <c r="D307" s="6">
        <v>308.0</v>
      </c>
      <c r="E307" s="7" t="s">
        <v>88</v>
      </c>
    </row>
    <row r="308">
      <c r="A308" s="4">
        <v>307.0</v>
      </c>
      <c r="B308" s="5" t="s">
        <v>2103</v>
      </c>
      <c r="C308" s="6" t="s">
        <v>2105</v>
      </c>
      <c r="D308" s="6">
        <v>309.0</v>
      </c>
      <c r="E308" s="7" t="s">
        <v>88</v>
      </c>
    </row>
    <row r="309">
      <c r="A309" s="4">
        <v>308.0</v>
      </c>
      <c r="B309" s="5" t="s">
        <v>2106</v>
      </c>
      <c r="C309" s="6" t="s">
        <v>2108</v>
      </c>
      <c r="D309" s="6">
        <v>310.0</v>
      </c>
      <c r="E309" s="7" t="s">
        <v>88</v>
      </c>
    </row>
    <row r="310">
      <c r="A310" s="4">
        <v>309.0</v>
      </c>
      <c r="B310" s="5" t="s">
        <v>2109</v>
      </c>
      <c r="C310" s="6" t="s">
        <v>2111</v>
      </c>
      <c r="D310" s="6">
        <v>311.0</v>
      </c>
      <c r="E310" s="7" t="s">
        <v>88</v>
      </c>
    </row>
    <row r="311">
      <c r="A311" s="4">
        <v>310.0</v>
      </c>
      <c r="B311" s="5" t="s">
        <v>2112</v>
      </c>
      <c r="C311" s="6" t="s">
        <v>2115</v>
      </c>
      <c r="D311" s="6">
        <v>313.0</v>
      </c>
      <c r="E311" s="7" t="s">
        <v>88</v>
      </c>
    </row>
    <row r="312">
      <c r="A312" s="4">
        <v>311.0</v>
      </c>
      <c r="B312" s="5" t="s">
        <v>2116</v>
      </c>
      <c r="C312" s="6" t="s">
        <v>2118</v>
      </c>
      <c r="D312" s="6">
        <v>315.0</v>
      </c>
      <c r="E312" s="7" t="s">
        <v>88</v>
      </c>
    </row>
    <row r="313">
      <c r="A313" s="4">
        <v>312.0</v>
      </c>
      <c r="B313" s="5" t="s">
        <v>2119</v>
      </c>
      <c r="C313" s="6" t="s">
        <v>2121</v>
      </c>
      <c r="D313" s="6">
        <v>316.0</v>
      </c>
      <c r="E313" s="7" t="s">
        <v>88</v>
      </c>
    </row>
    <row r="314">
      <c r="A314" s="4">
        <v>313.0</v>
      </c>
      <c r="B314" s="5" t="s">
        <v>2122</v>
      </c>
      <c r="C314" s="6" t="s">
        <v>2124</v>
      </c>
      <c r="D314" s="6">
        <v>317.0</v>
      </c>
      <c r="E314" s="7" t="s">
        <v>88</v>
      </c>
    </row>
    <row r="315">
      <c r="A315" s="4">
        <v>314.0</v>
      </c>
      <c r="B315" s="5" t="s">
        <v>2126</v>
      </c>
      <c r="C315" s="6" t="s">
        <v>2127</v>
      </c>
      <c r="D315" s="6">
        <v>318.0</v>
      </c>
      <c r="E315" s="7" t="s">
        <v>88</v>
      </c>
    </row>
    <row r="316">
      <c r="A316" s="4">
        <v>315.0</v>
      </c>
      <c r="B316" s="5" t="s">
        <v>2129</v>
      </c>
      <c r="C316" s="19" t="s">
        <v>2131</v>
      </c>
      <c r="D316" s="19">
        <v>319.0</v>
      </c>
      <c r="E316" s="4" t="s">
        <v>88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</hyperlinks>
  <drawing r:id="rId3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457</v>
      </c>
      <c r="B1" s="10" t="s">
        <v>458</v>
      </c>
      <c r="C1" s="11" t="s">
        <v>224</v>
      </c>
      <c r="D1" s="9" t="s">
        <v>459</v>
      </c>
      <c r="E1" s="9" t="s">
        <v>460</v>
      </c>
      <c r="F1" s="9" t="s">
        <v>461</v>
      </c>
    </row>
    <row r="2">
      <c r="A2" s="12">
        <v>1.0</v>
      </c>
      <c r="B2" s="13" t="s">
        <v>840</v>
      </c>
      <c r="C2" s="14">
        <v>1.0</v>
      </c>
      <c r="D2" s="12" t="s">
        <v>6</v>
      </c>
      <c r="E2" s="15">
        <f>+0</f>
        <v>0</v>
      </c>
      <c r="F2" s="16"/>
    </row>
    <row r="3">
      <c r="A3" s="12">
        <v>2.0</v>
      </c>
      <c r="B3" s="13" t="s">
        <v>841</v>
      </c>
      <c r="C3" s="14">
        <v>3.0</v>
      </c>
      <c r="D3" s="12" t="s">
        <v>9</v>
      </c>
      <c r="E3" s="18">
        <f>+1</f>
        <v>1</v>
      </c>
      <c r="F3" s="16"/>
    </row>
    <row r="4">
      <c r="A4" s="12">
        <v>3.0</v>
      </c>
      <c r="B4" s="13" t="s">
        <v>842</v>
      </c>
      <c r="C4" s="14">
        <v>2.0</v>
      </c>
      <c r="D4" s="12" t="s">
        <v>15</v>
      </c>
      <c r="E4" s="17">
        <v>-1.0</v>
      </c>
      <c r="F4" s="16"/>
    </row>
    <row r="5">
      <c r="A5" s="12">
        <v>4.0</v>
      </c>
      <c r="B5" s="13" t="s">
        <v>843</v>
      </c>
      <c r="C5" s="14">
        <v>7.0</v>
      </c>
      <c r="D5" s="12" t="s">
        <v>45</v>
      </c>
      <c r="E5" s="18">
        <f>+3</f>
        <v>3</v>
      </c>
      <c r="F5" s="16"/>
    </row>
    <row r="6">
      <c r="A6" s="12">
        <v>5.0</v>
      </c>
      <c r="B6" s="13" t="s">
        <v>844</v>
      </c>
      <c r="C6" s="14">
        <v>16.0</v>
      </c>
      <c r="D6" s="12" t="s">
        <v>60</v>
      </c>
      <c r="E6" s="18">
        <f>+11</f>
        <v>11</v>
      </c>
      <c r="F6" s="16"/>
    </row>
    <row r="7">
      <c r="A7" s="12">
        <v>6.0</v>
      </c>
      <c r="B7" s="13" t="s">
        <v>845</v>
      </c>
      <c r="C7" s="14">
        <v>20.0</v>
      </c>
      <c r="D7" s="12" t="s">
        <v>27</v>
      </c>
      <c r="E7" s="18">
        <f>+14</f>
        <v>14</v>
      </c>
      <c r="F7" s="16"/>
    </row>
    <row r="8">
      <c r="A8" s="12">
        <v>7.0</v>
      </c>
      <c r="B8" s="13" t="s">
        <v>846</v>
      </c>
      <c r="C8" s="14">
        <v>4.0</v>
      </c>
      <c r="D8" s="12" t="s">
        <v>36</v>
      </c>
      <c r="E8" s="17">
        <v>-3.0</v>
      </c>
      <c r="F8" s="16"/>
    </row>
    <row r="9">
      <c r="A9" s="12">
        <v>8.0</v>
      </c>
      <c r="B9" s="13" t="s">
        <v>847</v>
      </c>
      <c r="C9" s="14">
        <v>8.0</v>
      </c>
      <c r="D9" s="12" t="s">
        <v>18</v>
      </c>
      <c r="E9" s="15">
        <f>+0</f>
        <v>0</v>
      </c>
      <c r="F9" s="16"/>
    </row>
    <row r="10">
      <c r="A10" s="12">
        <v>9.0</v>
      </c>
      <c r="B10" s="13" t="s">
        <v>848</v>
      </c>
      <c r="C10" s="14">
        <v>13.0</v>
      </c>
      <c r="D10" s="12" t="s">
        <v>57</v>
      </c>
      <c r="E10" s="18">
        <f>+4</f>
        <v>4</v>
      </c>
      <c r="F10" s="16"/>
    </row>
    <row r="11">
      <c r="A11" s="12">
        <v>10.0</v>
      </c>
      <c r="B11" s="13" t="s">
        <v>849</v>
      </c>
      <c r="C11" s="14">
        <v>5.0</v>
      </c>
      <c r="D11" s="12" t="s">
        <v>12</v>
      </c>
      <c r="E11" s="17">
        <v>-5.0</v>
      </c>
      <c r="F11" s="16"/>
    </row>
    <row r="12">
      <c r="A12" s="12">
        <v>11.0</v>
      </c>
      <c r="B12" s="13" t="s">
        <v>850</v>
      </c>
      <c r="C12" s="14">
        <v>22.0</v>
      </c>
      <c r="D12" s="12" t="s">
        <v>39</v>
      </c>
      <c r="E12" s="18">
        <f>+11</f>
        <v>11</v>
      </c>
      <c r="F12" s="16"/>
    </row>
    <row r="13">
      <c r="A13" s="12">
        <v>12.0</v>
      </c>
      <c r="B13" s="13" t="s">
        <v>851</v>
      </c>
      <c r="C13" s="14">
        <v>14.0</v>
      </c>
      <c r="D13" s="12" t="s">
        <v>24</v>
      </c>
      <c r="E13" s="18">
        <f>+2</f>
        <v>2</v>
      </c>
      <c r="F13" s="16"/>
    </row>
    <row r="14">
      <c r="A14" s="12">
        <v>13.0</v>
      </c>
      <c r="B14" s="13" t="s">
        <v>852</v>
      </c>
      <c r="C14" s="14">
        <v>12.0</v>
      </c>
      <c r="D14" s="12" t="s">
        <v>21</v>
      </c>
      <c r="E14" s="17">
        <v>-1.0</v>
      </c>
      <c r="F14" s="16"/>
    </row>
    <row r="15">
      <c r="A15" s="12">
        <v>14.0</v>
      </c>
      <c r="B15" s="13" t="s">
        <v>853</v>
      </c>
      <c r="C15" s="14">
        <v>23.0</v>
      </c>
      <c r="D15" s="12" t="s">
        <v>42</v>
      </c>
      <c r="E15" s="18">
        <f>+9</f>
        <v>9</v>
      </c>
      <c r="F15" s="16"/>
    </row>
    <row r="16">
      <c r="A16" s="12">
        <v>15.0</v>
      </c>
      <c r="B16" s="13" t="s">
        <v>854</v>
      </c>
      <c r="C16" s="14">
        <v>10.0</v>
      </c>
      <c r="D16" s="12" t="s">
        <v>48</v>
      </c>
      <c r="E16" s="17">
        <v>-5.0</v>
      </c>
      <c r="F16" s="16"/>
    </row>
    <row r="17">
      <c r="A17" s="12">
        <v>16.0</v>
      </c>
      <c r="B17" s="13" t="s">
        <v>856</v>
      </c>
      <c r="C17" s="14">
        <v>31.0</v>
      </c>
      <c r="D17" s="12" t="s">
        <v>66</v>
      </c>
      <c r="E17" s="18">
        <f>+15</f>
        <v>15</v>
      </c>
      <c r="F17" s="16"/>
    </row>
    <row r="18">
      <c r="A18" s="12">
        <v>17.0</v>
      </c>
      <c r="B18" s="13" t="s">
        <v>859</v>
      </c>
      <c r="C18" s="14">
        <v>21.0</v>
      </c>
      <c r="D18" s="12" t="s">
        <v>75</v>
      </c>
      <c r="E18" s="18">
        <f>+4</f>
        <v>4</v>
      </c>
      <c r="F18" s="16"/>
    </row>
    <row r="19">
      <c r="A19" s="12">
        <v>18.0</v>
      </c>
      <c r="B19" s="13" t="s">
        <v>862</v>
      </c>
      <c r="C19" s="14">
        <v>30.0</v>
      </c>
      <c r="D19" s="12" t="s">
        <v>54</v>
      </c>
      <c r="E19" s="18">
        <f>+12</f>
        <v>12</v>
      </c>
      <c r="F19" s="16"/>
    </row>
    <row r="20">
      <c r="A20" s="12">
        <v>19.0</v>
      </c>
      <c r="B20" s="13" t="s">
        <v>867</v>
      </c>
      <c r="C20" s="14">
        <v>32.0</v>
      </c>
      <c r="D20" s="12" t="s">
        <v>121</v>
      </c>
      <c r="E20" s="18">
        <f>+13</f>
        <v>13</v>
      </c>
      <c r="F20" s="16"/>
    </row>
    <row r="21">
      <c r="A21" s="12">
        <v>20.0</v>
      </c>
      <c r="B21" s="13" t="s">
        <v>872</v>
      </c>
      <c r="C21" s="14">
        <v>25.0</v>
      </c>
      <c r="D21" s="12" t="s">
        <v>51</v>
      </c>
      <c r="E21" s="18">
        <f>+5</f>
        <v>5</v>
      </c>
      <c r="F21" s="16"/>
    </row>
    <row r="22">
      <c r="A22" s="12">
        <v>21.0</v>
      </c>
      <c r="B22" s="13" t="s">
        <v>875</v>
      </c>
      <c r="C22" s="14">
        <v>19.0</v>
      </c>
      <c r="D22" s="12" t="s">
        <v>63</v>
      </c>
      <c r="E22" s="17">
        <v>-2.0</v>
      </c>
      <c r="F22" s="16"/>
    </row>
    <row r="23">
      <c r="A23" s="12">
        <v>22.0</v>
      </c>
      <c r="B23" s="13" t="s">
        <v>878</v>
      </c>
      <c r="C23" s="14">
        <v>18.0</v>
      </c>
      <c r="D23" s="12" t="s">
        <v>30</v>
      </c>
      <c r="E23" s="17">
        <v>-4.0</v>
      </c>
      <c r="F23" s="16"/>
    </row>
    <row r="24">
      <c r="A24" s="12">
        <v>23.0</v>
      </c>
      <c r="B24" s="13" t="s">
        <v>881</v>
      </c>
      <c r="C24" s="14">
        <v>6.0</v>
      </c>
      <c r="D24" s="12" t="s">
        <v>33</v>
      </c>
      <c r="E24" s="17">
        <v>-17.0</v>
      </c>
      <c r="F24" s="16"/>
    </row>
    <row r="25">
      <c r="A25" s="12">
        <v>24.0</v>
      </c>
      <c r="B25" s="13" t="s">
        <v>884</v>
      </c>
      <c r="C25" s="14">
        <v>38.0</v>
      </c>
      <c r="D25" s="12" t="s">
        <v>135</v>
      </c>
      <c r="E25" s="18">
        <f>+14</f>
        <v>14</v>
      </c>
      <c r="F25" s="16"/>
    </row>
    <row r="26">
      <c r="A26" s="12">
        <v>25.0</v>
      </c>
      <c r="B26" s="13" t="s">
        <v>887</v>
      </c>
      <c r="C26" s="14">
        <v>24.0</v>
      </c>
      <c r="D26" s="12" t="s">
        <v>78</v>
      </c>
      <c r="E26" s="17">
        <v>-1.0</v>
      </c>
      <c r="F26" s="16"/>
    </row>
    <row r="27">
      <c r="A27" s="12">
        <v>26.0</v>
      </c>
      <c r="B27" s="13" t="s">
        <v>890</v>
      </c>
      <c r="C27" s="14">
        <v>40.0</v>
      </c>
      <c r="D27" s="12" t="s">
        <v>159</v>
      </c>
      <c r="E27" s="18">
        <f>+14</f>
        <v>14</v>
      </c>
      <c r="F27" s="16"/>
    </row>
    <row r="28">
      <c r="A28" s="12">
        <v>27.0</v>
      </c>
      <c r="B28" s="13" t="s">
        <v>893</v>
      </c>
      <c r="C28" s="14">
        <v>9.0</v>
      </c>
      <c r="D28" s="12" t="s">
        <v>90</v>
      </c>
      <c r="E28" s="17">
        <v>-18.0</v>
      </c>
      <c r="F28" s="16"/>
    </row>
    <row r="29">
      <c r="A29" s="12">
        <v>28.0</v>
      </c>
      <c r="B29" s="13" t="s">
        <v>897</v>
      </c>
      <c r="C29" s="14">
        <v>28.0</v>
      </c>
      <c r="D29" s="12" t="s">
        <v>103</v>
      </c>
      <c r="E29" s="15">
        <f t="shared" ref="E29:E30" si="1">+0</f>
        <v>0</v>
      </c>
      <c r="F29" s="16"/>
    </row>
    <row r="30">
      <c r="A30" s="12">
        <v>29.0</v>
      </c>
      <c r="B30" s="13" t="s">
        <v>901</v>
      </c>
      <c r="C30" s="14">
        <v>29.0</v>
      </c>
      <c r="D30" s="12" t="s">
        <v>119</v>
      </c>
      <c r="E30" s="15">
        <f t="shared" si="1"/>
        <v>0</v>
      </c>
      <c r="F30" s="16"/>
    </row>
    <row r="31">
      <c r="A31" s="12">
        <v>30.0</v>
      </c>
      <c r="B31" s="13" t="s">
        <v>904</v>
      </c>
      <c r="C31" s="14">
        <v>69.0</v>
      </c>
      <c r="D31" s="12" t="s">
        <v>137</v>
      </c>
      <c r="E31" s="18">
        <f>+39</f>
        <v>39</v>
      </c>
      <c r="F31" s="16"/>
    </row>
    <row r="32">
      <c r="A32" s="12">
        <v>31.0</v>
      </c>
      <c r="B32" s="13" t="s">
        <v>908</v>
      </c>
      <c r="C32" s="14">
        <v>35.0</v>
      </c>
      <c r="D32" s="12" t="s">
        <v>72</v>
      </c>
      <c r="E32" s="18">
        <f>+4</f>
        <v>4</v>
      </c>
      <c r="F32" s="16"/>
    </row>
    <row r="33">
      <c r="A33" s="12">
        <v>32.0</v>
      </c>
      <c r="B33" s="13" t="s">
        <v>912</v>
      </c>
      <c r="C33" s="14">
        <v>33.0</v>
      </c>
      <c r="D33" s="12" t="s">
        <v>129</v>
      </c>
      <c r="E33" s="18">
        <f>+1</f>
        <v>1</v>
      </c>
      <c r="F33" s="16"/>
    </row>
    <row r="34">
      <c r="A34" s="12">
        <v>33.0</v>
      </c>
      <c r="B34" s="13" t="s">
        <v>915</v>
      </c>
      <c r="C34" s="14">
        <v>51.0</v>
      </c>
      <c r="D34" s="12" t="s">
        <v>107</v>
      </c>
      <c r="E34" s="18">
        <f>+18</f>
        <v>18</v>
      </c>
      <c r="F34" s="16"/>
    </row>
    <row r="35">
      <c r="A35" s="12">
        <v>34.0</v>
      </c>
      <c r="B35" s="13" t="s">
        <v>920</v>
      </c>
      <c r="C35" s="14">
        <v>62.0</v>
      </c>
      <c r="D35" s="12" t="s">
        <v>115</v>
      </c>
      <c r="E35" s="18">
        <f>+28</f>
        <v>28</v>
      </c>
      <c r="F35" s="16"/>
    </row>
    <row r="36">
      <c r="A36" s="12">
        <v>35.0</v>
      </c>
      <c r="B36" s="13" t="s">
        <v>923</v>
      </c>
      <c r="C36" s="14">
        <v>76.0</v>
      </c>
      <c r="D36" s="12" t="s">
        <v>153</v>
      </c>
      <c r="E36" s="18">
        <f>+41</f>
        <v>41</v>
      </c>
      <c r="F36" s="16"/>
    </row>
    <row r="37">
      <c r="A37" s="12">
        <v>36.0</v>
      </c>
      <c r="B37" s="13" t="s">
        <v>926</v>
      </c>
      <c r="C37" s="14">
        <v>15.0</v>
      </c>
      <c r="D37" s="12" t="s">
        <v>123</v>
      </c>
      <c r="E37" s="17">
        <v>-21.0</v>
      </c>
      <c r="F37" s="16"/>
    </row>
    <row r="38">
      <c r="A38" s="12">
        <v>37.0</v>
      </c>
      <c r="B38" s="13" t="s">
        <v>929</v>
      </c>
      <c r="C38" s="14">
        <v>66.0</v>
      </c>
      <c r="D38" s="12" t="s">
        <v>127</v>
      </c>
      <c r="E38" s="18">
        <f>+29</f>
        <v>29</v>
      </c>
      <c r="F38" s="16"/>
    </row>
    <row r="39">
      <c r="A39" s="12">
        <v>39.0</v>
      </c>
      <c r="B39" s="13" t="s">
        <v>934</v>
      </c>
      <c r="C39" s="14">
        <v>48.0</v>
      </c>
      <c r="D39" s="12" t="s">
        <v>199</v>
      </c>
      <c r="E39" s="18">
        <f>+9</f>
        <v>9</v>
      </c>
      <c r="F39" s="16"/>
    </row>
    <row r="40">
      <c r="A40" s="12">
        <v>40.0</v>
      </c>
      <c r="B40" s="13" t="s">
        <v>937</v>
      </c>
      <c r="C40" s="14">
        <v>46.0</v>
      </c>
      <c r="D40" s="12" t="s">
        <v>96</v>
      </c>
      <c r="E40" s="18">
        <f>+6</f>
        <v>6</v>
      </c>
      <c r="F40" s="16"/>
    </row>
    <row r="41">
      <c r="A41" s="12">
        <v>41.0</v>
      </c>
      <c r="B41" s="13" t="s">
        <v>940</v>
      </c>
      <c r="C41" s="14">
        <v>59.0</v>
      </c>
      <c r="D41" s="12" t="s">
        <v>113</v>
      </c>
      <c r="E41" s="18">
        <f>+18</f>
        <v>18</v>
      </c>
      <c r="F41" s="16"/>
    </row>
    <row r="42">
      <c r="A42" s="12">
        <v>43.0</v>
      </c>
      <c r="B42" s="13" t="s">
        <v>944</v>
      </c>
      <c r="C42" s="14">
        <v>34.0</v>
      </c>
      <c r="D42" s="12" t="s">
        <v>69</v>
      </c>
      <c r="E42" s="17">
        <v>-9.0</v>
      </c>
      <c r="F42" s="16"/>
    </row>
    <row r="43">
      <c r="A43" s="12">
        <v>44.0</v>
      </c>
      <c r="B43" s="13" t="s">
        <v>948</v>
      </c>
      <c r="C43" s="14">
        <v>77.0</v>
      </c>
      <c r="D43" s="12" t="s">
        <v>157</v>
      </c>
      <c r="E43" s="18">
        <f>+33</f>
        <v>33</v>
      </c>
      <c r="F43" s="16"/>
    </row>
    <row r="44">
      <c r="A44" s="12">
        <v>45.0</v>
      </c>
      <c r="B44" s="13" t="s">
        <v>951</v>
      </c>
      <c r="C44" s="14">
        <v>43.0</v>
      </c>
      <c r="D44" s="12" t="s">
        <v>87</v>
      </c>
      <c r="E44" s="17">
        <v>-2.0</v>
      </c>
      <c r="F44" s="16"/>
    </row>
    <row r="45">
      <c r="A45" s="12">
        <v>46.0</v>
      </c>
      <c r="B45" s="13" t="s">
        <v>954</v>
      </c>
      <c r="C45" s="14">
        <v>41.0</v>
      </c>
      <c r="D45" s="12" t="s">
        <v>84</v>
      </c>
      <c r="E45" s="17">
        <v>-5.0</v>
      </c>
      <c r="F45" s="16"/>
    </row>
    <row r="46">
      <c r="A46" s="12">
        <v>47.0</v>
      </c>
      <c r="B46" s="13" t="s">
        <v>957</v>
      </c>
      <c r="C46" s="14">
        <v>37.0</v>
      </c>
      <c r="D46" s="12" t="s">
        <v>131</v>
      </c>
      <c r="E46" s="17">
        <v>-10.0</v>
      </c>
      <c r="F46" s="16"/>
    </row>
    <row r="47">
      <c r="A47" s="12">
        <v>48.0</v>
      </c>
      <c r="B47" s="13" t="s">
        <v>962</v>
      </c>
      <c r="C47" s="14">
        <v>45.0</v>
      </c>
      <c r="D47" s="12" t="s">
        <v>161</v>
      </c>
      <c r="E47" s="17">
        <v>-3.0</v>
      </c>
      <c r="F47" s="16"/>
    </row>
    <row r="48">
      <c r="A48" s="12">
        <v>49.0</v>
      </c>
      <c r="B48" s="13" t="s">
        <v>965</v>
      </c>
      <c r="C48" s="14">
        <v>27.0</v>
      </c>
      <c r="D48" s="12" t="s">
        <v>92</v>
      </c>
      <c r="E48" s="17">
        <v>-22.0</v>
      </c>
      <c r="F48" s="16"/>
    </row>
    <row r="49">
      <c r="A49" s="12">
        <v>50.0</v>
      </c>
      <c r="B49" s="13" t="s">
        <v>968</v>
      </c>
      <c r="C49" s="14">
        <v>39.0</v>
      </c>
      <c r="D49" s="12" t="s">
        <v>81</v>
      </c>
      <c r="E49" s="17">
        <v>-11.0</v>
      </c>
      <c r="F49" s="16"/>
    </row>
    <row r="50">
      <c r="A50" s="12">
        <v>51.0</v>
      </c>
      <c r="B50" s="13" t="s">
        <v>973</v>
      </c>
      <c r="C50" s="14">
        <v>72.0</v>
      </c>
      <c r="D50" s="12" t="s">
        <v>139</v>
      </c>
      <c r="E50" s="18">
        <f>+21</f>
        <v>21</v>
      </c>
      <c r="F50" s="16"/>
    </row>
    <row r="51">
      <c r="A51" s="12">
        <v>52.0</v>
      </c>
      <c r="B51" s="13" t="s">
        <v>977</v>
      </c>
      <c r="C51" s="14">
        <v>67.0</v>
      </c>
      <c r="D51" s="12" t="s">
        <v>239</v>
      </c>
      <c r="E51" s="18">
        <f>+15</f>
        <v>15</v>
      </c>
      <c r="F51" s="16"/>
    </row>
    <row r="52">
      <c r="A52" s="12">
        <v>53.0</v>
      </c>
      <c r="B52" s="13" t="s">
        <v>980</v>
      </c>
      <c r="C52" s="14">
        <v>47.0</v>
      </c>
      <c r="D52" s="12" t="s">
        <v>98</v>
      </c>
      <c r="E52" s="17">
        <v>-6.0</v>
      </c>
      <c r="F52" s="16"/>
    </row>
    <row r="53">
      <c r="A53" s="12">
        <v>54.0</v>
      </c>
      <c r="B53" s="13" t="s">
        <v>983</v>
      </c>
      <c r="C53" s="14">
        <v>36.0</v>
      </c>
      <c r="D53" s="12" t="s">
        <v>105</v>
      </c>
      <c r="E53" s="17">
        <v>-18.0</v>
      </c>
      <c r="F53" s="16"/>
    </row>
    <row r="54">
      <c r="A54" s="12">
        <v>55.0</v>
      </c>
      <c r="B54" s="13" t="s">
        <v>986</v>
      </c>
      <c r="C54" s="14">
        <v>86.0</v>
      </c>
      <c r="D54" s="12" t="s">
        <v>191</v>
      </c>
      <c r="E54" s="18">
        <f>+31</f>
        <v>31</v>
      </c>
      <c r="F54" s="16"/>
    </row>
    <row r="55">
      <c r="A55" s="12">
        <v>56.0</v>
      </c>
      <c r="B55" s="13" t="s">
        <v>990</v>
      </c>
      <c r="C55" s="14">
        <v>57.0</v>
      </c>
      <c r="D55" s="12" t="s">
        <v>117</v>
      </c>
      <c r="E55" s="18">
        <f>+1</f>
        <v>1</v>
      </c>
      <c r="F55" s="16"/>
    </row>
    <row r="56">
      <c r="A56" s="12">
        <v>57.0</v>
      </c>
      <c r="B56" s="13" t="s">
        <v>994</v>
      </c>
      <c r="C56" s="14">
        <v>42.0</v>
      </c>
      <c r="D56" s="12" t="s">
        <v>109</v>
      </c>
      <c r="E56" s="17">
        <v>-15.0</v>
      </c>
      <c r="F56" s="16"/>
    </row>
    <row r="57">
      <c r="A57" s="12">
        <v>58.0</v>
      </c>
      <c r="B57" s="13" t="s">
        <v>997</v>
      </c>
      <c r="C57" s="14">
        <v>17.0</v>
      </c>
      <c r="D57" s="12" t="s">
        <v>133</v>
      </c>
      <c r="E57" s="17">
        <v>-41.0</v>
      </c>
      <c r="F57" s="16"/>
    </row>
    <row r="58">
      <c r="A58" s="12">
        <v>59.0</v>
      </c>
      <c r="B58" s="13" t="s">
        <v>1000</v>
      </c>
      <c r="C58" s="14">
        <v>49.0</v>
      </c>
      <c r="D58" s="12" t="s">
        <v>101</v>
      </c>
      <c r="E58" s="17">
        <v>-10.0</v>
      </c>
      <c r="F58" s="16"/>
    </row>
    <row r="59">
      <c r="A59" s="12">
        <v>61.0</v>
      </c>
      <c r="B59" s="13" t="s">
        <v>1003</v>
      </c>
      <c r="C59" s="14">
        <v>63.0</v>
      </c>
      <c r="D59" s="12" t="s">
        <v>230</v>
      </c>
      <c r="E59" s="18">
        <f>+2</f>
        <v>2</v>
      </c>
      <c r="F59" s="16"/>
    </row>
    <row r="60">
      <c r="A60" s="12">
        <v>63.0</v>
      </c>
      <c r="B60" s="13" t="s">
        <v>1006</v>
      </c>
      <c r="C60" s="14">
        <v>11.0</v>
      </c>
      <c r="D60" s="12" t="s">
        <v>94</v>
      </c>
      <c r="E60" s="17">
        <v>-52.0</v>
      </c>
      <c r="F60" s="16"/>
    </row>
    <row r="61">
      <c r="A61" s="12">
        <v>64.0</v>
      </c>
      <c r="B61" s="13" t="s">
        <v>1010</v>
      </c>
      <c r="C61" s="14">
        <v>80.0</v>
      </c>
      <c r="D61" s="12" t="s">
        <v>175</v>
      </c>
      <c r="E61" s="18">
        <f>+16</f>
        <v>16</v>
      </c>
      <c r="F61" s="16"/>
    </row>
    <row r="62">
      <c r="A62" s="12">
        <v>65.0</v>
      </c>
      <c r="B62" s="13" t="s">
        <v>1014</v>
      </c>
      <c r="C62" s="14">
        <v>64.0</v>
      </c>
      <c r="D62" s="12" t="s">
        <v>125</v>
      </c>
      <c r="E62" s="17">
        <v>-1.0</v>
      </c>
      <c r="F62" s="16"/>
    </row>
    <row r="63">
      <c r="A63" s="12">
        <v>67.0</v>
      </c>
      <c r="B63" s="13" t="s">
        <v>1017</v>
      </c>
      <c r="C63" s="14">
        <v>52.0</v>
      </c>
      <c r="D63" s="12" t="s">
        <v>149</v>
      </c>
      <c r="E63" s="17">
        <v>-15.0</v>
      </c>
      <c r="F63" s="16"/>
    </row>
    <row r="64">
      <c r="A64" s="12">
        <v>68.0</v>
      </c>
      <c r="B64" s="13" t="s">
        <v>1020</v>
      </c>
      <c r="C64" s="14">
        <v>44.0</v>
      </c>
      <c r="D64" s="12" t="s">
        <v>145</v>
      </c>
      <c r="E64" s="17">
        <v>-24.0</v>
      </c>
      <c r="F64" s="16"/>
    </row>
    <row r="65">
      <c r="A65" s="12">
        <v>69.0</v>
      </c>
      <c r="B65" s="13" t="s">
        <v>1024</v>
      </c>
      <c r="C65" s="14">
        <v>104.0</v>
      </c>
      <c r="D65" s="12" t="s">
        <v>273</v>
      </c>
      <c r="E65" s="18">
        <f>+35</f>
        <v>35</v>
      </c>
      <c r="F65" s="16"/>
    </row>
    <row r="66">
      <c r="A66" s="12">
        <v>71.0</v>
      </c>
      <c r="B66" s="13" t="s">
        <v>1028</v>
      </c>
      <c r="C66" s="14">
        <v>56.0</v>
      </c>
      <c r="D66" s="12" t="s">
        <v>209</v>
      </c>
      <c r="E66" s="17">
        <v>-15.0</v>
      </c>
      <c r="F66" s="16"/>
    </row>
    <row r="67">
      <c r="A67" s="12">
        <v>72.0</v>
      </c>
      <c r="B67" s="13" t="s">
        <v>1031</v>
      </c>
      <c r="C67" s="14">
        <v>85.0</v>
      </c>
      <c r="D67" s="12" t="s">
        <v>189</v>
      </c>
      <c r="E67" s="18">
        <f>+13</f>
        <v>13</v>
      </c>
      <c r="F67" s="16"/>
    </row>
    <row r="68">
      <c r="A68" s="12">
        <v>73.0</v>
      </c>
      <c r="B68" s="13" t="s">
        <v>1036</v>
      </c>
      <c r="C68" s="14">
        <v>98.0</v>
      </c>
      <c r="D68" s="12" t="s">
        <v>261</v>
      </c>
      <c r="E68" s="18">
        <f>+25</f>
        <v>25</v>
      </c>
      <c r="F68" s="16"/>
    </row>
    <row r="69">
      <c r="A69" s="12">
        <v>74.0</v>
      </c>
      <c r="B69" s="13" t="s">
        <v>1039</v>
      </c>
      <c r="C69" s="14">
        <v>74.0</v>
      </c>
      <c r="D69" s="12" t="s">
        <v>147</v>
      </c>
      <c r="E69" s="15">
        <f>+0</f>
        <v>0</v>
      </c>
      <c r="F69" s="16"/>
    </row>
    <row r="70">
      <c r="A70" s="12">
        <v>76.0</v>
      </c>
      <c r="B70" s="13" t="s">
        <v>1042</v>
      </c>
      <c r="C70" s="14">
        <v>58.0</v>
      </c>
      <c r="D70" s="12" t="s">
        <v>111</v>
      </c>
      <c r="E70" s="17">
        <v>-18.0</v>
      </c>
      <c r="F70" s="16"/>
    </row>
    <row r="71">
      <c r="A71" s="12">
        <v>77.0</v>
      </c>
      <c r="B71" s="13" t="s">
        <v>1045</v>
      </c>
      <c r="C71" s="14">
        <v>53.0</v>
      </c>
      <c r="D71" s="12" t="s">
        <v>193</v>
      </c>
      <c r="E71" s="17">
        <v>-24.0</v>
      </c>
      <c r="F71" s="16"/>
    </row>
    <row r="72">
      <c r="A72" s="12">
        <v>78.0</v>
      </c>
      <c r="B72" s="13" t="s">
        <v>1048</v>
      </c>
      <c r="C72" s="14">
        <v>26.0</v>
      </c>
      <c r="D72" s="12" t="s">
        <v>141</v>
      </c>
      <c r="E72" s="17">
        <v>-52.0</v>
      </c>
      <c r="F72" s="16"/>
    </row>
    <row r="73">
      <c r="A73" s="12">
        <v>81.0</v>
      </c>
      <c r="B73" s="13" t="s">
        <v>1051</v>
      </c>
      <c r="C73" s="14">
        <v>115.0</v>
      </c>
      <c r="D73" s="12" t="s">
        <v>367</v>
      </c>
      <c r="E73" s="18">
        <f>+34</f>
        <v>34</v>
      </c>
      <c r="F73" s="16"/>
    </row>
    <row r="74">
      <c r="A74" s="12">
        <v>82.0</v>
      </c>
      <c r="B74" s="13" t="s">
        <v>1056</v>
      </c>
      <c r="C74" s="14">
        <v>87.0</v>
      </c>
      <c r="D74" s="12" t="s">
        <v>203</v>
      </c>
      <c r="E74" s="18">
        <f>+5</f>
        <v>5</v>
      </c>
      <c r="F74" s="16"/>
    </row>
    <row r="75">
      <c r="A75" s="12">
        <v>83.0</v>
      </c>
      <c r="B75" s="13" t="s">
        <v>1059</v>
      </c>
      <c r="C75" s="14">
        <v>68.0</v>
      </c>
      <c r="D75" s="12" t="s">
        <v>143</v>
      </c>
      <c r="E75" s="17">
        <v>-15.0</v>
      </c>
      <c r="F75" s="16"/>
    </row>
    <row r="76">
      <c r="A76" s="12">
        <v>84.0</v>
      </c>
      <c r="B76" s="13" t="s">
        <v>1064</v>
      </c>
      <c r="C76" s="14">
        <v>81.0</v>
      </c>
      <c r="D76" s="12" t="s">
        <v>177</v>
      </c>
      <c r="E76" s="17">
        <v>-3.0</v>
      </c>
      <c r="F76" s="16"/>
    </row>
    <row r="77">
      <c r="A77" s="12">
        <v>85.0</v>
      </c>
      <c r="B77" s="13" t="s">
        <v>1068</v>
      </c>
      <c r="C77" s="14">
        <v>119.0</v>
      </c>
      <c r="D77" s="12" t="s">
        <v>378</v>
      </c>
      <c r="E77" s="18">
        <f>+34</f>
        <v>34</v>
      </c>
      <c r="F77" s="16"/>
    </row>
    <row r="78">
      <c r="A78" s="12">
        <v>86.0</v>
      </c>
      <c r="B78" s="13" t="s">
        <v>1072</v>
      </c>
      <c r="C78" s="14">
        <v>50.0</v>
      </c>
      <c r="D78" s="12" t="s">
        <v>201</v>
      </c>
      <c r="E78" s="17">
        <v>-36.0</v>
      </c>
      <c r="F78" s="16"/>
    </row>
    <row r="79">
      <c r="A79" s="12">
        <v>89.0</v>
      </c>
      <c r="B79" s="13" t="s">
        <v>1075</v>
      </c>
      <c r="C79" s="14">
        <v>128.0</v>
      </c>
      <c r="D79" s="12" t="s">
        <v>401</v>
      </c>
      <c r="E79" s="18">
        <f>+39</f>
        <v>39</v>
      </c>
      <c r="F79" s="16"/>
    </row>
    <row r="80">
      <c r="A80" s="12">
        <v>90.0</v>
      </c>
      <c r="B80" s="13" t="s">
        <v>1080</v>
      </c>
      <c r="C80" s="14">
        <v>103.0</v>
      </c>
      <c r="D80" s="12" t="s">
        <v>269</v>
      </c>
      <c r="E80" s="18">
        <f>+13</f>
        <v>13</v>
      </c>
      <c r="F80" s="16"/>
    </row>
    <row r="81">
      <c r="A81" s="12">
        <v>91.0</v>
      </c>
      <c r="B81" s="13" t="s">
        <v>1085</v>
      </c>
      <c r="C81" s="14">
        <v>82.0</v>
      </c>
      <c r="D81" s="12" t="s">
        <v>181</v>
      </c>
      <c r="E81" s="17">
        <v>-9.0</v>
      </c>
      <c r="F81" s="16"/>
    </row>
    <row r="82">
      <c r="A82" s="12">
        <v>92.0</v>
      </c>
      <c r="B82" s="13" t="s">
        <v>1090</v>
      </c>
      <c r="C82" s="14">
        <v>65.0</v>
      </c>
      <c r="D82" s="12" t="s">
        <v>222</v>
      </c>
      <c r="E82" s="17">
        <v>-27.0</v>
      </c>
      <c r="F82" s="16"/>
    </row>
    <row r="83">
      <c r="A83" s="12">
        <v>93.0</v>
      </c>
      <c r="B83" s="13" t="s">
        <v>1093</v>
      </c>
      <c r="C83" s="14">
        <v>110.0</v>
      </c>
      <c r="D83" s="12" t="s">
        <v>356</v>
      </c>
      <c r="E83" s="18">
        <f>+17</f>
        <v>17</v>
      </c>
      <c r="F83" s="16"/>
    </row>
    <row r="84">
      <c r="A84" s="12">
        <v>94.0</v>
      </c>
      <c r="B84" s="13" t="s">
        <v>1098</v>
      </c>
      <c r="C84" s="14">
        <v>97.0</v>
      </c>
      <c r="D84" s="12" t="s">
        <v>215</v>
      </c>
      <c r="E84" s="18">
        <f>+3</f>
        <v>3</v>
      </c>
      <c r="F84" s="16"/>
    </row>
    <row r="85">
      <c r="A85" s="12">
        <v>95.0</v>
      </c>
      <c r="B85" s="13" t="s">
        <v>1103</v>
      </c>
      <c r="C85" s="14">
        <v>94.0</v>
      </c>
      <c r="D85" s="12" t="s">
        <v>163</v>
      </c>
      <c r="E85" s="17">
        <v>-1.0</v>
      </c>
      <c r="F85" s="16"/>
    </row>
    <row r="86">
      <c r="A86" s="12">
        <v>97.0</v>
      </c>
      <c r="B86" s="13" t="s">
        <v>1109</v>
      </c>
      <c r="C86" s="14">
        <v>54.0</v>
      </c>
      <c r="D86" s="12" t="s">
        <v>207</v>
      </c>
      <c r="E86" s="17">
        <v>-43.0</v>
      </c>
      <c r="F86" s="16"/>
    </row>
    <row r="87">
      <c r="A87" s="12">
        <v>99.0</v>
      </c>
      <c r="B87" s="13" t="s">
        <v>1114</v>
      </c>
      <c r="C87" s="14">
        <v>120.0</v>
      </c>
      <c r="D87" s="12" t="s">
        <v>384</v>
      </c>
      <c r="E87" s="18">
        <f>+21</f>
        <v>21</v>
      </c>
      <c r="F87" s="16"/>
    </row>
    <row r="88">
      <c r="A88" s="12">
        <v>102.0</v>
      </c>
      <c r="B88" s="13" t="s">
        <v>1120</v>
      </c>
      <c r="C88" s="14">
        <v>83.0</v>
      </c>
      <c r="D88" s="12" t="s">
        <v>183</v>
      </c>
      <c r="E88" s="17">
        <v>-19.0</v>
      </c>
      <c r="F88" s="16"/>
    </row>
    <row r="89">
      <c r="A89" s="12">
        <v>103.0</v>
      </c>
      <c r="B89" s="13" t="s">
        <v>1124</v>
      </c>
      <c r="C89" s="14">
        <v>118.0</v>
      </c>
      <c r="D89" s="12" t="s">
        <v>373</v>
      </c>
      <c r="E89" s="18">
        <f>+15</f>
        <v>15</v>
      </c>
      <c r="F89" s="16"/>
    </row>
    <row r="90">
      <c r="A90" s="12">
        <v>104.0</v>
      </c>
      <c r="B90" s="13" t="s">
        <v>1130</v>
      </c>
      <c r="C90" s="14">
        <v>111.0</v>
      </c>
      <c r="D90" s="12" t="s">
        <v>363</v>
      </c>
      <c r="E90" s="18">
        <f>+7</f>
        <v>7</v>
      </c>
      <c r="F90" s="16"/>
    </row>
    <row r="91">
      <c r="A91" s="12">
        <v>108.0</v>
      </c>
      <c r="B91" s="13" t="s">
        <v>1135</v>
      </c>
      <c r="C91" s="14">
        <v>133.0</v>
      </c>
      <c r="D91" s="12" t="s">
        <v>411</v>
      </c>
      <c r="E91" s="18">
        <f>+25</f>
        <v>25</v>
      </c>
      <c r="F91" s="16"/>
    </row>
    <row r="92">
      <c r="A92" s="12">
        <v>109.0</v>
      </c>
      <c r="B92" s="13" t="s">
        <v>1142</v>
      </c>
      <c r="C92" s="14">
        <v>75.0</v>
      </c>
      <c r="D92" s="12" t="s">
        <v>280</v>
      </c>
      <c r="E92" s="17">
        <v>-34.0</v>
      </c>
      <c r="F92" s="16"/>
    </row>
    <row r="93">
      <c r="A93" s="12">
        <v>110.0</v>
      </c>
      <c r="B93" s="13" t="s">
        <v>1147</v>
      </c>
      <c r="C93" s="14">
        <v>132.0</v>
      </c>
      <c r="D93" s="12" t="s">
        <v>405</v>
      </c>
      <c r="E93" s="18">
        <f>+22</f>
        <v>22</v>
      </c>
      <c r="F93" s="16"/>
    </row>
    <row r="94">
      <c r="A94" s="12">
        <v>111.0</v>
      </c>
      <c r="B94" s="13" t="s">
        <v>1153</v>
      </c>
      <c r="C94" s="14">
        <v>70.0</v>
      </c>
      <c r="D94" s="12" t="s">
        <v>249</v>
      </c>
      <c r="E94" s="17">
        <v>-41.0</v>
      </c>
      <c r="F94" s="16"/>
    </row>
    <row r="95">
      <c r="A95" s="12">
        <v>112.0</v>
      </c>
      <c r="B95" s="13" t="s">
        <v>1157</v>
      </c>
      <c r="C95" s="14">
        <v>55.0</v>
      </c>
      <c r="D95" s="12" t="s">
        <v>195</v>
      </c>
      <c r="E95" s="17">
        <v>-57.0</v>
      </c>
      <c r="F95" s="16"/>
    </row>
    <row r="96">
      <c r="A96" s="12">
        <v>113.0</v>
      </c>
      <c r="B96" s="13" t="s">
        <v>1161</v>
      </c>
      <c r="C96" s="14">
        <v>79.0</v>
      </c>
      <c r="D96" s="12" t="s">
        <v>151</v>
      </c>
      <c r="E96" s="17">
        <v>-34.0</v>
      </c>
      <c r="F96" s="16"/>
    </row>
    <row r="97">
      <c r="A97" s="12">
        <v>114.0</v>
      </c>
      <c r="B97" s="13" t="s">
        <v>1166</v>
      </c>
      <c r="C97" s="14">
        <v>109.0</v>
      </c>
      <c r="D97" s="12" t="s">
        <v>173</v>
      </c>
      <c r="E97" s="17">
        <v>-5.0</v>
      </c>
      <c r="F97" s="16"/>
    </row>
    <row r="98">
      <c r="A98" s="12">
        <v>115.0</v>
      </c>
      <c r="B98" s="13" t="s">
        <v>1172</v>
      </c>
      <c r="C98" s="14">
        <v>78.0</v>
      </c>
      <c r="D98" s="12" t="s">
        <v>300</v>
      </c>
      <c r="E98" s="17">
        <v>-37.0</v>
      </c>
      <c r="F98" s="16"/>
    </row>
    <row r="99">
      <c r="A99" s="12">
        <v>116.0</v>
      </c>
      <c r="B99" s="13" t="s">
        <v>1178</v>
      </c>
      <c r="C99" s="14">
        <v>127.0</v>
      </c>
      <c r="D99" s="12" t="s">
        <v>394</v>
      </c>
      <c r="E99" s="18">
        <f>+11</f>
        <v>11</v>
      </c>
      <c r="F99" s="16"/>
    </row>
    <row r="100">
      <c r="A100" s="12">
        <v>117.0</v>
      </c>
      <c r="B100" s="13" t="s">
        <v>1183</v>
      </c>
      <c r="C100" s="14">
        <v>91.0</v>
      </c>
      <c r="D100" s="12" t="s">
        <v>155</v>
      </c>
      <c r="E100" s="17">
        <v>-26.0</v>
      </c>
      <c r="F100" s="16"/>
    </row>
    <row r="101">
      <c r="A101" s="12">
        <v>119.0</v>
      </c>
      <c r="B101" s="13" t="s">
        <v>1187</v>
      </c>
      <c r="C101" s="14">
        <v>107.0</v>
      </c>
      <c r="D101" s="12" t="s">
        <v>171</v>
      </c>
      <c r="E101" s="17">
        <v>-12.0</v>
      </c>
      <c r="F101" s="16"/>
    </row>
    <row r="102">
      <c r="A102" s="12">
        <v>120.0</v>
      </c>
      <c r="B102" s="13" t="s">
        <v>1192</v>
      </c>
      <c r="C102" s="14">
        <v>71.0</v>
      </c>
      <c r="D102" s="12" t="s">
        <v>255</v>
      </c>
      <c r="E102" s="17">
        <v>-49.0</v>
      </c>
      <c r="F102" s="16"/>
    </row>
    <row r="103">
      <c r="A103" s="12">
        <v>121.0</v>
      </c>
      <c r="B103" s="13" t="s">
        <v>1197</v>
      </c>
      <c r="C103" s="14">
        <v>100.0</v>
      </c>
      <c r="D103" s="12" t="s">
        <v>165</v>
      </c>
      <c r="E103" s="17">
        <v>-21.0</v>
      </c>
      <c r="F103" s="16"/>
    </row>
    <row r="104">
      <c r="A104" s="12">
        <v>122.0</v>
      </c>
      <c r="B104" s="13" t="s">
        <v>1203</v>
      </c>
      <c r="C104" s="14">
        <v>60.0</v>
      </c>
      <c r="D104" s="12" t="s">
        <v>197</v>
      </c>
      <c r="E104" s="17">
        <v>-62.0</v>
      </c>
      <c r="F104" s="16"/>
    </row>
    <row r="105">
      <c r="A105" s="12">
        <v>124.0</v>
      </c>
      <c r="B105" s="13" t="s">
        <v>1207</v>
      </c>
      <c r="C105" s="14">
        <v>166.0</v>
      </c>
      <c r="D105" s="12" t="s">
        <v>1213</v>
      </c>
      <c r="E105" s="18">
        <f>+42</f>
        <v>42</v>
      </c>
      <c r="F105" s="16"/>
    </row>
    <row r="106">
      <c r="A106" s="12">
        <v>125.0</v>
      </c>
      <c r="B106" s="13" t="s">
        <v>1216</v>
      </c>
      <c r="C106" s="14">
        <v>140.0</v>
      </c>
      <c r="D106" s="12" t="s">
        <v>1208</v>
      </c>
      <c r="E106" s="18">
        <f>+15</f>
        <v>15</v>
      </c>
      <c r="F106" s="16"/>
    </row>
    <row r="107">
      <c r="A107" s="12">
        <v>127.0</v>
      </c>
      <c r="B107" s="13" t="s">
        <v>1222</v>
      </c>
      <c r="C107" s="14">
        <v>105.0</v>
      </c>
      <c r="D107" s="12" t="s">
        <v>311</v>
      </c>
      <c r="E107" s="17">
        <v>-22.0</v>
      </c>
      <c r="F107" s="16"/>
    </row>
    <row r="108">
      <c r="A108" s="12">
        <v>128.0</v>
      </c>
      <c r="B108" s="13" t="s">
        <v>1228</v>
      </c>
      <c r="C108" s="14">
        <v>212.0</v>
      </c>
      <c r="D108" s="12" t="s">
        <v>1232</v>
      </c>
      <c r="E108" s="18">
        <f>+84</f>
        <v>84</v>
      </c>
      <c r="F108" s="16"/>
    </row>
    <row r="109">
      <c r="A109" s="12">
        <v>129.0</v>
      </c>
      <c r="B109" s="13" t="s">
        <v>1234</v>
      </c>
      <c r="C109" s="14">
        <v>143.0</v>
      </c>
      <c r="D109" s="12" t="s">
        <v>1235</v>
      </c>
      <c r="E109" s="18">
        <f>+14</f>
        <v>14</v>
      </c>
      <c r="F109" s="16"/>
    </row>
    <row r="110">
      <c r="A110" s="12">
        <v>130.0</v>
      </c>
      <c r="B110" s="13" t="s">
        <v>1242</v>
      </c>
      <c r="C110" s="14">
        <v>139.0</v>
      </c>
      <c r="D110" s="12" t="s">
        <v>1246</v>
      </c>
      <c r="E110" s="18">
        <f>+9</f>
        <v>9</v>
      </c>
      <c r="F110" s="16"/>
    </row>
    <row r="111">
      <c r="A111" s="12">
        <v>131.0</v>
      </c>
      <c r="B111" s="13" t="s">
        <v>1249</v>
      </c>
      <c r="C111" s="14">
        <v>108.0</v>
      </c>
      <c r="D111" s="12" t="s">
        <v>1167</v>
      </c>
      <c r="E111" s="17">
        <v>-23.0</v>
      </c>
      <c r="F111" s="16"/>
    </row>
    <row r="112">
      <c r="A112" s="12">
        <v>133.0</v>
      </c>
      <c r="B112" s="13" t="s">
        <v>1255</v>
      </c>
      <c r="C112" s="14">
        <v>123.0</v>
      </c>
      <c r="D112" s="12" t="s">
        <v>179</v>
      </c>
      <c r="E112" s="17">
        <v>-10.0</v>
      </c>
      <c r="F112" s="16"/>
    </row>
    <row r="113">
      <c r="A113" s="12">
        <v>134.0</v>
      </c>
      <c r="B113" s="13" t="s">
        <v>1261</v>
      </c>
      <c r="C113" s="14">
        <v>145.0</v>
      </c>
      <c r="D113" s="12" t="s">
        <v>1251</v>
      </c>
      <c r="E113" s="18">
        <f>+11</f>
        <v>11</v>
      </c>
      <c r="F113" s="16"/>
    </row>
    <row r="114">
      <c r="A114" s="12">
        <v>135.0</v>
      </c>
      <c r="B114" s="13" t="s">
        <v>1265</v>
      </c>
      <c r="C114" s="14">
        <v>188.0</v>
      </c>
      <c r="D114" s="12" t="s">
        <v>1271</v>
      </c>
      <c r="E114" s="18">
        <f>+53</f>
        <v>53</v>
      </c>
      <c r="F114" s="16"/>
    </row>
    <row r="115">
      <c r="A115" s="12">
        <v>136.0</v>
      </c>
      <c r="B115" s="13" t="s">
        <v>1275</v>
      </c>
      <c r="C115" s="14">
        <v>73.0</v>
      </c>
      <c r="D115" s="12" t="s">
        <v>294</v>
      </c>
      <c r="E115" s="17">
        <v>-63.0</v>
      </c>
      <c r="F115" s="16"/>
    </row>
    <row r="116">
      <c r="A116" s="12">
        <v>137.0</v>
      </c>
      <c r="B116" s="13" t="s">
        <v>1281</v>
      </c>
      <c r="C116" s="14">
        <v>147.0</v>
      </c>
      <c r="D116" s="12" t="s">
        <v>219</v>
      </c>
      <c r="E116" s="18">
        <f>+10</f>
        <v>10</v>
      </c>
      <c r="F116" s="16"/>
    </row>
    <row r="117">
      <c r="A117" s="12">
        <v>140.0</v>
      </c>
      <c r="B117" s="13" t="s">
        <v>1287</v>
      </c>
      <c r="C117" s="14">
        <v>99.0</v>
      </c>
      <c r="D117" s="12" t="s">
        <v>1126</v>
      </c>
      <c r="E117" s="17">
        <v>-41.0</v>
      </c>
      <c r="F117" s="16"/>
    </row>
    <row r="118">
      <c r="A118" s="12">
        <v>141.0</v>
      </c>
      <c r="B118" s="13" t="s">
        <v>1293</v>
      </c>
      <c r="C118" s="14">
        <v>92.0</v>
      </c>
      <c r="D118" s="12" t="s">
        <v>211</v>
      </c>
      <c r="E118" s="17">
        <v>-49.0</v>
      </c>
      <c r="F118" s="16"/>
    </row>
    <row r="119">
      <c r="A119" s="12">
        <v>142.0</v>
      </c>
      <c r="B119" s="13" t="s">
        <v>1298</v>
      </c>
      <c r="C119" s="14">
        <v>141.0</v>
      </c>
      <c r="D119" s="12" t="s">
        <v>187</v>
      </c>
      <c r="E119" s="17">
        <v>-1.0</v>
      </c>
      <c r="F119" s="16"/>
    </row>
    <row r="120">
      <c r="A120" s="12">
        <v>143.0</v>
      </c>
      <c r="B120" s="13" t="s">
        <v>1303</v>
      </c>
      <c r="C120" s="14">
        <v>114.0</v>
      </c>
      <c r="D120" s="12" t="s">
        <v>325</v>
      </c>
      <c r="E120" s="17">
        <v>-29.0</v>
      </c>
      <c r="F120" s="16"/>
    </row>
    <row r="121">
      <c r="A121" s="12">
        <v>145.0</v>
      </c>
      <c r="B121" s="13" t="s">
        <v>1306</v>
      </c>
      <c r="C121" s="14">
        <v>135.0</v>
      </c>
      <c r="D121" s="12" t="s">
        <v>416</v>
      </c>
      <c r="E121" s="17">
        <v>-10.0</v>
      </c>
      <c r="F121" s="16"/>
    </row>
    <row r="122">
      <c r="A122" s="12">
        <v>146.0</v>
      </c>
      <c r="B122" s="13" t="s">
        <v>1312</v>
      </c>
      <c r="C122" s="14">
        <v>137.0</v>
      </c>
      <c r="D122" s="12" t="s">
        <v>1204</v>
      </c>
      <c r="E122" s="17">
        <v>-9.0</v>
      </c>
      <c r="F122" s="16"/>
    </row>
    <row r="123">
      <c r="A123" s="12">
        <v>148.0</v>
      </c>
      <c r="B123" s="13" t="s">
        <v>1319</v>
      </c>
      <c r="C123" s="14">
        <v>156.0</v>
      </c>
      <c r="D123" s="12" t="s">
        <v>463</v>
      </c>
      <c r="E123" s="18">
        <f>+8</f>
        <v>8</v>
      </c>
      <c r="F123" s="16"/>
    </row>
    <row r="124">
      <c r="A124" s="12">
        <v>149.0</v>
      </c>
      <c r="B124" s="13" t="s">
        <v>1324</v>
      </c>
      <c r="C124" s="14">
        <v>205.0</v>
      </c>
      <c r="D124" s="12" t="s">
        <v>1329</v>
      </c>
      <c r="E124" s="18">
        <f>+56</f>
        <v>56</v>
      </c>
      <c r="F124" s="16"/>
    </row>
    <row r="125">
      <c r="A125" s="12">
        <v>150.0</v>
      </c>
      <c r="B125" s="13" t="s">
        <v>1331</v>
      </c>
      <c r="C125" s="14">
        <v>117.0</v>
      </c>
      <c r="D125" s="12" t="s">
        <v>1239</v>
      </c>
      <c r="E125" s="17">
        <v>-33.0</v>
      </c>
      <c r="F125" s="16"/>
    </row>
    <row r="126">
      <c r="A126" s="12">
        <v>151.0</v>
      </c>
      <c r="B126" s="13" t="s">
        <v>1337</v>
      </c>
      <c r="C126" s="14">
        <v>201.0</v>
      </c>
      <c r="D126" s="12" t="s">
        <v>1342</v>
      </c>
      <c r="E126" s="18">
        <f>+50</f>
        <v>50</v>
      </c>
      <c r="F126" s="16"/>
    </row>
    <row r="127">
      <c r="A127" s="12">
        <v>154.0</v>
      </c>
      <c r="B127" s="13" t="s">
        <v>1346</v>
      </c>
      <c r="C127" s="14">
        <v>90.0</v>
      </c>
      <c r="D127" s="12" t="s">
        <v>351</v>
      </c>
      <c r="E127" s="17">
        <v>-64.0</v>
      </c>
      <c r="F127" s="16"/>
    </row>
    <row r="128">
      <c r="A128" s="12">
        <v>155.0</v>
      </c>
      <c r="B128" s="13" t="s">
        <v>1350</v>
      </c>
      <c r="C128" s="14">
        <v>101.0</v>
      </c>
      <c r="D128" s="12" t="s">
        <v>169</v>
      </c>
      <c r="E128" s="17">
        <v>-54.0</v>
      </c>
      <c r="F128" s="16"/>
    </row>
    <row r="129">
      <c r="A129" s="12">
        <v>156.0</v>
      </c>
      <c r="B129" s="13" t="s">
        <v>1356</v>
      </c>
      <c r="C129" s="14">
        <v>61.0</v>
      </c>
      <c r="D129" s="12" t="s">
        <v>213</v>
      </c>
      <c r="E129" s="17">
        <v>-95.0</v>
      </c>
      <c r="F129" s="16"/>
    </row>
    <row r="130">
      <c r="A130" s="12">
        <v>157.0</v>
      </c>
      <c r="B130" s="13" t="s">
        <v>1360</v>
      </c>
      <c r="C130" s="14">
        <v>138.0</v>
      </c>
      <c r="D130" s="12" t="s">
        <v>1333</v>
      </c>
      <c r="E130" s="17">
        <v>-19.0</v>
      </c>
      <c r="F130" s="16"/>
    </row>
    <row r="131">
      <c r="A131" s="12">
        <v>158.0</v>
      </c>
      <c r="B131" s="13" t="s">
        <v>1365</v>
      </c>
      <c r="C131" s="14">
        <v>106.0</v>
      </c>
      <c r="D131" s="12" t="s">
        <v>334</v>
      </c>
      <c r="E131" s="17">
        <v>-52.0</v>
      </c>
      <c r="F131" s="16"/>
    </row>
    <row r="132">
      <c r="A132" s="12">
        <v>159.0</v>
      </c>
      <c r="B132" s="13" t="s">
        <v>1371</v>
      </c>
      <c r="C132" s="14">
        <v>161.0</v>
      </c>
      <c r="D132" s="12" t="s">
        <v>1343</v>
      </c>
      <c r="E132" s="18">
        <f>+2</f>
        <v>2</v>
      </c>
      <c r="F132" s="16"/>
    </row>
    <row r="133">
      <c r="A133" s="12">
        <v>160.0</v>
      </c>
      <c r="B133" s="13" t="s">
        <v>1377</v>
      </c>
      <c r="C133" s="14">
        <v>126.0</v>
      </c>
      <c r="D133" s="12" t="s">
        <v>1267</v>
      </c>
      <c r="E133" s="17">
        <v>-34.0</v>
      </c>
      <c r="F133" s="16"/>
    </row>
    <row r="134">
      <c r="A134" s="12">
        <v>163.0</v>
      </c>
      <c r="B134" s="13" t="s">
        <v>1381</v>
      </c>
      <c r="C134" s="14">
        <v>220.0</v>
      </c>
      <c r="D134" s="12" t="s">
        <v>1386</v>
      </c>
      <c r="E134" s="18">
        <f>+57</f>
        <v>57</v>
      </c>
      <c r="F134" s="16"/>
    </row>
    <row r="135">
      <c r="A135" s="12">
        <v>164.0</v>
      </c>
      <c r="B135" s="13" t="s">
        <v>1387</v>
      </c>
      <c r="C135" s="14">
        <v>151.0</v>
      </c>
      <c r="D135" s="12" t="s">
        <v>307</v>
      </c>
      <c r="E135" s="17">
        <v>-13.0</v>
      </c>
      <c r="F135" s="16"/>
    </row>
    <row r="136">
      <c r="A136" s="12">
        <v>165.0</v>
      </c>
      <c r="B136" s="13" t="s">
        <v>1392</v>
      </c>
      <c r="C136" s="14">
        <v>159.0</v>
      </c>
      <c r="D136" s="12" t="s">
        <v>1352</v>
      </c>
      <c r="E136" s="17">
        <v>-6.0</v>
      </c>
      <c r="F136" s="16"/>
    </row>
    <row r="137">
      <c r="A137" s="12">
        <v>166.0</v>
      </c>
      <c r="B137" s="13" t="s">
        <v>1399</v>
      </c>
      <c r="C137" s="14">
        <v>89.0</v>
      </c>
      <c r="D137" s="12" t="s">
        <v>205</v>
      </c>
      <c r="E137" s="17">
        <v>-77.0</v>
      </c>
      <c r="F137" s="16"/>
    </row>
    <row r="138">
      <c r="A138" s="12">
        <v>167.0</v>
      </c>
      <c r="B138" s="13" t="s">
        <v>1406</v>
      </c>
      <c r="C138" s="14">
        <v>136.0</v>
      </c>
      <c r="D138" s="12" t="s">
        <v>1193</v>
      </c>
      <c r="E138" s="17">
        <v>-31.0</v>
      </c>
      <c r="F138" s="16"/>
    </row>
    <row r="139">
      <c r="A139" s="12">
        <v>168.0</v>
      </c>
      <c r="B139" s="13" t="s">
        <v>1410</v>
      </c>
      <c r="C139" s="14">
        <v>165.0</v>
      </c>
      <c r="D139" s="12" t="s">
        <v>467</v>
      </c>
      <c r="E139" s="17">
        <v>-3.0</v>
      </c>
      <c r="F139" s="16"/>
    </row>
    <row r="140">
      <c r="A140" s="12">
        <v>169.0</v>
      </c>
      <c r="B140" s="13" t="s">
        <v>1416</v>
      </c>
      <c r="C140" s="14">
        <v>154.0</v>
      </c>
      <c r="D140" s="12" t="s">
        <v>1288</v>
      </c>
      <c r="E140" s="17">
        <v>-15.0</v>
      </c>
      <c r="F140" s="16"/>
    </row>
    <row r="141">
      <c r="A141" s="12">
        <v>170.0</v>
      </c>
      <c r="B141" s="13" t="s">
        <v>1421</v>
      </c>
      <c r="C141" s="14">
        <v>174.0</v>
      </c>
      <c r="D141" s="12" t="s">
        <v>475</v>
      </c>
      <c r="E141" s="18">
        <f>+4</f>
        <v>4</v>
      </c>
      <c r="F141" s="16"/>
    </row>
    <row r="142">
      <c r="A142" s="12">
        <v>171.0</v>
      </c>
      <c r="B142" s="13" t="s">
        <v>1441</v>
      </c>
      <c r="C142" s="14">
        <v>88.0</v>
      </c>
      <c r="D142" s="12" t="s">
        <v>345</v>
      </c>
      <c r="E142" s="17">
        <v>-83.0</v>
      </c>
      <c r="F142" s="16"/>
    </row>
    <row r="143">
      <c r="A143" s="12">
        <v>172.0</v>
      </c>
      <c r="B143" s="13" t="s">
        <v>1449</v>
      </c>
      <c r="C143" s="14">
        <v>142.0</v>
      </c>
      <c r="D143" s="12" t="s">
        <v>217</v>
      </c>
      <c r="E143" s="17">
        <v>-30.0</v>
      </c>
      <c r="F143" s="16"/>
    </row>
    <row r="144">
      <c r="A144" s="12">
        <v>175.0</v>
      </c>
      <c r="B144" s="13" t="s">
        <v>1456</v>
      </c>
      <c r="C144" s="14">
        <v>164.0</v>
      </c>
      <c r="D144" s="12" t="s">
        <v>465</v>
      </c>
      <c r="E144" s="17">
        <v>-11.0</v>
      </c>
      <c r="F144" s="16"/>
    </row>
    <row r="145">
      <c r="A145" s="12">
        <v>176.0</v>
      </c>
      <c r="B145" s="13" t="s">
        <v>1462</v>
      </c>
      <c r="C145" s="14">
        <v>102.0</v>
      </c>
      <c r="D145" s="12" t="s">
        <v>1148</v>
      </c>
      <c r="E145" s="17">
        <v>-74.0</v>
      </c>
      <c r="F145" s="16"/>
    </row>
    <row r="146">
      <c r="A146" s="12">
        <v>177.0</v>
      </c>
      <c r="B146" s="13" t="s">
        <v>1467</v>
      </c>
      <c r="C146" s="14">
        <v>96.0</v>
      </c>
      <c r="D146" s="12" t="s">
        <v>319</v>
      </c>
      <c r="E146" s="17">
        <v>-81.0</v>
      </c>
      <c r="F146" s="16"/>
    </row>
    <row r="147">
      <c r="A147" s="12">
        <v>178.0</v>
      </c>
      <c r="B147" s="13" t="s">
        <v>1469</v>
      </c>
      <c r="C147" s="14">
        <v>84.0</v>
      </c>
      <c r="D147" s="12" t="s">
        <v>338</v>
      </c>
      <c r="E147" s="17">
        <v>-94.0</v>
      </c>
      <c r="F147" s="16"/>
    </row>
    <row r="148">
      <c r="A148" s="12">
        <v>179.0</v>
      </c>
      <c r="B148" s="13" t="s">
        <v>1471</v>
      </c>
      <c r="C148" s="14">
        <v>177.0</v>
      </c>
      <c r="D148" s="12" t="s">
        <v>477</v>
      </c>
      <c r="E148" s="17">
        <v>-2.0</v>
      </c>
      <c r="F148" s="16"/>
    </row>
    <row r="149">
      <c r="A149" s="12">
        <v>180.0</v>
      </c>
      <c r="B149" s="13" t="s">
        <v>1474</v>
      </c>
      <c r="C149" s="14">
        <v>125.0</v>
      </c>
      <c r="D149" s="12" t="s">
        <v>427</v>
      </c>
      <c r="E149" s="17">
        <v>-55.0</v>
      </c>
      <c r="F149" s="16"/>
    </row>
    <row r="150">
      <c r="A150" s="12">
        <v>182.0</v>
      </c>
      <c r="B150" s="13" t="s">
        <v>1477</v>
      </c>
      <c r="C150" s="14">
        <v>202.0</v>
      </c>
      <c r="D150" s="12" t="s">
        <v>1479</v>
      </c>
      <c r="E150" s="18">
        <f>+20</f>
        <v>20</v>
      </c>
      <c r="F150" s="16"/>
    </row>
    <row r="151">
      <c r="A151" s="12">
        <v>183.0</v>
      </c>
      <c r="B151" s="13" t="s">
        <v>1481</v>
      </c>
      <c r="C151" s="14">
        <v>170.0</v>
      </c>
      <c r="D151" s="12" t="s">
        <v>1402</v>
      </c>
      <c r="E151" s="17">
        <v>-13.0</v>
      </c>
      <c r="F151" s="16"/>
    </row>
    <row r="152">
      <c r="A152" s="12">
        <v>184.0</v>
      </c>
      <c r="B152" s="13" t="s">
        <v>1484</v>
      </c>
      <c r="C152" s="14">
        <v>95.0</v>
      </c>
      <c r="D152" s="12" t="s">
        <v>288</v>
      </c>
      <c r="E152" s="17">
        <v>-89.0</v>
      </c>
      <c r="F152" s="16"/>
    </row>
    <row r="153">
      <c r="A153" s="12">
        <v>185.0</v>
      </c>
      <c r="B153" s="13" t="s">
        <v>1487</v>
      </c>
      <c r="C153" s="14">
        <v>237.0</v>
      </c>
      <c r="D153" s="12" t="s">
        <v>1489</v>
      </c>
      <c r="E153" s="18">
        <f>+52</f>
        <v>52</v>
      </c>
      <c r="F153" s="16"/>
    </row>
    <row r="154">
      <c r="A154" s="12">
        <v>187.0</v>
      </c>
      <c r="B154" s="13" t="s">
        <v>1491</v>
      </c>
      <c r="C154" s="14">
        <v>234.0</v>
      </c>
      <c r="D154" s="12" t="s">
        <v>1494</v>
      </c>
      <c r="E154" s="18">
        <f>+47</f>
        <v>47</v>
      </c>
      <c r="F154" s="16"/>
    </row>
    <row r="155">
      <c r="A155" s="12">
        <v>188.0</v>
      </c>
      <c r="B155" s="13" t="s">
        <v>1495</v>
      </c>
      <c r="C155" s="14">
        <v>152.0</v>
      </c>
      <c r="D155" s="12" t="s">
        <v>1284</v>
      </c>
      <c r="E155" s="17">
        <v>-36.0</v>
      </c>
      <c r="F155" s="16"/>
    </row>
    <row r="156">
      <c r="A156" s="12">
        <v>189.0</v>
      </c>
      <c r="B156" s="13" t="s">
        <v>1499</v>
      </c>
      <c r="C156" s="14">
        <v>173.0</v>
      </c>
      <c r="D156" s="12" t="s">
        <v>472</v>
      </c>
      <c r="E156" s="17">
        <v>-16.0</v>
      </c>
      <c r="F156" s="16"/>
    </row>
    <row r="157">
      <c r="A157" s="12">
        <v>190.0</v>
      </c>
      <c r="B157" s="13" t="s">
        <v>1502</v>
      </c>
      <c r="C157" s="14">
        <v>160.0</v>
      </c>
      <c r="D157" s="12" t="s">
        <v>1367</v>
      </c>
      <c r="E157" s="17">
        <v>-30.0</v>
      </c>
      <c r="F157" s="16"/>
    </row>
    <row r="158">
      <c r="A158" s="12">
        <v>191.0</v>
      </c>
      <c r="B158" s="13" t="s">
        <v>1505</v>
      </c>
      <c r="C158" s="14">
        <v>129.0</v>
      </c>
      <c r="D158" s="12" t="s">
        <v>1278</v>
      </c>
      <c r="E158" s="17">
        <v>-62.0</v>
      </c>
      <c r="F158" s="16"/>
    </row>
    <row r="159">
      <c r="A159" s="12">
        <v>192.0</v>
      </c>
      <c r="B159" s="13" t="s">
        <v>1507</v>
      </c>
      <c r="C159" s="14">
        <v>116.0</v>
      </c>
      <c r="D159" s="12" t="s">
        <v>1224</v>
      </c>
      <c r="E159" s="17">
        <v>-76.0</v>
      </c>
      <c r="F159" s="16"/>
    </row>
    <row r="160">
      <c r="A160" s="12">
        <v>193.0</v>
      </c>
      <c r="B160" s="13" t="s">
        <v>1509</v>
      </c>
      <c r="C160" s="14">
        <v>213.0</v>
      </c>
      <c r="D160" s="12" t="s">
        <v>1512</v>
      </c>
      <c r="E160" s="18">
        <f>+20</f>
        <v>20</v>
      </c>
      <c r="F160" s="16"/>
    </row>
    <row r="161">
      <c r="A161" s="12">
        <v>194.0</v>
      </c>
      <c r="B161" s="13" t="s">
        <v>1513</v>
      </c>
      <c r="C161" s="14">
        <v>255.0</v>
      </c>
      <c r="D161" s="12" t="s">
        <v>1516</v>
      </c>
      <c r="E161" s="18">
        <f>+61</f>
        <v>61</v>
      </c>
      <c r="F161" s="16"/>
    </row>
    <row r="162">
      <c r="A162" s="12">
        <v>195.0</v>
      </c>
      <c r="B162" s="13" t="s">
        <v>1518</v>
      </c>
      <c r="C162" s="14">
        <v>122.0</v>
      </c>
      <c r="D162" s="12" t="s">
        <v>1245</v>
      </c>
      <c r="E162" s="17">
        <v>-73.0</v>
      </c>
      <c r="F162" s="16"/>
    </row>
    <row r="163">
      <c r="A163" s="12">
        <v>196.0</v>
      </c>
      <c r="B163" s="13" t="s">
        <v>1520</v>
      </c>
      <c r="C163" s="14">
        <v>238.0</v>
      </c>
      <c r="D163" s="12" t="s">
        <v>1523</v>
      </c>
      <c r="E163" s="18">
        <f>+42</f>
        <v>42</v>
      </c>
      <c r="F163" s="16"/>
    </row>
    <row r="164">
      <c r="A164" s="12">
        <v>197.0</v>
      </c>
      <c r="B164" s="13" t="s">
        <v>1524</v>
      </c>
      <c r="C164" s="14">
        <v>158.0</v>
      </c>
      <c r="D164" s="12" t="s">
        <v>1313</v>
      </c>
      <c r="E164" s="17">
        <v>-39.0</v>
      </c>
      <c r="F164" s="16"/>
    </row>
    <row r="165">
      <c r="A165" s="12">
        <v>204.0</v>
      </c>
      <c r="B165" s="13" t="s">
        <v>1527</v>
      </c>
      <c r="C165" s="14">
        <v>149.0</v>
      </c>
      <c r="D165" s="12" t="s">
        <v>1418</v>
      </c>
      <c r="E165" s="17">
        <v>-55.0</v>
      </c>
      <c r="F165" s="16"/>
    </row>
    <row r="166">
      <c r="A166" s="12">
        <v>205.0</v>
      </c>
      <c r="B166" s="13" t="s">
        <v>1530</v>
      </c>
      <c r="C166" s="14">
        <v>176.0</v>
      </c>
      <c r="D166" s="12" t="s">
        <v>1424</v>
      </c>
      <c r="E166" s="17">
        <v>-29.0</v>
      </c>
      <c r="F166" s="16"/>
    </row>
    <row r="167">
      <c r="A167" s="12">
        <v>208.0</v>
      </c>
      <c r="B167" s="13" t="s">
        <v>1533</v>
      </c>
      <c r="C167" s="14">
        <v>206.0</v>
      </c>
      <c r="D167" s="12" t="s">
        <v>1536</v>
      </c>
      <c r="E167" s="17">
        <v>-2.0</v>
      </c>
      <c r="F167" s="16"/>
    </row>
    <row r="168">
      <c r="A168" s="12">
        <v>210.0</v>
      </c>
      <c r="B168" s="13" t="s">
        <v>1537</v>
      </c>
      <c r="C168" s="14">
        <v>155.0</v>
      </c>
      <c r="D168" s="12" t="s">
        <v>438</v>
      </c>
      <c r="E168" s="17">
        <v>-55.0</v>
      </c>
      <c r="F168" s="16"/>
    </row>
    <row r="169">
      <c r="A169" s="12">
        <v>213.0</v>
      </c>
      <c r="B169" s="13" t="s">
        <v>1539</v>
      </c>
      <c r="C169" s="14">
        <v>172.0</v>
      </c>
      <c r="D169" s="12" t="s">
        <v>470</v>
      </c>
      <c r="E169" s="17">
        <v>-41.0</v>
      </c>
      <c r="F169" s="16"/>
    </row>
    <row r="170">
      <c r="A170" s="12">
        <v>214.0</v>
      </c>
      <c r="B170" s="13" t="s">
        <v>1541</v>
      </c>
      <c r="C170" s="14">
        <v>244.0</v>
      </c>
      <c r="D170" s="12" t="s">
        <v>1543</v>
      </c>
      <c r="E170" s="18">
        <f>+30</f>
        <v>30</v>
      </c>
      <c r="F170" s="16"/>
    </row>
    <row r="171">
      <c r="A171" s="12">
        <v>215.0</v>
      </c>
      <c r="B171" s="13" t="s">
        <v>1545</v>
      </c>
      <c r="C171" s="14">
        <v>178.0</v>
      </c>
      <c r="D171" s="12" t="s">
        <v>1426</v>
      </c>
      <c r="E171" s="17">
        <v>-37.0</v>
      </c>
      <c r="F171" s="16"/>
    </row>
    <row r="172">
      <c r="A172" s="12">
        <v>217.0</v>
      </c>
      <c r="B172" s="13" t="s">
        <v>1546</v>
      </c>
      <c r="C172" s="14">
        <v>183.0</v>
      </c>
      <c r="D172" s="12" t="s">
        <v>480</v>
      </c>
      <c r="E172" s="17">
        <v>-34.0</v>
      </c>
      <c r="F172" s="16"/>
    </row>
    <row r="173">
      <c r="A173" s="12">
        <v>218.0</v>
      </c>
      <c r="B173" s="13" t="s">
        <v>1548</v>
      </c>
      <c r="C173" s="14">
        <v>185.0</v>
      </c>
      <c r="D173" s="12" t="s">
        <v>1436</v>
      </c>
      <c r="E173" s="17">
        <v>-33.0</v>
      </c>
      <c r="F173" s="16"/>
    </row>
    <row r="174">
      <c r="A174" s="12">
        <v>220.0</v>
      </c>
      <c r="B174" s="13" t="s">
        <v>1550</v>
      </c>
      <c r="C174" s="14">
        <v>121.0</v>
      </c>
      <c r="D174" s="12" t="s">
        <v>389</v>
      </c>
      <c r="E174" s="17">
        <v>-99.0</v>
      </c>
      <c r="F174" s="16"/>
    </row>
    <row r="175">
      <c r="A175" s="12">
        <v>226.0</v>
      </c>
      <c r="B175" s="13" t="s">
        <v>1552</v>
      </c>
      <c r="C175" s="14">
        <v>198.0</v>
      </c>
      <c r="D175" s="12" t="s">
        <v>1553</v>
      </c>
      <c r="E175" s="17">
        <v>-28.0</v>
      </c>
      <c r="F175" s="16"/>
    </row>
    <row r="176">
      <c r="A176" s="12">
        <v>227.0</v>
      </c>
      <c r="B176" s="13" t="s">
        <v>1555</v>
      </c>
      <c r="C176" s="14">
        <v>150.0</v>
      </c>
      <c r="D176" s="12" t="s">
        <v>1272</v>
      </c>
      <c r="E176" s="17">
        <v>-77.0</v>
      </c>
      <c r="F176" s="16"/>
    </row>
    <row r="177">
      <c r="A177" s="12">
        <v>228.0</v>
      </c>
      <c r="B177" s="13" t="s">
        <v>1557</v>
      </c>
      <c r="C177" s="14">
        <v>191.0</v>
      </c>
      <c r="D177" s="12" t="s">
        <v>1496</v>
      </c>
      <c r="E177" s="17">
        <v>-37.0</v>
      </c>
      <c r="F177" s="16"/>
    </row>
    <row r="178">
      <c r="A178" s="12">
        <v>230.0</v>
      </c>
      <c r="B178" s="13" t="s">
        <v>1559</v>
      </c>
      <c r="C178" s="14">
        <v>148.0</v>
      </c>
      <c r="D178" s="12" t="s">
        <v>1257</v>
      </c>
      <c r="E178" s="17">
        <v>-82.0</v>
      </c>
      <c r="F178" s="16"/>
    </row>
    <row r="179">
      <c r="A179" s="12">
        <v>231.0</v>
      </c>
      <c r="B179" s="13" t="s">
        <v>1561</v>
      </c>
      <c r="C179" s="14">
        <v>194.0</v>
      </c>
      <c r="D179" s="12" t="s">
        <v>1562</v>
      </c>
      <c r="E179" s="17">
        <v>-37.0</v>
      </c>
      <c r="F179" s="16"/>
    </row>
    <row r="180">
      <c r="A180" s="12">
        <v>234.0</v>
      </c>
      <c r="B180" s="13" t="s">
        <v>1563</v>
      </c>
      <c r="C180" s="14">
        <v>235.0</v>
      </c>
      <c r="D180" s="12" t="s">
        <v>1565</v>
      </c>
      <c r="E180" s="18">
        <f>+1</f>
        <v>1</v>
      </c>
      <c r="F180" s="16"/>
    </row>
    <row r="181">
      <c r="A181" s="12">
        <v>238.0</v>
      </c>
      <c r="B181" s="13" t="s">
        <v>1566</v>
      </c>
      <c r="C181" s="14">
        <v>228.0</v>
      </c>
      <c r="D181" s="12" t="s">
        <v>1568</v>
      </c>
      <c r="E181" s="17">
        <v>-10.0</v>
      </c>
      <c r="F181" s="16"/>
    </row>
    <row r="182">
      <c r="A182" s="12">
        <v>240.0</v>
      </c>
      <c r="B182" s="13" t="s">
        <v>1570</v>
      </c>
      <c r="C182" s="14">
        <v>266.0</v>
      </c>
      <c r="D182" s="12" t="s">
        <v>1571</v>
      </c>
      <c r="E182" s="18">
        <f>+26</f>
        <v>26</v>
      </c>
      <c r="F182" s="16"/>
    </row>
    <row r="183">
      <c r="A183" s="12">
        <v>241.0</v>
      </c>
      <c r="B183" s="13" t="s">
        <v>1573</v>
      </c>
      <c r="C183" s="14">
        <v>232.0</v>
      </c>
      <c r="D183" s="12" t="s">
        <v>1574</v>
      </c>
      <c r="E183" s="17">
        <v>-9.0</v>
      </c>
      <c r="F183" s="16"/>
    </row>
    <row r="184">
      <c r="A184" s="12">
        <v>243.0</v>
      </c>
      <c r="B184" s="13" t="s">
        <v>1576</v>
      </c>
      <c r="C184" s="14">
        <v>215.0</v>
      </c>
      <c r="D184" s="12" t="s">
        <v>1577</v>
      </c>
      <c r="E184" s="17">
        <v>-28.0</v>
      </c>
      <c r="F184" s="16"/>
    </row>
    <row r="185">
      <c r="A185" s="12">
        <v>244.0</v>
      </c>
      <c r="B185" s="13" t="s">
        <v>1578</v>
      </c>
      <c r="C185" s="14">
        <v>218.0</v>
      </c>
      <c r="D185" s="12" t="s">
        <v>1580</v>
      </c>
      <c r="E185" s="17">
        <v>-26.0</v>
      </c>
      <c r="F185" s="16"/>
    </row>
    <row r="186">
      <c r="A186" s="12">
        <v>247.0</v>
      </c>
      <c r="B186" s="13" t="s">
        <v>1581</v>
      </c>
      <c r="C186" s="14">
        <v>157.0</v>
      </c>
      <c r="D186" s="12" t="s">
        <v>1453</v>
      </c>
      <c r="E186" s="17">
        <v>-90.0</v>
      </c>
      <c r="F186" s="16"/>
    </row>
    <row r="187">
      <c r="A187" s="12">
        <v>255.0</v>
      </c>
      <c r="B187" s="13" t="s">
        <v>1583</v>
      </c>
      <c r="C187" s="14">
        <v>186.0</v>
      </c>
      <c r="D187" s="12" t="s">
        <v>1442</v>
      </c>
      <c r="E187" s="17">
        <v>-69.0</v>
      </c>
      <c r="F187" s="16"/>
    </row>
    <row r="188">
      <c r="A188" s="12">
        <v>256.0</v>
      </c>
      <c r="B188" s="13" t="s">
        <v>1585</v>
      </c>
      <c r="C188" s="14">
        <v>286.0</v>
      </c>
      <c r="D188" s="12" t="s">
        <v>1587</v>
      </c>
      <c r="E188" s="18">
        <f>+30</f>
        <v>30</v>
      </c>
      <c r="F188" s="16"/>
    </row>
    <row r="189">
      <c r="A189" s="12">
        <v>264.0</v>
      </c>
      <c r="B189" s="13" t="s">
        <v>1588</v>
      </c>
      <c r="C189" s="14">
        <v>217.0</v>
      </c>
      <c r="D189" s="12" t="s">
        <v>1590</v>
      </c>
      <c r="E189" s="17">
        <v>-47.0</v>
      </c>
      <c r="F189" s="16"/>
    </row>
    <row r="190">
      <c r="A190" s="12">
        <v>265.0</v>
      </c>
      <c r="B190" s="13" t="s">
        <v>1591</v>
      </c>
      <c r="C190" s="14">
        <v>260.0</v>
      </c>
      <c r="D190" s="12" t="s">
        <v>1593</v>
      </c>
      <c r="E190" s="17">
        <v>-5.0</v>
      </c>
      <c r="F190" s="16"/>
    </row>
    <row r="191">
      <c r="A191" s="12">
        <v>269.0</v>
      </c>
      <c r="B191" s="13" t="s">
        <v>1594</v>
      </c>
      <c r="C191" s="14">
        <v>252.0</v>
      </c>
      <c r="D191" s="12" t="s">
        <v>1595</v>
      </c>
      <c r="E191" s="17">
        <v>-17.0</v>
      </c>
      <c r="F191" s="16"/>
    </row>
    <row r="192">
      <c r="A192" s="12">
        <v>270.0</v>
      </c>
      <c r="B192" s="13" t="s">
        <v>1597</v>
      </c>
      <c r="C192" s="14">
        <v>230.0</v>
      </c>
      <c r="D192" s="12" t="s">
        <v>1598</v>
      </c>
      <c r="E192" s="17">
        <v>-40.0</v>
      </c>
      <c r="F192" s="16"/>
    </row>
    <row r="193">
      <c r="A193" s="12">
        <v>271.0</v>
      </c>
      <c r="B193" s="13" t="s">
        <v>1599</v>
      </c>
      <c r="C193" s="14">
        <v>192.0</v>
      </c>
      <c r="D193" s="12" t="s">
        <v>1601</v>
      </c>
      <c r="E193" s="17">
        <v>-79.0</v>
      </c>
      <c r="F193" s="16"/>
    </row>
    <row r="194">
      <c r="A194" s="12">
        <v>277.0</v>
      </c>
      <c r="B194" s="13" t="s">
        <v>1602</v>
      </c>
      <c r="C194" s="14">
        <v>196.0</v>
      </c>
      <c r="D194" s="12" t="s">
        <v>1604</v>
      </c>
      <c r="E194" s="17">
        <v>-81.0</v>
      </c>
      <c r="F194" s="16"/>
    </row>
    <row r="195">
      <c r="A195" s="12">
        <v>280.0</v>
      </c>
      <c r="B195" s="13" t="s">
        <v>1605</v>
      </c>
      <c r="C195" s="14">
        <v>223.0</v>
      </c>
      <c r="D195" s="12" t="s">
        <v>1607</v>
      </c>
      <c r="E195" s="17">
        <v>-57.0</v>
      </c>
      <c r="F195" s="16"/>
    </row>
    <row r="196">
      <c r="A196" s="12">
        <v>283.0</v>
      </c>
      <c r="B196" s="13" t="s">
        <v>1608</v>
      </c>
      <c r="C196" s="14">
        <v>273.0</v>
      </c>
      <c r="D196" s="12" t="s">
        <v>1610</v>
      </c>
      <c r="E196" s="17">
        <v>-10.0</v>
      </c>
      <c r="F196" s="16"/>
    </row>
    <row r="197">
      <c r="A197" s="12">
        <v>291.0</v>
      </c>
      <c r="B197" s="13" t="s">
        <v>1611</v>
      </c>
      <c r="C197" s="14">
        <v>236.0</v>
      </c>
      <c r="D197" s="12" t="s">
        <v>1613</v>
      </c>
      <c r="E197" s="17">
        <v>-55.0</v>
      </c>
      <c r="F197" s="16"/>
    </row>
    <row r="198">
      <c r="A198" s="12">
        <v>298.0</v>
      </c>
      <c r="B198" s="13" t="s">
        <v>1614</v>
      </c>
      <c r="C198" s="14">
        <v>281.0</v>
      </c>
      <c r="D198" s="12" t="s">
        <v>1616</v>
      </c>
      <c r="E198" s="17">
        <v>-17.0</v>
      </c>
      <c r="F198" s="16"/>
    </row>
    <row r="199">
      <c r="A199" s="12">
        <v>300.0</v>
      </c>
      <c r="B199" s="13" t="s">
        <v>1617</v>
      </c>
      <c r="C199" s="14">
        <v>113.0</v>
      </c>
      <c r="D199" s="12" t="s">
        <v>1219</v>
      </c>
      <c r="E199" s="20" t="s">
        <v>231</v>
      </c>
      <c r="F199" s="16"/>
    </row>
    <row r="200">
      <c r="A200" s="12">
        <v>301.0</v>
      </c>
      <c r="B200" s="13" t="s">
        <v>1619</v>
      </c>
      <c r="C200" s="14">
        <v>268.0</v>
      </c>
      <c r="D200" s="12" t="s">
        <v>1621</v>
      </c>
      <c r="E200" s="17">
        <v>-33.0</v>
      </c>
      <c r="F200" s="16"/>
    </row>
    <row r="201">
      <c r="A201" s="12">
        <v>305.0</v>
      </c>
      <c r="B201" s="13" t="s">
        <v>1622</v>
      </c>
      <c r="C201" s="14">
        <v>93.0</v>
      </c>
      <c r="D201" s="12" t="s">
        <v>1107</v>
      </c>
      <c r="E201" s="20" t="s">
        <v>231</v>
      </c>
      <c r="F201" s="16"/>
    </row>
    <row r="202">
      <c r="A202" s="12">
        <v>307.0</v>
      </c>
      <c r="B202" s="13" t="s">
        <v>1625</v>
      </c>
      <c r="C202" s="14">
        <v>193.0</v>
      </c>
      <c r="D202" s="12" t="s">
        <v>1627</v>
      </c>
      <c r="E202" s="20" t="s">
        <v>231</v>
      </c>
      <c r="F202" s="16"/>
    </row>
    <row r="203">
      <c r="A203" s="12">
        <v>308.0</v>
      </c>
      <c r="B203" s="13" t="s">
        <v>1628</v>
      </c>
      <c r="C203" s="14">
        <v>180.0</v>
      </c>
      <c r="D203" s="12" t="s">
        <v>1630</v>
      </c>
      <c r="E203" s="20" t="s">
        <v>231</v>
      </c>
      <c r="F203" s="16"/>
    </row>
    <row r="204">
      <c r="A204" s="12">
        <v>311.0</v>
      </c>
      <c r="B204" s="13" t="s">
        <v>1631</v>
      </c>
      <c r="C204" s="14">
        <v>181.0</v>
      </c>
      <c r="D204" s="12" t="s">
        <v>1447</v>
      </c>
      <c r="E204" s="20" t="s">
        <v>231</v>
      </c>
      <c r="F204" s="16"/>
    </row>
    <row r="205">
      <c r="A205" s="12">
        <v>312.0</v>
      </c>
      <c r="B205" s="13" t="s">
        <v>1633</v>
      </c>
      <c r="C205" s="14">
        <v>169.0</v>
      </c>
      <c r="D205" s="12" t="s">
        <v>1634</v>
      </c>
      <c r="E205" s="20" t="s">
        <v>231</v>
      </c>
      <c r="F205" s="16"/>
    </row>
    <row r="206">
      <c r="A206" s="12">
        <v>314.0</v>
      </c>
      <c r="B206" s="13" t="s">
        <v>1635</v>
      </c>
      <c r="C206" s="14">
        <v>144.0</v>
      </c>
      <c r="D206" s="12" t="s">
        <v>1397</v>
      </c>
      <c r="E206" s="20" t="s">
        <v>231</v>
      </c>
      <c r="F206" s="16"/>
    </row>
    <row r="207">
      <c r="A207" s="12">
        <v>317.0</v>
      </c>
      <c r="B207" s="13" t="s">
        <v>1637</v>
      </c>
      <c r="C207" s="14">
        <v>112.0</v>
      </c>
      <c r="D207" s="12" t="s">
        <v>1198</v>
      </c>
      <c r="E207" s="20" t="s">
        <v>231</v>
      </c>
      <c r="F207" s="16"/>
    </row>
    <row r="208">
      <c r="A208" s="12">
        <v>325.0</v>
      </c>
      <c r="B208" s="13" t="s">
        <v>1639</v>
      </c>
      <c r="C208" s="14">
        <v>216.0</v>
      </c>
      <c r="D208" s="12" t="s">
        <v>1640</v>
      </c>
      <c r="E208" s="20" t="s">
        <v>231</v>
      </c>
      <c r="F208" s="16"/>
    </row>
    <row r="209">
      <c r="A209" s="12">
        <v>328.0</v>
      </c>
      <c r="B209" s="13" t="s">
        <v>1642</v>
      </c>
      <c r="C209" s="14">
        <v>195.0</v>
      </c>
      <c r="D209" s="12" t="s">
        <v>1623</v>
      </c>
      <c r="E209" s="20" t="s">
        <v>231</v>
      </c>
      <c r="F209" s="16"/>
    </row>
    <row r="210">
      <c r="A210" s="12">
        <v>335.0</v>
      </c>
      <c r="B210" s="13" t="s">
        <v>1643</v>
      </c>
      <c r="C210" s="14">
        <v>221.0</v>
      </c>
      <c r="D210" s="12" t="s">
        <v>1645</v>
      </c>
      <c r="E210" s="20" t="s">
        <v>231</v>
      </c>
      <c r="F210" s="16"/>
    </row>
    <row r="211">
      <c r="A211" s="12">
        <v>342.0</v>
      </c>
      <c r="B211" s="13" t="s">
        <v>1646</v>
      </c>
      <c r="C211" s="14">
        <v>203.0</v>
      </c>
      <c r="D211" s="12" t="s">
        <v>1648</v>
      </c>
      <c r="E211" s="20" t="s">
        <v>231</v>
      </c>
      <c r="F211" s="16"/>
    </row>
    <row r="212">
      <c r="A212" s="12">
        <v>343.0</v>
      </c>
      <c r="B212" s="13" t="s">
        <v>1649</v>
      </c>
      <c r="C212" s="14">
        <v>280.0</v>
      </c>
      <c r="D212" s="12" t="s">
        <v>1651</v>
      </c>
      <c r="E212" s="17">
        <v>-63.0</v>
      </c>
      <c r="F212" s="16"/>
    </row>
    <row r="213">
      <c r="A213" s="12">
        <v>345.0</v>
      </c>
      <c r="B213" s="13" t="s">
        <v>1652</v>
      </c>
      <c r="C213" s="14">
        <v>190.0</v>
      </c>
      <c r="D213" s="12" t="s">
        <v>1654</v>
      </c>
      <c r="E213" s="20" t="s">
        <v>231</v>
      </c>
      <c r="F213" s="16"/>
    </row>
    <row r="214">
      <c r="A214" s="12">
        <v>356.0</v>
      </c>
      <c r="B214" s="13" t="s">
        <v>1655</v>
      </c>
      <c r="C214" s="14">
        <v>229.0</v>
      </c>
      <c r="D214" s="12" t="s">
        <v>1657</v>
      </c>
      <c r="E214" s="20" t="s">
        <v>231</v>
      </c>
      <c r="F214" s="16"/>
    </row>
    <row r="215">
      <c r="A215" s="12">
        <v>361.0</v>
      </c>
      <c r="B215" s="13" t="s">
        <v>1658</v>
      </c>
      <c r="C215" s="14">
        <v>259.0</v>
      </c>
      <c r="D215" s="12" t="s">
        <v>1660</v>
      </c>
      <c r="E215" s="20" t="s">
        <v>231</v>
      </c>
      <c r="F215" s="16"/>
    </row>
    <row r="216">
      <c r="A216" s="12">
        <v>362.0</v>
      </c>
      <c r="B216" s="13" t="s">
        <v>1661</v>
      </c>
      <c r="C216" s="14">
        <v>182.0</v>
      </c>
      <c r="D216" s="12" t="s">
        <v>1433</v>
      </c>
      <c r="E216" s="20" t="s">
        <v>231</v>
      </c>
      <c r="F216" s="16"/>
    </row>
    <row r="217">
      <c r="A217" s="12">
        <v>365.0</v>
      </c>
      <c r="B217" s="13" t="s">
        <v>1663</v>
      </c>
      <c r="C217" s="14">
        <v>171.0</v>
      </c>
      <c r="D217" s="12" t="s">
        <v>1665</v>
      </c>
      <c r="E217" s="20" t="s">
        <v>231</v>
      </c>
      <c r="F217" s="16"/>
    </row>
    <row r="218">
      <c r="A218" s="12">
        <v>369.0</v>
      </c>
      <c r="B218" s="13" t="s">
        <v>1666</v>
      </c>
      <c r="C218" s="14">
        <v>175.0</v>
      </c>
      <c r="D218" s="12" t="s">
        <v>1668</v>
      </c>
      <c r="E218" s="20" t="s">
        <v>231</v>
      </c>
      <c r="F218" s="16"/>
    </row>
    <row r="219">
      <c r="A219" s="12">
        <v>375.0</v>
      </c>
      <c r="B219" s="13" t="s">
        <v>1669</v>
      </c>
      <c r="C219" s="14">
        <v>272.0</v>
      </c>
      <c r="D219" s="12" t="s">
        <v>1670</v>
      </c>
      <c r="E219" s="20" t="s">
        <v>231</v>
      </c>
      <c r="F219" s="16"/>
    </row>
    <row r="220">
      <c r="A220" s="12">
        <v>379.0</v>
      </c>
      <c r="B220" s="13" t="s">
        <v>1672</v>
      </c>
      <c r="C220" s="14">
        <v>256.0</v>
      </c>
      <c r="D220" s="12" t="s">
        <v>1673</v>
      </c>
      <c r="E220" s="20" t="s">
        <v>231</v>
      </c>
      <c r="F220" s="16"/>
    </row>
    <row r="221">
      <c r="A221" s="12">
        <v>386.0</v>
      </c>
      <c r="B221" s="13" t="s">
        <v>1674</v>
      </c>
      <c r="C221" s="14">
        <v>267.0</v>
      </c>
      <c r="D221" s="12" t="s">
        <v>1676</v>
      </c>
      <c r="E221" s="20" t="s">
        <v>231</v>
      </c>
      <c r="F221" s="16"/>
    </row>
    <row r="222">
      <c r="A222" s="12">
        <v>396.0</v>
      </c>
      <c r="B222" s="13" t="s">
        <v>1678</v>
      </c>
      <c r="C222" s="14">
        <v>211.0</v>
      </c>
      <c r="D222" s="12" t="s">
        <v>1680</v>
      </c>
      <c r="E222" s="20" t="s">
        <v>231</v>
      </c>
      <c r="F222" s="16"/>
    </row>
    <row r="223">
      <c r="A223" s="12">
        <v>399.0</v>
      </c>
      <c r="B223" s="13" t="s">
        <v>1681</v>
      </c>
      <c r="C223" s="14">
        <v>134.0</v>
      </c>
      <c r="D223" s="12" t="s">
        <v>185</v>
      </c>
      <c r="E223" s="20" t="s">
        <v>231</v>
      </c>
      <c r="F223" s="16"/>
    </row>
    <row r="224">
      <c r="A224" s="12">
        <v>402.0</v>
      </c>
      <c r="B224" s="13" t="s">
        <v>1684</v>
      </c>
      <c r="C224" s="14">
        <v>189.0</v>
      </c>
      <c r="D224" s="12" t="s">
        <v>1686</v>
      </c>
      <c r="E224" s="20" t="s">
        <v>231</v>
      </c>
      <c r="F224" s="16"/>
    </row>
    <row r="225">
      <c r="A225" s="12">
        <v>403.0</v>
      </c>
      <c r="B225" s="13" t="s">
        <v>1687</v>
      </c>
      <c r="C225" s="14">
        <v>131.0</v>
      </c>
      <c r="D225" s="12" t="s">
        <v>1327</v>
      </c>
      <c r="E225" s="20" t="s">
        <v>231</v>
      </c>
      <c r="F225" s="16"/>
    </row>
    <row r="226">
      <c r="A226" s="12">
        <v>404.0</v>
      </c>
      <c r="B226" s="13" t="s">
        <v>1689</v>
      </c>
      <c r="C226" s="14">
        <v>130.0</v>
      </c>
      <c r="D226" s="12" t="s">
        <v>1308</v>
      </c>
      <c r="E226" s="20" t="s">
        <v>231</v>
      </c>
      <c r="F226" s="16"/>
    </row>
    <row r="227">
      <c r="A227" s="12">
        <v>405.0</v>
      </c>
      <c r="B227" s="13" t="s">
        <v>1691</v>
      </c>
      <c r="C227" s="14">
        <v>210.0</v>
      </c>
      <c r="D227" s="12" t="s">
        <v>1682</v>
      </c>
      <c r="E227" s="20" t="s">
        <v>231</v>
      </c>
      <c r="F227" s="16"/>
    </row>
    <row r="228">
      <c r="A228" s="12">
        <v>414.0</v>
      </c>
      <c r="B228" s="13" t="s">
        <v>1693</v>
      </c>
      <c r="C228" s="14">
        <v>253.0</v>
      </c>
      <c r="D228" s="12" t="s">
        <v>1694</v>
      </c>
      <c r="E228" s="20" t="s">
        <v>231</v>
      </c>
      <c r="F228" s="16"/>
    </row>
    <row r="229">
      <c r="A229" s="12">
        <v>420.0</v>
      </c>
      <c r="B229" s="13" t="s">
        <v>1695</v>
      </c>
      <c r="C229" s="14">
        <v>275.0</v>
      </c>
      <c r="D229" s="12" t="s">
        <v>1888</v>
      </c>
      <c r="E229" s="20" t="s">
        <v>231</v>
      </c>
      <c r="F229" s="16"/>
    </row>
    <row r="230">
      <c r="A230" s="12">
        <v>424.0</v>
      </c>
      <c r="B230" s="13" t="s">
        <v>1890</v>
      </c>
      <c r="C230" s="14">
        <v>242.0</v>
      </c>
      <c r="D230" s="12" t="s">
        <v>1819</v>
      </c>
      <c r="E230" s="20" t="s">
        <v>231</v>
      </c>
      <c r="F230" s="16"/>
    </row>
    <row r="231">
      <c r="A231" s="12">
        <v>426.0</v>
      </c>
      <c r="B231" s="13" t="s">
        <v>1895</v>
      </c>
      <c r="C231" s="14">
        <v>168.0</v>
      </c>
      <c r="D231" s="12" t="s">
        <v>1362</v>
      </c>
      <c r="E231" s="20" t="s">
        <v>231</v>
      </c>
      <c r="F231" s="16"/>
    </row>
    <row r="232">
      <c r="A232" s="12">
        <v>432.0</v>
      </c>
      <c r="B232" s="13" t="s">
        <v>1900</v>
      </c>
      <c r="C232" s="14">
        <v>287.0</v>
      </c>
      <c r="D232" s="12" t="s">
        <v>1822</v>
      </c>
      <c r="E232" s="20" t="s">
        <v>231</v>
      </c>
      <c r="F232" s="16"/>
    </row>
    <row r="233">
      <c r="A233" s="12">
        <v>435.0</v>
      </c>
      <c r="B233" s="13" t="s">
        <v>1903</v>
      </c>
      <c r="C233" s="14">
        <v>239.0</v>
      </c>
      <c r="D233" s="12" t="s">
        <v>1844</v>
      </c>
      <c r="E233" s="20" t="s">
        <v>231</v>
      </c>
      <c r="F233" s="16"/>
    </row>
    <row r="234">
      <c r="A234" s="12">
        <v>437.0</v>
      </c>
      <c r="B234" s="13" t="s">
        <v>1907</v>
      </c>
      <c r="C234" s="14">
        <v>208.0</v>
      </c>
      <c r="D234" s="12" t="s">
        <v>1677</v>
      </c>
      <c r="E234" s="20" t="s">
        <v>231</v>
      </c>
      <c r="F234" s="16"/>
    </row>
    <row r="235">
      <c r="A235" s="12">
        <v>442.0</v>
      </c>
      <c r="B235" s="13" t="s">
        <v>1912</v>
      </c>
      <c r="C235" s="14">
        <v>248.0</v>
      </c>
      <c r="D235" s="12" t="s">
        <v>1860</v>
      </c>
      <c r="E235" s="20" t="s">
        <v>231</v>
      </c>
      <c r="F235" s="16"/>
    </row>
    <row r="236">
      <c r="A236" s="12">
        <v>447.0</v>
      </c>
      <c r="B236" s="13" t="s">
        <v>1916</v>
      </c>
      <c r="C236" s="14">
        <v>258.0</v>
      </c>
      <c r="D236" s="12" t="s">
        <v>1909</v>
      </c>
      <c r="E236" s="20" t="s">
        <v>231</v>
      </c>
      <c r="F236" s="16"/>
    </row>
    <row r="237">
      <c r="A237" s="12">
        <v>461.0</v>
      </c>
      <c r="B237" s="13" t="s">
        <v>1920</v>
      </c>
      <c r="C237" s="14">
        <v>146.0</v>
      </c>
      <c r="D237" s="12" t="s">
        <v>1412</v>
      </c>
      <c r="E237" s="20" t="s">
        <v>231</v>
      </c>
      <c r="F237" s="16"/>
    </row>
    <row r="238">
      <c r="A238" s="12">
        <v>463.0</v>
      </c>
      <c r="B238" s="13" t="s">
        <v>1923</v>
      </c>
      <c r="C238" s="14">
        <v>207.0</v>
      </c>
      <c r="D238" s="12" t="s">
        <v>1728</v>
      </c>
      <c r="E238" s="20" t="s">
        <v>231</v>
      </c>
      <c r="F238" s="16"/>
    </row>
    <row r="239">
      <c r="A239" s="12">
        <v>480.0</v>
      </c>
      <c r="B239" s="13" t="s">
        <v>1927</v>
      </c>
      <c r="C239" s="14">
        <v>283.0</v>
      </c>
      <c r="D239" s="12" t="s">
        <v>1933</v>
      </c>
      <c r="E239" s="20" t="s">
        <v>231</v>
      </c>
      <c r="F239" s="16"/>
    </row>
    <row r="240">
      <c r="A240" s="12">
        <v>481.0</v>
      </c>
      <c r="B240" s="13" t="s">
        <v>1934</v>
      </c>
      <c r="C240" s="14">
        <v>187.0</v>
      </c>
      <c r="D240" s="12" t="s">
        <v>1750</v>
      </c>
      <c r="E240" s="20" t="s">
        <v>231</v>
      </c>
      <c r="F240" s="16"/>
    </row>
    <row r="241">
      <c r="A241" s="12">
        <v>493.0</v>
      </c>
      <c r="B241" s="13" t="s">
        <v>1939</v>
      </c>
      <c r="C241" s="14">
        <v>163.0</v>
      </c>
      <c r="D241" s="12" t="s">
        <v>1373</v>
      </c>
      <c r="E241" s="20" t="s">
        <v>231</v>
      </c>
      <c r="F241" s="16"/>
    </row>
    <row r="242">
      <c r="A242" s="12">
        <v>498.0</v>
      </c>
      <c r="B242" s="13" t="s">
        <v>1943</v>
      </c>
      <c r="C242" s="14">
        <v>285.0</v>
      </c>
      <c r="D242" s="12" t="s">
        <v>1947</v>
      </c>
      <c r="E242" s="20" t="s">
        <v>231</v>
      </c>
      <c r="F242" s="16"/>
    </row>
    <row r="243">
      <c r="A243" s="12">
        <v>504.0</v>
      </c>
      <c r="B243" s="13" t="s">
        <v>1948</v>
      </c>
      <c r="C243" s="14">
        <v>269.0</v>
      </c>
      <c r="D243" s="12" t="s">
        <v>1951</v>
      </c>
      <c r="E243" s="20" t="s">
        <v>231</v>
      </c>
      <c r="F243" s="16"/>
    </row>
    <row r="244">
      <c r="A244" s="12">
        <v>524.0</v>
      </c>
      <c r="B244" s="13" t="s">
        <v>1952</v>
      </c>
      <c r="C244" s="14">
        <v>288.0</v>
      </c>
      <c r="D244" s="12" t="s">
        <v>1956</v>
      </c>
      <c r="E244" s="20" t="s">
        <v>231</v>
      </c>
      <c r="F244" s="16"/>
    </row>
    <row r="245">
      <c r="A245" s="12">
        <v>535.0</v>
      </c>
      <c r="B245" s="13" t="s">
        <v>1959</v>
      </c>
      <c r="C245" s="14">
        <v>249.0</v>
      </c>
      <c r="D245" s="12" t="s">
        <v>1870</v>
      </c>
      <c r="E245" s="20" t="s">
        <v>231</v>
      </c>
      <c r="F245" s="16"/>
    </row>
    <row r="246">
      <c r="A246" s="12">
        <v>541.0</v>
      </c>
      <c r="B246" s="13" t="s">
        <v>1962</v>
      </c>
      <c r="C246" s="14">
        <v>167.0</v>
      </c>
      <c r="D246" s="12" t="s">
        <v>1732</v>
      </c>
      <c r="E246" s="20" t="s">
        <v>231</v>
      </c>
      <c r="F246" s="16"/>
    </row>
    <row r="247">
      <c r="A247" s="12">
        <v>543.0</v>
      </c>
      <c r="B247" s="13" t="s">
        <v>1966</v>
      </c>
      <c r="C247" s="14">
        <v>294.0</v>
      </c>
      <c r="D247" s="12" t="s">
        <v>1969</v>
      </c>
      <c r="E247" s="20" t="s">
        <v>231</v>
      </c>
      <c r="F247" s="16"/>
    </row>
    <row r="248">
      <c r="A248" s="12">
        <v>549.0</v>
      </c>
      <c r="B248" s="13" t="s">
        <v>1971</v>
      </c>
      <c r="C248" s="14">
        <v>199.0</v>
      </c>
      <c r="D248" s="12" t="s">
        <v>1761</v>
      </c>
      <c r="E248" s="20" t="s">
        <v>231</v>
      </c>
      <c r="F248" s="16"/>
    </row>
    <row r="249">
      <c r="A249" s="12">
        <v>562.0</v>
      </c>
      <c r="B249" s="13" t="s">
        <v>1975</v>
      </c>
      <c r="C249" s="14">
        <v>263.0</v>
      </c>
      <c r="D249" s="12" t="s">
        <v>1928</v>
      </c>
      <c r="E249" s="20" t="s">
        <v>231</v>
      </c>
      <c r="F249" s="16"/>
    </row>
    <row r="250">
      <c r="A250" s="12">
        <v>566.0</v>
      </c>
      <c r="B250" s="13" t="s">
        <v>1979</v>
      </c>
      <c r="C250" s="14">
        <v>209.0</v>
      </c>
      <c r="D250" s="12" t="s">
        <v>1825</v>
      </c>
      <c r="E250" s="20" t="s">
        <v>231</v>
      </c>
      <c r="F250" s="16"/>
    </row>
    <row r="251">
      <c r="A251" s="12">
        <v>567.0</v>
      </c>
      <c r="B251" s="13" t="s">
        <v>1983</v>
      </c>
      <c r="C251" s="14">
        <v>276.0</v>
      </c>
      <c r="D251" s="12" t="s">
        <v>1985</v>
      </c>
      <c r="E251" s="20" t="s">
        <v>231</v>
      </c>
      <c r="F251" s="16"/>
    </row>
    <row r="252">
      <c r="A252" s="12">
        <v>568.0</v>
      </c>
      <c r="B252" s="13" t="s">
        <v>1986</v>
      </c>
      <c r="C252" s="14">
        <v>261.0</v>
      </c>
      <c r="D252" s="12" t="s">
        <v>1875</v>
      </c>
      <c r="E252" s="20" t="s">
        <v>231</v>
      </c>
      <c r="F252" s="16"/>
    </row>
    <row r="253">
      <c r="A253" s="12">
        <v>577.0</v>
      </c>
      <c r="B253" s="13" t="s">
        <v>1991</v>
      </c>
      <c r="C253" s="14">
        <v>204.0</v>
      </c>
      <c r="D253" s="12" t="s">
        <v>1816</v>
      </c>
      <c r="E253" s="20" t="s">
        <v>231</v>
      </c>
      <c r="F253" s="16"/>
    </row>
    <row r="254">
      <c r="A254" s="12">
        <v>582.0</v>
      </c>
      <c r="B254" s="13" t="s">
        <v>1995</v>
      </c>
      <c r="C254" s="14">
        <v>124.0</v>
      </c>
      <c r="D254" s="12" t="s">
        <v>421</v>
      </c>
      <c r="E254" s="20" t="s">
        <v>231</v>
      </c>
      <c r="F254" s="16"/>
    </row>
    <row r="255">
      <c r="A255" s="12">
        <v>593.0</v>
      </c>
      <c r="B255" s="13" t="s">
        <v>1998</v>
      </c>
      <c r="C255" s="14">
        <v>179.0</v>
      </c>
      <c r="D255" s="12" t="s">
        <v>1759</v>
      </c>
      <c r="E255" s="20" t="s">
        <v>231</v>
      </c>
      <c r="F255" s="16"/>
    </row>
    <row r="256">
      <c r="A256" s="12">
        <v>603.0</v>
      </c>
      <c r="B256" s="13" t="s">
        <v>2004</v>
      </c>
      <c r="C256" s="14">
        <v>224.0</v>
      </c>
      <c r="D256" s="12" t="s">
        <v>1883</v>
      </c>
      <c r="E256" s="20" t="s">
        <v>231</v>
      </c>
      <c r="F256" s="16"/>
    </row>
    <row r="257">
      <c r="A257" s="12">
        <v>611.0</v>
      </c>
      <c r="B257" s="13" t="s">
        <v>2009</v>
      </c>
      <c r="C257" s="14">
        <v>162.0</v>
      </c>
      <c r="D257" s="12" t="s">
        <v>1459</v>
      </c>
      <c r="E257" s="20" t="s">
        <v>231</v>
      </c>
      <c r="F257" s="16"/>
    </row>
    <row r="258">
      <c r="A258" s="12">
        <v>612.0</v>
      </c>
      <c r="B258" s="13" t="s">
        <v>2013</v>
      </c>
      <c r="C258" s="14">
        <v>200.0</v>
      </c>
      <c r="D258" s="12" t="s">
        <v>1745</v>
      </c>
      <c r="E258" s="20" t="s">
        <v>231</v>
      </c>
      <c r="F258" s="16"/>
    </row>
    <row r="259">
      <c r="A259" s="12">
        <v>615.0</v>
      </c>
      <c r="B259" s="13" t="s">
        <v>2018</v>
      </c>
      <c r="C259" s="14">
        <v>278.0</v>
      </c>
      <c r="D259" s="12" t="s">
        <v>1999</v>
      </c>
      <c r="E259" s="20" t="s">
        <v>231</v>
      </c>
      <c r="F259" s="16"/>
    </row>
    <row r="260">
      <c r="A260" s="12">
        <v>636.0</v>
      </c>
      <c r="B260" s="13" t="s">
        <v>2021</v>
      </c>
      <c r="C260" s="14">
        <v>225.0</v>
      </c>
      <c r="D260" s="12" t="s">
        <v>1905</v>
      </c>
      <c r="E260" s="20" t="s">
        <v>231</v>
      </c>
      <c r="F260" s="16"/>
    </row>
    <row r="261">
      <c r="A261" s="12">
        <v>643.0</v>
      </c>
      <c r="B261" s="13" t="s">
        <v>2026</v>
      </c>
      <c r="C261" s="14">
        <v>254.0</v>
      </c>
      <c r="D261" s="12" t="s">
        <v>1898</v>
      </c>
      <c r="E261" s="20" t="s">
        <v>231</v>
      </c>
      <c r="F261" s="16"/>
    </row>
    <row r="262">
      <c r="A262" s="12">
        <v>649.0</v>
      </c>
      <c r="B262" s="13" t="s">
        <v>2030</v>
      </c>
      <c r="C262" s="14">
        <v>282.0</v>
      </c>
      <c r="D262" s="12" t="s">
        <v>2022</v>
      </c>
      <c r="E262" s="20" t="s">
        <v>231</v>
      </c>
      <c r="F262" s="16"/>
    </row>
    <row r="263">
      <c r="A263" s="12">
        <v>654.0</v>
      </c>
      <c r="B263" s="13" t="s">
        <v>2032</v>
      </c>
      <c r="C263" s="14">
        <v>197.0</v>
      </c>
      <c r="D263" s="12" t="s">
        <v>1710</v>
      </c>
      <c r="E263" s="20" t="s">
        <v>231</v>
      </c>
      <c r="F263" s="16"/>
    </row>
    <row r="264">
      <c r="A264" s="12">
        <v>660.0</v>
      </c>
      <c r="B264" s="13" t="s">
        <v>2035</v>
      </c>
      <c r="C264" s="14">
        <v>245.0</v>
      </c>
      <c r="D264" s="12" t="s">
        <v>1957</v>
      </c>
      <c r="E264" s="20" t="s">
        <v>231</v>
      </c>
      <c r="F264" s="16"/>
    </row>
    <row r="265">
      <c r="A265" s="12">
        <v>667.0</v>
      </c>
      <c r="B265" s="13" t="s">
        <v>2038</v>
      </c>
      <c r="C265" s="14">
        <v>279.0</v>
      </c>
      <c r="D265" s="12" t="s">
        <v>2010</v>
      </c>
      <c r="E265" s="20" t="s">
        <v>231</v>
      </c>
      <c r="F265" s="16"/>
    </row>
    <row r="266">
      <c r="A266" s="12">
        <v>680.0</v>
      </c>
      <c r="B266" s="13" t="s">
        <v>2042</v>
      </c>
      <c r="C266" s="14">
        <v>264.0</v>
      </c>
      <c r="D266" s="12" t="s">
        <v>1936</v>
      </c>
      <c r="E266" s="20" t="s">
        <v>231</v>
      </c>
      <c r="F266" s="16"/>
    </row>
    <row r="267">
      <c r="A267" s="12">
        <v>682.0</v>
      </c>
      <c r="B267" s="13" t="s">
        <v>2046</v>
      </c>
      <c r="C267" s="14">
        <v>257.0</v>
      </c>
      <c r="D267" s="12" t="s">
        <v>1799</v>
      </c>
      <c r="E267" s="20" t="s">
        <v>231</v>
      </c>
      <c r="F267" s="16"/>
    </row>
    <row r="268">
      <c r="A268" s="12">
        <v>691.0</v>
      </c>
      <c r="B268" s="13" t="s">
        <v>2051</v>
      </c>
      <c r="C268" s="14">
        <v>222.0</v>
      </c>
      <c r="D268" s="12" t="s">
        <v>1874</v>
      </c>
      <c r="E268" s="20" t="s">
        <v>231</v>
      </c>
      <c r="F268" s="16"/>
    </row>
    <row r="269">
      <c r="A269" s="12">
        <v>703.0</v>
      </c>
      <c r="B269" s="13" t="s">
        <v>2055</v>
      </c>
      <c r="C269" s="14">
        <v>184.0</v>
      </c>
      <c r="D269" s="12" t="s">
        <v>1779</v>
      </c>
      <c r="E269" s="20" t="s">
        <v>231</v>
      </c>
      <c r="F269" s="16"/>
    </row>
    <row r="270">
      <c r="A270" s="12">
        <v>710.0</v>
      </c>
      <c r="B270" s="13" t="s">
        <v>2059</v>
      </c>
      <c r="C270" s="14">
        <v>233.0</v>
      </c>
      <c r="D270" s="12" t="s">
        <v>1931</v>
      </c>
      <c r="E270" s="20" t="s">
        <v>231</v>
      </c>
      <c r="F270" s="16"/>
    </row>
    <row r="271">
      <c r="A271" s="12">
        <v>712.0</v>
      </c>
      <c r="B271" s="13" t="s">
        <v>2062</v>
      </c>
      <c r="C271" s="14">
        <v>214.0</v>
      </c>
      <c r="D271" s="12" t="s">
        <v>1848</v>
      </c>
      <c r="E271" s="20" t="s">
        <v>231</v>
      </c>
      <c r="F271" s="16"/>
    </row>
    <row r="272">
      <c r="A272" s="12">
        <v>726.0</v>
      </c>
      <c r="B272" s="13" t="s">
        <v>2067</v>
      </c>
      <c r="C272" s="14">
        <v>265.0</v>
      </c>
      <c r="D272" s="12" t="s">
        <v>2002</v>
      </c>
      <c r="E272" s="20" t="s">
        <v>231</v>
      </c>
      <c r="F272" s="16"/>
    </row>
    <row r="273">
      <c r="A273" s="12">
        <v>734.0</v>
      </c>
      <c r="B273" s="13" t="s">
        <v>2072</v>
      </c>
      <c r="C273" s="14">
        <v>219.0</v>
      </c>
      <c r="D273" s="12" t="s">
        <v>1789</v>
      </c>
      <c r="E273" s="20" t="s">
        <v>231</v>
      </c>
      <c r="F273" s="16"/>
    </row>
    <row r="274">
      <c r="A274" s="12">
        <v>750.0</v>
      </c>
      <c r="B274" s="13" t="s">
        <v>2076</v>
      </c>
      <c r="C274" s="14">
        <v>243.0</v>
      </c>
      <c r="D274" s="12" t="s">
        <v>1878</v>
      </c>
      <c r="E274" s="20" t="s">
        <v>231</v>
      </c>
      <c r="F274" s="16"/>
    </row>
    <row r="275">
      <c r="A275" s="12">
        <v>761.0</v>
      </c>
      <c r="B275" s="13" t="s">
        <v>2081</v>
      </c>
      <c r="C275" s="14">
        <v>241.0</v>
      </c>
      <c r="D275" s="12" t="s">
        <v>1811</v>
      </c>
      <c r="E275" s="20" t="s">
        <v>231</v>
      </c>
      <c r="F275" s="16"/>
    </row>
    <row r="276">
      <c r="A276" s="12">
        <v>790.0</v>
      </c>
      <c r="B276" s="13" t="s">
        <v>2086</v>
      </c>
      <c r="C276" s="14">
        <v>299.0</v>
      </c>
      <c r="D276" s="12" t="s">
        <v>2090</v>
      </c>
      <c r="E276" s="20" t="s">
        <v>231</v>
      </c>
      <c r="F276" s="16"/>
    </row>
    <row r="277">
      <c r="A277" s="12">
        <v>793.0</v>
      </c>
      <c r="B277" s="13" t="s">
        <v>2093</v>
      </c>
      <c r="C277" s="14">
        <v>300.0</v>
      </c>
      <c r="D277" s="12" t="s">
        <v>2041</v>
      </c>
      <c r="E277" s="20" t="s">
        <v>231</v>
      </c>
      <c r="F277" s="16"/>
    </row>
    <row r="278">
      <c r="A278" s="12">
        <v>801.0</v>
      </c>
      <c r="B278" s="13" t="s">
        <v>2097</v>
      </c>
      <c r="C278" s="14">
        <v>277.0</v>
      </c>
      <c r="D278" s="12" t="s">
        <v>2006</v>
      </c>
      <c r="E278" s="20" t="s">
        <v>231</v>
      </c>
      <c r="F278" s="16"/>
    </row>
    <row r="279">
      <c r="A279" s="12">
        <v>1012.0</v>
      </c>
      <c r="B279" s="13" t="s">
        <v>2101</v>
      </c>
      <c r="C279" s="14">
        <v>274.0</v>
      </c>
      <c r="D279" s="12" t="s">
        <v>1989</v>
      </c>
      <c r="E279" s="20" t="s">
        <v>231</v>
      </c>
      <c r="F279" s="16"/>
    </row>
    <row r="280">
      <c r="A280" s="12">
        <v>1023.0</v>
      </c>
      <c r="B280" s="13" t="s">
        <v>2107</v>
      </c>
      <c r="C280" s="14">
        <v>250.0</v>
      </c>
      <c r="D280" s="12" t="s">
        <v>1965</v>
      </c>
      <c r="E280" s="20" t="s">
        <v>231</v>
      </c>
      <c r="F280" s="16"/>
    </row>
    <row r="281">
      <c r="A281" s="12">
        <v>1126.0</v>
      </c>
      <c r="B281" s="13" t="s">
        <v>2113</v>
      </c>
      <c r="C281" s="14">
        <v>153.0</v>
      </c>
      <c r="D281" s="12" t="s">
        <v>431</v>
      </c>
      <c r="E281" s="20" t="s">
        <v>231</v>
      </c>
      <c r="F281" s="16"/>
    </row>
    <row r="282">
      <c r="A282" s="12">
        <v>1303.0</v>
      </c>
      <c r="B282" s="13" t="s">
        <v>2117</v>
      </c>
      <c r="C282" s="14">
        <v>240.0</v>
      </c>
      <c r="D282" s="12" t="s">
        <v>1862</v>
      </c>
      <c r="E282" s="20" t="s">
        <v>231</v>
      </c>
      <c r="F282" s="16"/>
    </row>
    <row r="283">
      <c r="A283" s="12">
        <v>1312.0</v>
      </c>
      <c r="B283" s="13" t="s">
        <v>2123</v>
      </c>
      <c r="C283" s="14">
        <v>284.0</v>
      </c>
      <c r="D283" s="12" t="s">
        <v>2016</v>
      </c>
      <c r="E283" s="20" t="s">
        <v>231</v>
      </c>
      <c r="F283" s="16"/>
    </row>
    <row r="284">
      <c r="A284" s="12">
        <v>1320.0</v>
      </c>
      <c r="B284" s="13" t="s">
        <v>2128</v>
      </c>
      <c r="C284" s="14">
        <v>246.0</v>
      </c>
      <c r="D284" s="12" t="s">
        <v>1891</v>
      </c>
      <c r="E284" s="20" t="s">
        <v>231</v>
      </c>
      <c r="F284" s="16"/>
    </row>
    <row r="285">
      <c r="A285" s="12">
        <v>1884.0</v>
      </c>
      <c r="B285" s="13" t="s">
        <v>2132</v>
      </c>
      <c r="C285" s="14">
        <v>271.0</v>
      </c>
      <c r="D285" s="12" t="s">
        <v>1993</v>
      </c>
      <c r="E285" s="20" t="s">
        <v>231</v>
      </c>
      <c r="F285" s="16"/>
    </row>
    <row r="286">
      <c r="A286" s="12">
        <v>1885.0</v>
      </c>
      <c r="B286" s="13" t="s">
        <v>2134</v>
      </c>
      <c r="C286" s="14">
        <v>292.0</v>
      </c>
      <c r="D286" s="12" t="s">
        <v>2070</v>
      </c>
      <c r="E286" s="20" t="s">
        <v>231</v>
      </c>
      <c r="F286" s="16"/>
    </row>
    <row r="287">
      <c r="A287" s="12">
        <v>1886.0</v>
      </c>
      <c r="B287" s="13" t="s">
        <v>2136</v>
      </c>
      <c r="C287" s="14">
        <v>262.0</v>
      </c>
      <c r="D287" s="12" t="s">
        <v>1972</v>
      </c>
      <c r="E287" s="20" t="s">
        <v>231</v>
      </c>
      <c r="F287" s="16"/>
    </row>
    <row r="288">
      <c r="A288" s="12">
        <v>1887.0</v>
      </c>
      <c r="B288" s="13" t="s">
        <v>2138</v>
      </c>
      <c r="C288" s="14">
        <v>293.0</v>
      </c>
      <c r="D288" s="12" t="s">
        <v>2077</v>
      </c>
      <c r="E288" s="20" t="s">
        <v>231</v>
      </c>
      <c r="F288" s="16"/>
    </row>
    <row r="289">
      <c r="A289" s="12">
        <v>1889.0</v>
      </c>
      <c r="B289" s="13" t="s">
        <v>2140</v>
      </c>
      <c r="C289" s="14">
        <v>295.0</v>
      </c>
      <c r="D289" s="12" t="s">
        <v>2099</v>
      </c>
      <c r="E289" s="20" t="s">
        <v>231</v>
      </c>
      <c r="F289" s="16"/>
    </row>
    <row r="290">
      <c r="A290" s="12">
        <v>1890.0</v>
      </c>
      <c r="B290" s="13" t="s">
        <v>2142</v>
      </c>
      <c r="C290" s="14">
        <v>231.0</v>
      </c>
      <c r="D290" s="12" t="s">
        <v>1836</v>
      </c>
      <c r="E290" s="20" t="s">
        <v>231</v>
      </c>
      <c r="F290" s="16"/>
    </row>
    <row r="291">
      <c r="A291" s="12">
        <v>1893.0</v>
      </c>
      <c r="B291" s="13" t="s">
        <v>2144</v>
      </c>
      <c r="C291" s="14">
        <v>247.0</v>
      </c>
      <c r="D291" s="12" t="s">
        <v>1894</v>
      </c>
      <c r="E291" s="20" t="s">
        <v>231</v>
      </c>
      <c r="F291" s="16"/>
    </row>
    <row r="292">
      <c r="A292" s="12">
        <v>1895.0</v>
      </c>
      <c r="B292" s="13" t="s">
        <v>2147</v>
      </c>
      <c r="C292" s="14">
        <v>226.0</v>
      </c>
      <c r="D292" s="12" t="s">
        <v>1807</v>
      </c>
      <c r="E292" s="20" t="s">
        <v>231</v>
      </c>
      <c r="F292" s="16"/>
    </row>
    <row r="293">
      <c r="A293" s="12">
        <v>1896.0</v>
      </c>
      <c r="B293" s="13" t="s">
        <v>2150</v>
      </c>
      <c r="C293" s="14">
        <v>291.0</v>
      </c>
      <c r="D293" s="12" t="s">
        <v>2066</v>
      </c>
      <c r="E293" s="20" t="s">
        <v>231</v>
      </c>
      <c r="F293" s="16"/>
    </row>
    <row r="294">
      <c r="A294" s="12">
        <v>1899.0</v>
      </c>
      <c r="B294" s="13" t="s">
        <v>2151</v>
      </c>
      <c r="C294" s="14">
        <v>289.0</v>
      </c>
      <c r="D294" s="12" t="s">
        <v>2049</v>
      </c>
      <c r="E294" s="20" t="s">
        <v>231</v>
      </c>
      <c r="F294" s="16"/>
    </row>
    <row r="295">
      <c r="A295" s="12">
        <v>1910.0</v>
      </c>
      <c r="B295" s="13" t="s">
        <v>2154</v>
      </c>
      <c r="C295" s="14">
        <v>290.0</v>
      </c>
      <c r="D295" s="12" t="s">
        <v>2052</v>
      </c>
      <c r="E295" s="20" t="s">
        <v>231</v>
      </c>
      <c r="F295" s="16"/>
    </row>
    <row r="296">
      <c r="A296" s="12">
        <v>1928.0</v>
      </c>
      <c r="B296" s="13" t="s">
        <v>2157</v>
      </c>
      <c r="C296" s="14">
        <v>296.0</v>
      </c>
      <c r="D296" s="12" t="s">
        <v>2111</v>
      </c>
      <c r="E296" s="20" t="s">
        <v>231</v>
      </c>
      <c r="F296" s="16"/>
    </row>
    <row r="297">
      <c r="A297" s="12">
        <v>1964.0</v>
      </c>
      <c r="B297" s="13" t="s">
        <v>2160</v>
      </c>
      <c r="C297" s="14">
        <v>298.0</v>
      </c>
      <c r="D297" s="12" t="s">
        <v>2124</v>
      </c>
      <c r="E297" s="20" t="s">
        <v>231</v>
      </c>
      <c r="F297" s="16"/>
    </row>
    <row r="298">
      <c r="A298" s="12">
        <v>1975.0</v>
      </c>
      <c r="B298" s="13" t="s">
        <v>2163</v>
      </c>
      <c r="C298" s="14">
        <v>297.0</v>
      </c>
      <c r="D298" s="12" t="s">
        <v>2115</v>
      </c>
      <c r="E298" s="20" t="s">
        <v>231</v>
      </c>
      <c r="F298" s="16"/>
    </row>
    <row r="299">
      <c r="A299" s="12">
        <v>1984.0</v>
      </c>
      <c r="B299" s="13" t="s">
        <v>2165</v>
      </c>
      <c r="C299" s="14">
        <v>270.0</v>
      </c>
      <c r="D299" s="12" t="s">
        <v>1980</v>
      </c>
      <c r="E299" s="20" t="s">
        <v>231</v>
      </c>
      <c r="F299" s="16"/>
    </row>
    <row r="300">
      <c r="A300" s="12">
        <v>1989.0</v>
      </c>
      <c r="B300" s="13" t="s">
        <v>2168</v>
      </c>
      <c r="C300" s="14">
        <v>251.0</v>
      </c>
      <c r="D300" s="12" t="s">
        <v>1911</v>
      </c>
      <c r="E300" s="20" t="s">
        <v>231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</hyperlinks>
  <drawing r:id="rId30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/>
      <c r="B1" s="29" t="s">
        <v>623</v>
      </c>
    </row>
    <row r="2">
      <c r="A2" s="9" t="s">
        <v>457</v>
      </c>
      <c r="B2" s="10" t="s">
        <v>458</v>
      </c>
      <c r="C2" s="11" t="s">
        <v>224</v>
      </c>
      <c r="D2" s="9" t="s">
        <v>459</v>
      </c>
      <c r="E2" s="9" t="s">
        <v>460</v>
      </c>
      <c r="F2" s="9" t="s">
        <v>461</v>
      </c>
    </row>
    <row r="3">
      <c r="A3" s="12">
        <v>1.0</v>
      </c>
      <c r="B3" s="13" t="s">
        <v>2145</v>
      </c>
      <c r="C3" s="14">
        <v>1.0</v>
      </c>
      <c r="D3" s="12" t="s">
        <v>33</v>
      </c>
      <c r="E3" s="15">
        <f>+0</f>
        <v>0</v>
      </c>
      <c r="F3" s="16"/>
    </row>
    <row r="4">
      <c r="A4" s="12">
        <v>2.0</v>
      </c>
      <c r="B4" s="13" t="s">
        <v>2148</v>
      </c>
      <c r="C4" s="14">
        <v>3.0</v>
      </c>
      <c r="D4" s="12" t="s">
        <v>90</v>
      </c>
      <c r="E4" s="18">
        <f>+1</f>
        <v>1</v>
      </c>
      <c r="F4" s="16"/>
    </row>
    <row r="5">
      <c r="A5" s="12">
        <v>3.0</v>
      </c>
      <c r="B5" s="13" t="s">
        <v>2152</v>
      </c>
      <c r="C5" s="14">
        <v>8.0</v>
      </c>
      <c r="D5" s="12" t="s">
        <v>94</v>
      </c>
      <c r="E5" s="18">
        <f>+5</f>
        <v>5</v>
      </c>
      <c r="F5" s="16"/>
    </row>
    <row r="6">
      <c r="A6" s="12">
        <v>4.0</v>
      </c>
      <c r="B6" s="13" t="s">
        <v>2156</v>
      </c>
      <c r="C6" s="14">
        <v>11.0</v>
      </c>
      <c r="D6" s="12" t="s">
        <v>133</v>
      </c>
      <c r="E6" s="18">
        <f>+7</f>
        <v>7</v>
      </c>
      <c r="F6" s="16"/>
    </row>
    <row r="7">
      <c r="A7" s="12">
        <v>5.0</v>
      </c>
      <c r="B7" s="13" t="s">
        <v>2159</v>
      </c>
      <c r="C7" s="14">
        <v>4.0</v>
      </c>
      <c r="D7" s="12" t="s">
        <v>9</v>
      </c>
      <c r="E7" s="17">
        <v>-1.0</v>
      </c>
      <c r="F7" s="16"/>
    </row>
    <row r="8">
      <c r="A8" s="12">
        <v>6.0</v>
      </c>
      <c r="B8" s="13" t="s">
        <v>2161</v>
      </c>
      <c r="C8" s="14">
        <v>2.0</v>
      </c>
      <c r="D8" s="12" t="s">
        <v>6</v>
      </c>
      <c r="E8" s="17">
        <v>-4.0</v>
      </c>
      <c r="F8" s="16"/>
    </row>
    <row r="9">
      <c r="A9" s="12">
        <v>7.0</v>
      </c>
      <c r="B9" s="13" t="s">
        <v>2164</v>
      </c>
      <c r="C9" s="14">
        <v>7.0</v>
      </c>
      <c r="D9" s="12" t="s">
        <v>18</v>
      </c>
      <c r="E9" s="15">
        <f>+0</f>
        <v>0</v>
      </c>
      <c r="F9" s="16"/>
    </row>
    <row r="10">
      <c r="A10" s="12">
        <v>8.0</v>
      </c>
      <c r="B10" s="13" t="s">
        <v>2167</v>
      </c>
      <c r="C10" s="14">
        <v>5.0</v>
      </c>
      <c r="D10" s="12" t="s">
        <v>15</v>
      </c>
      <c r="E10" s="17">
        <v>-3.0</v>
      </c>
      <c r="F10" s="16"/>
    </row>
    <row r="11">
      <c r="A11" s="12">
        <v>9.0</v>
      </c>
      <c r="B11" s="13" t="s">
        <v>2170</v>
      </c>
      <c r="C11" s="14">
        <v>6.0</v>
      </c>
      <c r="D11" s="12" t="s">
        <v>12</v>
      </c>
      <c r="E11" s="17">
        <v>-3.0</v>
      </c>
      <c r="F11" s="16"/>
    </row>
    <row r="12">
      <c r="A12" s="12">
        <v>10.0</v>
      </c>
      <c r="B12" s="13" t="s">
        <v>2171</v>
      </c>
      <c r="C12" s="14">
        <v>10.0</v>
      </c>
      <c r="D12" s="12" t="s">
        <v>123</v>
      </c>
      <c r="E12" s="15">
        <f>+0</f>
        <v>0</v>
      </c>
      <c r="F12" s="16"/>
    </row>
    <row r="13">
      <c r="A13" s="12">
        <v>11.0</v>
      </c>
      <c r="B13" s="13" t="s">
        <v>2173</v>
      </c>
      <c r="C13" s="14">
        <v>14.0</v>
      </c>
      <c r="D13" s="12" t="s">
        <v>141</v>
      </c>
      <c r="E13" s="18">
        <f>+3</f>
        <v>3</v>
      </c>
      <c r="F13" s="16"/>
    </row>
    <row r="14">
      <c r="A14" s="12">
        <v>12.0</v>
      </c>
      <c r="B14" s="13" t="s">
        <v>2175</v>
      </c>
      <c r="C14" s="14">
        <v>26.0</v>
      </c>
      <c r="D14" s="12" t="s">
        <v>195</v>
      </c>
      <c r="E14" s="18">
        <f>+14</f>
        <v>14</v>
      </c>
      <c r="F14" s="16"/>
    </row>
    <row r="15">
      <c r="A15" s="12">
        <v>13.0</v>
      </c>
      <c r="B15" s="13" t="s">
        <v>2177</v>
      </c>
      <c r="C15" s="14">
        <v>18.0</v>
      </c>
      <c r="D15" s="12" t="s">
        <v>45</v>
      </c>
      <c r="E15" s="18">
        <f>+5</f>
        <v>5</v>
      </c>
      <c r="F15" s="16"/>
    </row>
    <row r="16">
      <c r="A16" s="12">
        <v>14.0</v>
      </c>
      <c r="B16" s="13" t="s">
        <v>2179</v>
      </c>
      <c r="C16" s="14">
        <v>9.0</v>
      </c>
      <c r="D16" s="12" t="s">
        <v>21</v>
      </c>
      <c r="E16" s="17">
        <v>-5.0</v>
      </c>
      <c r="F16" s="16"/>
    </row>
    <row r="17">
      <c r="A17" s="12">
        <v>15.0</v>
      </c>
      <c r="B17" s="13" t="s">
        <v>2181</v>
      </c>
      <c r="C17" s="14">
        <v>19.0</v>
      </c>
      <c r="D17" s="12" t="s">
        <v>39</v>
      </c>
      <c r="E17" s="18">
        <f>+4</f>
        <v>4</v>
      </c>
      <c r="F17" s="16"/>
    </row>
    <row r="18">
      <c r="A18" s="12">
        <v>16.0</v>
      </c>
      <c r="B18" s="13" t="s">
        <v>2183</v>
      </c>
      <c r="C18" s="14">
        <v>16.0</v>
      </c>
      <c r="D18" s="12" t="s">
        <v>27</v>
      </c>
      <c r="E18" s="15">
        <f>+0</f>
        <v>0</v>
      </c>
      <c r="F18" s="16"/>
    </row>
    <row r="19">
      <c r="A19" s="12">
        <v>17.0</v>
      </c>
      <c r="B19" s="13" t="s">
        <v>2185</v>
      </c>
      <c r="C19" s="14">
        <v>12.0</v>
      </c>
      <c r="D19" s="12" t="s">
        <v>24</v>
      </c>
      <c r="E19" s="17">
        <v>-5.0</v>
      </c>
      <c r="F19" s="16"/>
    </row>
    <row r="20">
      <c r="A20" s="12">
        <v>18.0</v>
      </c>
      <c r="B20" s="13" t="s">
        <v>2187</v>
      </c>
      <c r="C20" s="14">
        <v>17.0</v>
      </c>
      <c r="D20" s="12" t="s">
        <v>36</v>
      </c>
      <c r="E20" s="17">
        <v>-1.0</v>
      </c>
      <c r="F20" s="16"/>
    </row>
    <row r="21">
      <c r="A21" s="12">
        <v>19.0</v>
      </c>
      <c r="B21" s="13" t="s">
        <v>2189</v>
      </c>
      <c r="C21" s="14">
        <v>25.0</v>
      </c>
      <c r="D21" s="12" t="s">
        <v>193</v>
      </c>
      <c r="E21" s="18">
        <f>+6</f>
        <v>6</v>
      </c>
      <c r="F21" s="16"/>
    </row>
    <row r="22">
      <c r="A22" s="12">
        <v>20.0</v>
      </c>
      <c r="B22" s="13" t="s">
        <v>2192</v>
      </c>
      <c r="C22" s="14">
        <v>24.0</v>
      </c>
      <c r="D22" s="12" t="s">
        <v>149</v>
      </c>
      <c r="E22" s="18">
        <f>+4</f>
        <v>4</v>
      </c>
      <c r="F22" s="16"/>
    </row>
    <row r="23">
      <c r="A23" s="12">
        <v>21.0</v>
      </c>
      <c r="B23" s="13" t="s">
        <v>2194</v>
      </c>
      <c r="C23" s="14">
        <v>27.0</v>
      </c>
      <c r="D23" s="12" t="s">
        <v>60</v>
      </c>
      <c r="E23" s="18">
        <f>+6</f>
        <v>6</v>
      </c>
      <c r="F23" s="16"/>
    </row>
    <row r="24">
      <c r="A24" s="12">
        <v>22.0</v>
      </c>
      <c r="B24" s="13" t="s">
        <v>2196</v>
      </c>
      <c r="C24" s="14">
        <v>20.0</v>
      </c>
      <c r="D24" s="12" t="s">
        <v>48</v>
      </c>
      <c r="E24" s="17">
        <v>-2.0</v>
      </c>
      <c r="F24" s="16"/>
    </row>
    <row r="25">
      <c r="A25" s="12">
        <v>23.0</v>
      </c>
      <c r="B25" s="13" t="s">
        <v>2198</v>
      </c>
      <c r="C25" s="14">
        <v>22.0</v>
      </c>
      <c r="D25" s="12" t="s">
        <v>42</v>
      </c>
      <c r="E25" s="17">
        <v>-1.0</v>
      </c>
      <c r="F25" s="16"/>
    </row>
    <row r="26">
      <c r="A26" s="12">
        <v>24.0</v>
      </c>
      <c r="B26" s="13" t="s">
        <v>2200</v>
      </c>
      <c r="C26" s="14">
        <v>21.0</v>
      </c>
      <c r="D26" s="12" t="s">
        <v>57</v>
      </c>
      <c r="E26" s="17">
        <v>-3.0</v>
      </c>
      <c r="F26" s="16"/>
    </row>
    <row r="27">
      <c r="A27" s="12">
        <v>25.0</v>
      </c>
      <c r="B27" s="13" t="s">
        <v>2202</v>
      </c>
      <c r="C27" s="14">
        <v>31.0</v>
      </c>
      <c r="D27" s="12" t="s">
        <v>197</v>
      </c>
      <c r="E27" s="18">
        <f>+6</f>
        <v>6</v>
      </c>
      <c r="F27" s="16"/>
    </row>
    <row r="28">
      <c r="A28" s="12">
        <v>26.0</v>
      </c>
      <c r="B28" s="13" t="s">
        <v>2204</v>
      </c>
      <c r="C28" s="14">
        <v>34.0</v>
      </c>
      <c r="D28" s="12" t="s">
        <v>66</v>
      </c>
      <c r="E28" s="18">
        <f>+8</f>
        <v>8</v>
      </c>
      <c r="F28" s="16"/>
    </row>
    <row r="29">
      <c r="A29" s="12">
        <v>27.0</v>
      </c>
      <c r="B29" s="13" t="s">
        <v>2207</v>
      </c>
      <c r="C29" s="14">
        <v>13.0</v>
      </c>
      <c r="D29" s="12" t="s">
        <v>30</v>
      </c>
      <c r="E29" s="17">
        <v>-14.0</v>
      </c>
      <c r="F29" s="16"/>
    </row>
    <row r="30">
      <c r="A30" s="12">
        <v>28.0</v>
      </c>
      <c r="B30" s="13" t="s">
        <v>2209</v>
      </c>
      <c r="C30" s="14">
        <v>36.0</v>
      </c>
      <c r="D30" s="12" t="s">
        <v>280</v>
      </c>
      <c r="E30" s="18">
        <f>+8</f>
        <v>8</v>
      </c>
      <c r="F30" s="16"/>
    </row>
    <row r="31">
      <c r="A31" s="12">
        <v>29.0</v>
      </c>
      <c r="B31" s="13" t="s">
        <v>2212</v>
      </c>
      <c r="C31" s="14">
        <v>15.0</v>
      </c>
      <c r="D31" s="12" t="s">
        <v>63</v>
      </c>
      <c r="E31" s="17">
        <v>-14.0</v>
      </c>
      <c r="F31" s="16"/>
    </row>
    <row r="32">
      <c r="A32" s="12">
        <v>30.0</v>
      </c>
      <c r="B32" s="13" t="s">
        <v>2216</v>
      </c>
      <c r="C32" s="14">
        <v>33.0</v>
      </c>
      <c r="D32" s="12" t="s">
        <v>222</v>
      </c>
      <c r="E32" s="18">
        <f>+3</f>
        <v>3</v>
      </c>
      <c r="F32" s="16"/>
    </row>
    <row r="33">
      <c r="A33" s="12">
        <v>31.0</v>
      </c>
      <c r="B33" s="13" t="s">
        <v>2218</v>
      </c>
      <c r="C33" s="14">
        <v>23.0</v>
      </c>
      <c r="D33" s="12" t="s">
        <v>145</v>
      </c>
      <c r="E33" s="17">
        <v>-8.0</v>
      </c>
      <c r="F33" s="16"/>
    </row>
    <row r="34">
      <c r="A34" s="12">
        <v>32.0</v>
      </c>
      <c r="B34" s="13" t="s">
        <v>2220</v>
      </c>
      <c r="C34" s="14">
        <v>28.0</v>
      </c>
      <c r="D34" s="12" t="s">
        <v>51</v>
      </c>
      <c r="E34" s="17">
        <v>-4.0</v>
      </c>
      <c r="F34" s="16"/>
    </row>
    <row r="35">
      <c r="A35" s="12">
        <v>33.0</v>
      </c>
      <c r="B35" s="13" t="s">
        <v>2221</v>
      </c>
      <c r="C35" s="14">
        <v>30.0</v>
      </c>
      <c r="D35" s="12" t="s">
        <v>75</v>
      </c>
      <c r="E35" s="17">
        <v>-3.0</v>
      </c>
      <c r="F35" s="16"/>
    </row>
    <row r="36">
      <c r="A36" s="12">
        <v>34.0</v>
      </c>
      <c r="B36" s="13" t="s">
        <v>2227</v>
      </c>
      <c r="C36" s="14">
        <v>32.0</v>
      </c>
      <c r="D36" s="12" t="s">
        <v>54</v>
      </c>
      <c r="E36" s="17">
        <v>-2.0</v>
      </c>
      <c r="F36" s="16"/>
    </row>
    <row r="37">
      <c r="A37" s="12">
        <v>35.0</v>
      </c>
      <c r="B37" s="13" t="s">
        <v>2229</v>
      </c>
      <c r="C37" s="14">
        <v>37.0</v>
      </c>
      <c r="D37" s="12" t="s">
        <v>72</v>
      </c>
      <c r="E37" s="18">
        <f>+2</f>
        <v>2</v>
      </c>
      <c r="F37" s="16"/>
    </row>
    <row r="38">
      <c r="A38" s="12">
        <v>36.0</v>
      </c>
      <c r="B38" s="13" t="s">
        <v>2296</v>
      </c>
      <c r="C38" s="14">
        <v>44.0</v>
      </c>
      <c r="D38" s="12" t="s">
        <v>319</v>
      </c>
      <c r="E38" s="18">
        <f>+8</f>
        <v>8</v>
      </c>
      <c r="F38" s="16"/>
    </row>
    <row r="39">
      <c r="A39" s="12">
        <v>37.0</v>
      </c>
      <c r="B39" s="13" t="s">
        <v>2300</v>
      </c>
      <c r="C39" s="14">
        <v>42.0</v>
      </c>
      <c r="D39" s="12" t="s">
        <v>92</v>
      </c>
      <c r="E39" s="18">
        <f>+5</f>
        <v>5</v>
      </c>
      <c r="F39" s="16"/>
    </row>
    <row r="40">
      <c r="A40" s="12">
        <v>38.0</v>
      </c>
      <c r="B40" s="13" t="s">
        <v>2302</v>
      </c>
      <c r="C40" s="14">
        <v>47.0</v>
      </c>
      <c r="D40" s="12" t="s">
        <v>121</v>
      </c>
      <c r="E40" s="18">
        <f t="shared" ref="E40:E41" si="1">+9</f>
        <v>9</v>
      </c>
      <c r="F40" s="16"/>
    </row>
    <row r="41">
      <c r="A41" s="12">
        <v>39.0</v>
      </c>
      <c r="B41" s="13" t="s">
        <v>2305</v>
      </c>
      <c r="C41" s="14">
        <v>48.0</v>
      </c>
      <c r="D41" s="12" t="s">
        <v>129</v>
      </c>
      <c r="E41" s="18">
        <f t="shared" si="1"/>
        <v>9</v>
      </c>
      <c r="F41" s="16"/>
    </row>
    <row r="42">
      <c r="A42" s="12">
        <v>40.0</v>
      </c>
      <c r="B42" s="13" t="s">
        <v>2306</v>
      </c>
      <c r="C42" s="14">
        <v>43.0</v>
      </c>
      <c r="D42" s="12" t="s">
        <v>119</v>
      </c>
      <c r="E42" s="18">
        <f>+3</f>
        <v>3</v>
      </c>
      <c r="F42" s="16"/>
    </row>
    <row r="43">
      <c r="A43" s="12">
        <v>42.0</v>
      </c>
      <c r="B43" s="13" t="s">
        <v>2309</v>
      </c>
      <c r="C43" s="14">
        <v>35.0</v>
      </c>
      <c r="D43" s="12" t="s">
        <v>69</v>
      </c>
      <c r="E43" s="17">
        <v>-7.0</v>
      </c>
      <c r="F43" s="16"/>
    </row>
    <row r="44">
      <c r="A44" s="12">
        <v>43.0</v>
      </c>
      <c r="B44" s="13" t="s">
        <v>2311</v>
      </c>
      <c r="C44" s="14">
        <v>29.0</v>
      </c>
      <c r="D44" s="12" t="s">
        <v>103</v>
      </c>
      <c r="E44" s="17">
        <v>-14.0</v>
      </c>
      <c r="F44" s="16"/>
    </row>
    <row r="45">
      <c r="A45" s="12">
        <v>45.0</v>
      </c>
      <c r="B45" s="13" t="s">
        <v>2313</v>
      </c>
      <c r="C45" s="14">
        <v>49.0</v>
      </c>
      <c r="D45" s="12" t="s">
        <v>325</v>
      </c>
      <c r="E45" s="18">
        <f>+4</f>
        <v>4</v>
      </c>
      <c r="F45" s="16"/>
    </row>
    <row r="46">
      <c r="A46" s="12">
        <v>46.0</v>
      </c>
      <c r="B46" s="13" t="s">
        <v>2316</v>
      </c>
      <c r="C46" s="14">
        <v>76.0</v>
      </c>
      <c r="D46" s="12" t="s">
        <v>1352</v>
      </c>
      <c r="E46" s="18">
        <f>+30</f>
        <v>30</v>
      </c>
      <c r="F46" s="16"/>
    </row>
    <row r="47">
      <c r="A47" s="12">
        <v>47.0</v>
      </c>
      <c r="B47" s="13" t="s">
        <v>2319</v>
      </c>
      <c r="C47" s="14">
        <v>66.0</v>
      </c>
      <c r="D47" s="12" t="s">
        <v>127</v>
      </c>
      <c r="E47" s="18">
        <f>+19</f>
        <v>19</v>
      </c>
      <c r="F47" s="16"/>
    </row>
    <row r="48">
      <c r="A48" s="12">
        <v>48.0</v>
      </c>
      <c r="B48" s="13" t="s">
        <v>2324</v>
      </c>
      <c r="C48" s="14">
        <v>39.0</v>
      </c>
      <c r="D48" s="12" t="s">
        <v>288</v>
      </c>
      <c r="E48" s="17">
        <v>-9.0</v>
      </c>
      <c r="F48" s="16"/>
    </row>
    <row r="49">
      <c r="A49" s="12">
        <v>49.0</v>
      </c>
      <c r="B49" s="13" t="s">
        <v>2327</v>
      </c>
      <c r="C49" s="14">
        <v>56.0</v>
      </c>
      <c r="D49" s="12" t="s">
        <v>159</v>
      </c>
      <c r="E49" s="18">
        <f>+7</f>
        <v>7</v>
      </c>
      <c r="F49" s="16"/>
    </row>
    <row r="50">
      <c r="A50" s="12">
        <v>50.0</v>
      </c>
      <c r="B50" s="13" t="s">
        <v>2330</v>
      </c>
      <c r="C50" s="14">
        <v>40.0</v>
      </c>
      <c r="D50" s="12" t="s">
        <v>81</v>
      </c>
      <c r="E50" s="17">
        <v>-10.0</v>
      </c>
      <c r="F50" s="16"/>
    </row>
    <row r="51">
      <c r="A51" s="12">
        <v>51.0</v>
      </c>
      <c r="B51" s="13" t="s">
        <v>2333</v>
      </c>
      <c r="C51" s="14">
        <v>64.0</v>
      </c>
      <c r="D51" s="12" t="s">
        <v>421</v>
      </c>
      <c r="E51" s="18">
        <f>+13</f>
        <v>13</v>
      </c>
      <c r="F51" s="16"/>
    </row>
    <row r="52">
      <c r="A52" s="12">
        <v>52.0</v>
      </c>
      <c r="B52" s="13" t="s">
        <v>2336</v>
      </c>
      <c r="C52" s="14">
        <v>84.0</v>
      </c>
      <c r="D52" s="12" t="s">
        <v>1426</v>
      </c>
      <c r="E52" s="18">
        <f>+32</f>
        <v>32</v>
      </c>
      <c r="F52" s="16"/>
    </row>
    <row r="53">
      <c r="A53" s="12">
        <v>53.0</v>
      </c>
      <c r="B53" s="13" t="s">
        <v>2339</v>
      </c>
      <c r="C53" s="14">
        <v>45.0</v>
      </c>
      <c r="D53" s="12" t="s">
        <v>84</v>
      </c>
      <c r="E53" s="17">
        <v>-8.0</v>
      </c>
      <c r="F53" s="16"/>
    </row>
    <row r="54">
      <c r="A54" s="12">
        <v>54.0</v>
      </c>
      <c r="B54" s="13" t="s">
        <v>2342</v>
      </c>
      <c r="C54" s="14">
        <v>52.0</v>
      </c>
      <c r="D54" s="12" t="s">
        <v>96</v>
      </c>
      <c r="E54" s="17">
        <v>-2.0</v>
      </c>
      <c r="F54" s="16"/>
    </row>
    <row r="55">
      <c r="A55" s="12">
        <v>55.0</v>
      </c>
      <c r="B55" s="13" t="s">
        <v>2345</v>
      </c>
      <c r="C55" s="14">
        <v>53.0</v>
      </c>
      <c r="D55" s="12" t="s">
        <v>135</v>
      </c>
      <c r="E55" s="17">
        <v>-2.0</v>
      </c>
      <c r="F55" s="16"/>
    </row>
    <row r="56">
      <c r="A56" s="12">
        <v>56.0</v>
      </c>
      <c r="B56" s="13" t="s">
        <v>2348</v>
      </c>
      <c r="C56" s="14">
        <v>61.0</v>
      </c>
      <c r="D56" s="12" t="s">
        <v>115</v>
      </c>
      <c r="E56" s="18">
        <f>+5</f>
        <v>5</v>
      </c>
      <c r="F56" s="16"/>
    </row>
    <row r="57">
      <c r="A57" s="12">
        <v>57.0</v>
      </c>
      <c r="B57" s="13" t="s">
        <v>2351</v>
      </c>
      <c r="C57" s="14">
        <v>65.0</v>
      </c>
      <c r="D57" s="12" t="s">
        <v>427</v>
      </c>
      <c r="E57" s="18">
        <f>+8</f>
        <v>8</v>
      </c>
      <c r="F57" s="16"/>
    </row>
    <row r="58">
      <c r="A58" s="12">
        <v>58.0</v>
      </c>
      <c r="B58" s="13" t="s">
        <v>2353</v>
      </c>
      <c r="C58" s="14">
        <v>50.0</v>
      </c>
      <c r="D58" s="12" t="s">
        <v>87</v>
      </c>
      <c r="E58" s="17">
        <v>-8.0</v>
      </c>
      <c r="F58" s="16"/>
    </row>
    <row r="59">
      <c r="A59" s="12">
        <v>59.0</v>
      </c>
      <c r="B59" s="13" t="s">
        <v>2355</v>
      </c>
      <c r="C59" s="14">
        <v>57.0</v>
      </c>
      <c r="D59" s="12" t="s">
        <v>107</v>
      </c>
      <c r="E59" s="17">
        <v>-2.0</v>
      </c>
      <c r="F59" s="16"/>
    </row>
    <row r="60">
      <c r="A60" s="12">
        <v>60.0</v>
      </c>
      <c r="B60" s="13" t="s">
        <v>2357</v>
      </c>
      <c r="C60" s="14">
        <v>41.0</v>
      </c>
      <c r="D60" s="12" t="s">
        <v>78</v>
      </c>
      <c r="E60" s="17">
        <v>-19.0</v>
      </c>
      <c r="F60" s="16"/>
    </row>
    <row r="61">
      <c r="A61" s="12">
        <v>61.0</v>
      </c>
      <c r="B61" s="13" t="s">
        <v>2359</v>
      </c>
      <c r="C61" s="14">
        <v>78.0</v>
      </c>
      <c r="D61" s="12" t="s">
        <v>1367</v>
      </c>
      <c r="E61" s="18">
        <f>+17</f>
        <v>17</v>
      </c>
      <c r="F61" s="16"/>
    </row>
    <row r="62">
      <c r="A62" s="12">
        <v>62.0</v>
      </c>
      <c r="B62" s="13" t="s">
        <v>2361</v>
      </c>
      <c r="C62" s="14">
        <v>67.0</v>
      </c>
      <c r="D62" s="12" t="s">
        <v>137</v>
      </c>
      <c r="E62" s="18">
        <f>+5</f>
        <v>5</v>
      </c>
      <c r="F62" s="16"/>
    </row>
    <row r="63">
      <c r="A63" s="12">
        <v>63.0</v>
      </c>
      <c r="B63" s="13" t="s">
        <v>2364</v>
      </c>
      <c r="C63" s="14">
        <v>71.0</v>
      </c>
      <c r="D63" s="12" t="s">
        <v>201</v>
      </c>
      <c r="E63" s="18">
        <f>+8</f>
        <v>8</v>
      </c>
      <c r="F63" s="16"/>
    </row>
    <row r="64">
      <c r="A64" s="12">
        <v>64.0</v>
      </c>
      <c r="B64" s="13" t="s">
        <v>2366</v>
      </c>
      <c r="C64" s="14">
        <v>60.0</v>
      </c>
      <c r="D64" s="12" t="s">
        <v>113</v>
      </c>
      <c r="E64" s="17">
        <v>-4.0</v>
      </c>
      <c r="F64" s="16"/>
    </row>
    <row r="65">
      <c r="A65" s="12">
        <v>65.0</v>
      </c>
      <c r="B65" s="13" t="s">
        <v>2368</v>
      </c>
      <c r="C65" s="14">
        <v>74.0</v>
      </c>
      <c r="D65" s="12" t="s">
        <v>153</v>
      </c>
      <c r="E65" s="18">
        <f>+9</f>
        <v>9</v>
      </c>
      <c r="F65" s="16"/>
    </row>
    <row r="66">
      <c r="A66" s="12">
        <v>66.0</v>
      </c>
      <c r="B66" s="13" t="s">
        <v>2371</v>
      </c>
      <c r="C66" s="14">
        <v>72.0</v>
      </c>
      <c r="D66" s="12" t="s">
        <v>431</v>
      </c>
      <c r="E66" s="18">
        <f>+6</f>
        <v>6</v>
      </c>
      <c r="F66" s="16"/>
    </row>
    <row r="67">
      <c r="A67" s="12">
        <v>67.0</v>
      </c>
      <c r="B67" s="13" t="s">
        <v>2373</v>
      </c>
      <c r="C67" s="14">
        <v>54.0</v>
      </c>
      <c r="D67" s="12" t="s">
        <v>98</v>
      </c>
      <c r="E67" s="17">
        <v>-13.0</v>
      </c>
      <c r="F67" s="16"/>
    </row>
    <row r="68">
      <c r="A68" s="12">
        <v>68.0</v>
      </c>
      <c r="B68" s="13" t="s">
        <v>2376</v>
      </c>
      <c r="C68" s="14">
        <v>80.0</v>
      </c>
      <c r="D68" s="12" t="s">
        <v>1373</v>
      </c>
      <c r="E68" s="18">
        <f>+12</f>
        <v>12</v>
      </c>
      <c r="F68" s="16"/>
    </row>
    <row r="69">
      <c r="A69" s="12">
        <v>69.0</v>
      </c>
      <c r="B69" s="13" t="s">
        <v>2379</v>
      </c>
      <c r="C69" s="14">
        <v>79.0</v>
      </c>
      <c r="D69" s="12" t="s">
        <v>157</v>
      </c>
      <c r="E69" s="18">
        <f>+10</f>
        <v>10</v>
      </c>
      <c r="F69" s="16"/>
    </row>
    <row r="70">
      <c r="A70" s="12">
        <v>70.0</v>
      </c>
      <c r="B70" s="13" t="s">
        <v>2381</v>
      </c>
      <c r="C70" s="14">
        <v>51.0</v>
      </c>
      <c r="D70" s="12" t="s">
        <v>131</v>
      </c>
      <c r="E70" s="17">
        <v>-19.0</v>
      </c>
      <c r="F70" s="16"/>
    </row>
    <row r="71">
      <c r="A71" s="12">
        <v>71.0</v>
      </c>
      <c r="B71" s="13" t="s">
        <v>2383</v>
      </c>
      <c r="C71" s="14">
        <v>69.0</v>
      </c>
      <c r="D71" s="12" t="s">
        <v>139</v>
      </c>
      <c r="E71" s="17">
        <v>-2.0</v>
      </c>
      <c r="F71" s="16"/>
    </row>
    <row r="72">
      <c r="A72" s="12">
        <v>73.0</v>
      </c>
      <c r="B72" s="13" t="s">
        <v>2385</v>
      </c>
      <c r="C72" s="14">
        <v>63.0</v>
      </c>
      <c r="D72" s="12" t="s">
        <v>161</v>
      </c>
      <c r="E72" s="17">
        <v>-10.0</v>
      </c>
      <c r="F72" s="16"/>
    </row>
    <row r="73">
      <c r="A73" s="12">
        <v>75.0</v>
      </c>
      <c r="B73" s="13" t="s">
        <v>2387</v>
      </c>
      <c r="C73" s="14">
        <v>38.0</v>
      </c>
      <c r="D73" s="12" t="s">
        <v>105</v>
      </c>
      <c r="E73" s="17">
        <v>-37.0</v>
      </c>
      <c r="F73" s="16"/>
    </row>
    <row r="74">
      <c r="A74" s="12">
        <v>76.0</v>
      </c>
      <c r="B74" s="13" t="s">
        <v>2389</v>
      </c>
      <c r="C74" s="14">
        <v>46.0</v>
      </c>
      <c r="D74" s="12" t="s">
        <v>109</v>
      </c>
      <c r="E74" s="17">
        <v>-30.0</v>
      </c>
      <c r="F74" s="16"/>
    </row>
    <row r="75">
      <c r="A75" s="12">
        <v>77.0</v>
      </c>
      <c r="B75" s="13" t="s">
        <v>2392</v>
      </c>
      <c r="C75" s="14">
        <v>93.0</v>
      </c>
      <c r="D75" s="12" t="s">
        <v>1807</v>
      </c>
      <c r="E75" s="18">
        <f>+16</f>
        <v>16</v>
      </c>
      <c r="F75" s="16"/>
    </row>
    <row r="76">
      <c r="A76" s="12">
        <v>78.0</v>
      </c>
      <c r="B76" s="13" t="s">
        <v>2394</v>
      </c>
      <c r="C76" s="14">
        <v>88.0</v>
      </c>
      <c r="D76" s="12" t="s">
        <v>1447</v>
      </c>
      <c r="E76" s="18">
        <f>+10</f>
        <v>10</v>
      </c>
      <c r="F76" s="16"/>
    </row>
    <row r="77">
      <c r="A77" s="12">
        <v>79.0</v>
      </c>
      <c r="B77" s="13" t="s">
        <v>2396</v>
      </c>
      <c r="C77" s="14">
        <v>55.0</v>
      </c>
      <c r="D77" s="12" t="s">
        <v>101</v>
      </c>
      <c r="E77" s="17">
        <v>-24.0</v>
      </c>
      <c r="F77" s="16"/>
    </row>
    <row r="78">
      <c r="A78" s="12">
        <v>81.0</v>
      </c>
      <c r="B78" s="13" t="s">
        <v>2398</v>
      </c>
      <c r="C78" s="14">
        <v>89.0</v>
      </c>
      <c r="D78" s="12" t="s">
        <v>1604</v>
      </c>
      <c r="E78" s="18">
        <f>+8</f>
        <v>8</v>
      </c>
      <c r="F78" s="16"/>
    </row>
    <row r="79">
      <c r="A79" s="12">
        <v>82.0</v>
      </c>
      <c r="B79" s="13" t="s">
        <v>2400</v>
      </c>
      <c r="C79" s="14">
        <v>81.0</v>
      </c>
      <c r="D79" s="12" t="s">
        <v>213</v>
      </c>
      <c r="E79" s="17">
        <v>-1.0</v>
      </c>
      <c r="F79" s="16"/>
    </row>
    <row r="80">
      <c r="A80" s="12">
        <v>83.0</v>
      </c>
      <c r="B80" s="13" t="s">
        <v>2402</v>
      </c>
      <c r="C80" s="14">
        <v>58.0</v>
      </c>
      <c r="D80" s="12" t="s">
        <v>117</v>
      </c>
      <c r="E80" s="17">
        <v>-25.0</v>
      </c>
      <c r="F80" s="16"/>
    </row>
    <row r="81">
      <c r="A81" s="12">
        <v>85.0</v>
      </c>
      <c r="B81" s="13" t="s">
        <v>2404</v>
      </c>
      <c r="C81" s="14">
        <v>94.0</v>
      </c>
      <c r="D81" s="12" t="s">
        <v>1836</v>
      </c>
      <c r="E81" s="18">
        <f>+9</f>
        <v>9</v>
      </c>
      <c r="F81" s="16"/>
    </row>
    <row r="82">
      <c r="A82" s="12">
        <v>87.0</v>
      </c>
      <c r="B82" s="13" t="s">
        <v>2406</v>
      </c>
      <c r="C82" s="14">
        <v>75.0</v>
      </c>
      <c r="D82" s="12" t="s">
        <v>209</v>
      </c>
      <c r="E82" s="17">
        <v>-12.0</v>
      </c>
      <c r="F82" s="16"/>
    </row>
    <row r="83">
      <c r="A83" s="12">
        <v>89.0</v>
      </c>
      <c r="B83" s="13" t="s">
        <v>2408</v>
      </c>
      <c r="C83" s="14">
        <v>98.0</v>
      </c>
      <c r="D83" s="12" t="s">
        <v>203</v>
      </c>
      <c r="E83" s="18">
        <f>+9</f>
        <v>9</v>
      </c>
      <c r="F83" s="16"/>
    </row>
    <row r="84">
      <c r="A84" s="12">
        <v>90.0</v>
      </c>
      <c r="B84" s="13" t="s">
        <v>2410</v>
      </c>
      <c r="C84" s="14">
        <v>104.0</v>
      </c>
      <c r="D84" s="12" t="s">
        <v>1489</v>
      </c>
      <c r="E84" s="18">
        <f>+14</f>
        <v>14</v>
      </c>
      <c r="F84" s="16"/>
    </row>
    <row r="85">
      <c r="A85" s="12">
        <v>93.0</v>
      </c>
      <c r="B85" s="13" t="s">
        <v>2412</v>
      </c>
      <c r="C85" s="14">
        <v>85.0</v>
      </c>
      <c r="D85" s="12" t="s">
        <v>175</v>
      </c>
      <c r="E85" s="17">
        <v>-8.0</v>
      </c>
      <c r="F85" s="16"/>
    </row>
    <row r="86">
      <c r="A86" s="12">
        <v>94.0</v>
      </c>
      <c r="B86" s="13" t="s">
        <v>2414</v>
      </c>
      <c r="C86" s="14">
        <v>83.0</v>
      </c>
      <c r="D86" s="12" t="s">
        <v>239</v>
      </c>
      <c r="E86" s="17">
        <v>-11.0</v>
      </c>
      <c r="F86" s="16"/>
    </row>
    <row r="87">
      <c r="A87" s="12">
        <v>96.0</v>
      </c>
      <c r="B87" s="13" t="s">
        <v>2416</v>
      </c>
      <c r="C87" s="14">
        <v>107.0</v>
      </c>
      <c r="D87" s="12" t="s">
        <v>269</v>
      </c>
      <c r="E87" s="18">
        <f>+11</f>
        <v>11</v>
      </c>
      <c r="F87" s="16"/>
    </row>
    <row r="88">
      <c r="A88" s="12">
        <v>97.0</v>
      </c>
      <c r="B88" s="13" t="s">
        <v>2419</v>
      </c>
      <c r="C88" s="14">
        <v>62.0</v>
      </c>
      <c r="D88" s="12" t="s">
        <v>125</v>
      </c>
      <c r="E88" s="17">
        <v>-35.0</v>
      </c>
      <c r="F88" s="16"/>
    </row>
    <row r="89">
      <c r="A89" s="12">
        <v>98.0</v>
      </c>
      <c r="B89" s="13" t="s">
        <v>2421</v>
      </c>
      <c r="C89" s="14">
        <v>70.0</v>
      </c>
      <c r="D89" s="12" t="s">
        <v>199</v>
      </c>
      <c r="E89" s="17">
        <v>-28.0</v>
      </c>
      <c r="F89" s="16"/>
    </row>
    <row r="90">
      <c r="A90" s="12">
        <v>99.0</v>
      </c>
      <c r="B90" s="13" t="s">
        <v>2423</v>
      </c>
      <c r="C90" s="14">
        <v>97.0</v>
      </c>
      <c r="D90" s="12" t="s">
        <v>191</v>
      </c>
      <c r="E90" s="17">
        <v>-2.0</v>
      </c>
      <c r="F90" s="16"/>
    </row>
    <row r="91">
      <c r="A91" s="12">
        <v>100.0</v>
      </c>
      <c r="B91" s="13" t="s">
        <v>2424</v>
      </c>
      <c r="C91" s="14">
        <v>77.0</v>
      </c>
      <c r="D91" s="12" t="s">
        <v>147</v>
      </c>
      <c r="E91" s="17">
        <v>-23.0</v>
      </c>
      <c r="F91" s="16"/>
    </row>
    <row r="92">
      <c r="A92" s="12">
        <v>102.0</v>
      </c>
      <c r="B92" s="13" t="s">
        <v>2427</v>
      </c>
      <c r="C92" s="14">
        <v>144.0</v>
      </c>
      <c r="D92" s="12" t="s">
        <v>1543</v>
      </c>
      <c r="E92" s="18">
        <f>+42</f>
        <v>42</v>
      </c>
      <c r="F92" s="16"/>
    </row>
    <row r="93">
      <c r="A93" s="12">
        <v>103.0</v>
      </c>
      <c r="B93" s="13" t="s">
        <v>2429</v>
      </c>
      <c r="C93" s="14">
        <v>59.0</v>
      </c>
      <c r="D93" s="12" t="s">
        <v>111</v>
      </c>
      <c r="E93" s="17">
        <v>-44.0</v>
      </c>
      <c r="F93" s="16"/>
    </row>
    <row r="94">
      <c r="A94" s="12">
        <v>104.0</v>
      </c>
      <c r="B94" s="13" t="s">
        <v>2431</v>
      </c>
      <c r="C94" s="14">
        <v>73.0</v>
      </c>
      <c r="D94" s="12" t="s">
        <v>207</v>
      </c>
      <c r="E94" s="17">
        <v>-31.0</v>
      </c>
      <c r="F94" s="16"/>
    </row>
    <row r="95">
      <c r="A95" s="12">
        <v>107.0</v>
      </c>
      <c r="B95" s="13" t="s">
        <v>2433</v>
      </c>
      <c r="C95" s="14">
        <v>162.0</v>
      </c>
      <c r="D95" s="12" t="s">
        <v>1516</v>
      </c>
      <c r="E95" s="18">
        <f>+55</f>
        <v>55</v>
      </c>
      <c r="F95" s="16"/>
    </row>
    <row r="96">
      <c r="A96" s="12">
        <v>108.0</v>
      </c>
      <c r="B96" s="13" t="s">
        <v>2435</v>
      </c>
      <c r="C96" s="14">
        <v>111.0</v>
      </c>
      <c r="D96" s="12" t="s">
        <v>273</v>
      </c>
      <c r="E96" s="18">
        <f>+3</f>
        <v>3</v>
      </c>
      <c r="F96" s="16"/>
    </row>
    <row r="97">
      <c r="A97" s="12">
        <v>109.0</v>
      </c>
      <c r="B97" s="13" t="s">
        <v>2437</v>
      </c>
      <c r="C97" s="14">
        <v>90.0</v>
      </c>
      <c r="D97" s="12" t="s">
        <v>177</v>
      </c>
      <c r="E97" s="17">
        <v>-19.0</v>
      </c>
      <c r="F97" s="16"/>
    </row>
    <row r="98">
      <c r="A98" s="12">
        <v>110.0</v>
      </c>
      <c r="B98" s="13" t="s">
        <v>2439</v>
      </c>
      <c r="C98" s="14">
        <v>103.0</v>
      </c>
      <c r="D98" s="12" t="s">
        <v>215</v>
      </c>
      <c r="E98" s="17">
        <v>-7.0</v>
      </c>
      <c r="F98" s="16"/>
    </row>
    <row r="99">
      <c r="A99" s="12">
        <v>111.0</v>
      </c>
      <c r="B99" s="13" t="s">
        <v>2441</v>
      </c>
      <c r="C99" s="14">
        <v>92.0</v>
      </c>
      <c r="D99" s="12" t="s">
        <v>183</v>
      </c>
      <c r="E99" s="17">
        <v>-19.0</v>
      </c>
      <c r="F99" s="16"/>
    </row>
    <row r="100">
      <c r="A100" s="12">
        <v>113.0</v>
      </c>
      <c r="B100" s="13" t="s">
        <v>2443</v>
      </c>
      <c r="C100" s="14">
        <v>106.0</v>
      </c>
      <c r="D100" s="12" t="s">
        <v>261</v>
      </c>
      <c r="E100" s="17">
        <v>-7.0</v>
      </c>
      <c r="F100" s="16"/>
    </row>
    <row r="101">
      <c r="A101" s="12">
        <v>115.0</v>
      </c>
      <c r="B101" s="13" t="s">
        <v>2445</v>
      </c>
      <c r="C101" s="14">
        <v>128.0</v>
      </c>
      <c r="D101" s="12" t="s">
        <v>394</v>
      </c>
      <c r="E101" s="18">
        <f>+13</f>
        <v>13</v>
      </c>
      <c r="F101" s="16"/>
    </row>
    <row r="102">
      <c r="A102" s="12">
        <v>116.0</v>
      </c>
      <c r="B102" s="13" t="s">
        <v>2448</v>
      </c>
      <c r="C102" s="14">
        <v>119.0</v>
      </c>
      <c r="D102" s="12" t="s">
        <v>367</v>
      </c>
      <c r="E102" s="18">
        <f>+3</f>
        <v>3</v>
      </c>
      <c r="F102" s="16"/>
    </row>
    <row r="103">
      <c r="A103" s="12">
        <v>117.0</v>
      </c>
      <c r="B103" s="13" t="s">
        <v>2450</v>
      </c>
      <c r="C103" s="14">
        <v>91.0</v>
      </c>
      <c r="D103" s="12" t="s">
        <v>181</v>
      </c>
      <c r="E103" s="17">
        <v>-26.0</v>
      </c>
      <c r="F103" s="16"/>
    </row>
    <row r="104">
      <c r="A104" s="12">
        <v>118.0</v>
      </c>
      <c r="B104" s="13" t="s">
        <v>2451</v>
      </c>
      <c r="C104" s="14">
        <v>118.0</v>
      </c>
      <c r="D104" s="12" t="s">
        <v>363</v>
      </c>
      <c r="E104" s="15">
        <f>+0</f>
        <v>0</v>
      </c>
      <c r="F104" s="16"/>
    </row>
    <row r="105">
      <c r="A105" s="12">
        <v>119.0</v>
      </c>
      <c r="B105" s="13" t="s">
        <v>2454</v>
      </c>
      <c r="C105" s="14">
        <v>116.0</v>
      </c>
      <c r="D105" s="12" t="s">
        <v>356</v>
      </c>
      <c r="E105" s="17">
        <v>-3.0</v>
      </c>
      <c r="F105" s="16"/>
    </row>
    <row r="106">
      <c r="A106" s="12">
        <v>120.0</v>
      </c>
      <c r="B106" s="13" t="s">
        <v>2456</v>
      </c>
      <c r="C106" s="14">
        <v>87.0</v>
      </c>
      <c r="D106" s="12" t="s">
        <v>155</v>
      </c>
      <c r="E106" s="17">
        <v>-33.0</v>
      </c>
      <c r="F106" s="16"/>
    </row>
    <row r="107">
      <c r="A107" s="12">
        <v>121.0</v>
      </c>
      <c r="B107" s="13" t="s">
        <v>2458</v>
      </c>
      <c r="C107" s="14">
        <v>123.0</v>
      </c>
      <c r="D107" s="12" t="s">
        <v>378</v>
      </c>
      <c r="E107" s="18">
        <f>+2</f>
        <v>2</v>
      </c>
      <c r="F107" s="16"/>
    </row>
    <row r="108">
      <c r="A108" s="12">
        <v>122.0</v>
      </c>
      <c r="B108" s="13" t="s">
        <v>2460</v>
      </c>
      <c r="C108" s="14">
        <v>68.0</v>
      </c>
      <c r="D108" s="12" t="s">
        <v>143</v>
      </c>
      <c r="E108" s="17">
        <v>-54.0</v>
      </c>
      <c r="F108" s="16"/>
    </row>
    <row r="109">
      <c r="A109" s="12">
        <v>123.0</v>
      </c>
      <c r="B109" s="13" t="s">
        <v>2461</v>
      </c>
      <c r="C109" s="14">
        <v>149.0</v>
      </c>
      <c r="D109" s="12" t="s">
        <v>1891</v>
      </c>
      <c r="E109" s="18">
        <f>+26</f>
        <v>26</v>
      </c>
      <c r="F109" s="16"/>
    </row>
    <row r="110">
      <c r="A110" s="12">
        <v>125.0</v>
      </c>
      <c r="B110" s="13" t="s">
        <v>2462</v>
      </c>
      <c r="C110" s="14">
        <v>146.0</v>
      </c>
      <c r="D110" s="12" t="s">
        <v>1235</v>
      </c>
      <c r="E110" s="18">
        <f>+21</f>
        <v>21</v>
      </c>
      <c r="F110" s="16"/>
    </row>
    <row r="111">
      <c r="A111" s="12">
        <v>126.0</v>
      </c>
      <c r="B111" s="13" t="s">
        <v>2463</v>
      </c>
      <c r="C111" s="14">
        <v>99.0</v>
      </c>
      <c r="D111" s="12" t="s">
        <v>205</v>
      </c>
      <c r="E111" s="17">
        <v>-27.0</v>
      </c>
      <c r="F111" s="16"/>
    </row>
    <row r="112">
      <c r="A112" s="12">
        <v>128.0</v>
      </c>
      <c r="B112" s="13" t="s">
        <v>2464</v>
      </c>
      <c r="C112" s="14">
        <v>96.0</v>
      </c>
      <c r="D112" s="12" t="s">
        <v>249</v>
      </c>
      <c r="E112" s="17">
        <v>-32.0</v>
      </c>
      <c r="F112" s="16"/>
    </row>
    <row r="113">
      <c r="A113" s="12">
        <v>129.0</v>
      </c>
      <c r="B113" s="13" t="s">
        <v>2465</v>
      </c>
      <c r="C113" s="14">
        <v>82.0</v>
      </c>
      <c r="D113" s="12" t="s">
        <v>230</v>
      </c>
      <c r="E113" s="17">
        <v>-47.0</v>
      </c>
      <c r="F113" s="16"/>
    </row>
    <row r="114">
      <c r="A114" s="12">
        <v>130.0</v>
      </c>
      <c r="B114" s="13" t="s">
        <v>2466</v>
      </c>
      <c r="C114" s="14">
        <v>100.0</v>
      </c>
      <c r="D114" s="12" t="s">
        <v>255</v>
      </c>
      <c r="E114" s="17">
        <v>-30.0</v>
      </c>
      <c r="F114" s="16"/>
    </row>
    <row r="115">
      <c r="A115" s="12">
        <v>131.0</v>
      </c>
      <c r="B115" s="13" t="s">
        <v>2467</v>
      </c>
      <c r="C115" s="14">
        <v>124.0</v>
      </c>
      <c r="D115" s="12" t="s">
        <v>384</v>
      </c>
      <c r="E115" s="17">
        <v>-7.0</v>
      </c>
      <c r="F115" s="16"/>
    </row>
    <row r="116">
      <c r="A116" s="12">
        <v>132.0</v>
      </c>
      <c r="B116" s="13" t="s">
        <v>2468</v>
      </c>
      <c r="C116" s="14">
        <v>117.0</v>
      </c>
      <c r="D116" s="12" t="s">
        <v>345</v>
      </c>
      <c r="E116" s="17">
        <v>-15.0</v>
      </c>
      <c r="F116" s="16"/>
    </row>
    <row r="117">
      <c r="A117" s="12">
        <v>134.0</v>
      </c>
      <c r="B117" s="13" t="s">
        <v>2469</v>
      </c>
      <c r="C117" s="14">
        <v>95.0</v>
      </c>
      <c r="D117" s="12" t="s">
        <v>189</v>
      </c>
      <c r="E117" s="17">
        <v>-39.0</v>
      </c>
      <c r="F117" s="16"/>
    </row>
    <row r="118">
      <c r="A118" s="12">
        <v>137.0</v>
      </c>
      <c r="B118" s="13" t="s">
        <v>2470</v>
      </c>
      <c r="C118" s="14">
        <v>133.0</v>
      </c>
      <c r="D118" s="12" t="s">
        <v>1198</v>
      </c>
      <c r="E118" s="17">
        <v>-4.0</v>
      </c>
      <c r="F118" s="16"/>
    </row>
    <row r="119">
      <c r="A119" s="12">
        <v>138.0</v>
      </c>
      <c r="B119" s="13" t="s">
        <v>2471</v>
      </c>
      <c r="C119" s="14">
        <v>109.0</v>
      </c>
      <c r="D119" s="12" t="s">
        <v>300</v>
      </c>
      <c r="E119" s="17">
        <v>-29.0</v>
      </c>
      <c r="F119" s="16"/>
    </row>
    <row r="120">
      <c r="A120" s="12">
        <v>139.0</v>
      </c>
      <c r="B120" s="13" t="s">
        <v>2472</v>
      </c>
      <c r="C120" s="14">
        <v>132.0</v>
      </c>
      <c r="D120" s="12" t="s">
        <v>401</v>
      </c>
      <c r="E120" s="17">
        <v>-7.0</v>
      </c>
      <c r="F120" s="16"/>
    </row>
    <row r="121">
      <c r="A121" s="12">
        <v>140.0</v>
      </c>
      <c r="B121" s="13" t="s">
        <v>2473</v>
      </c>
      <c r="C121" s="14">
        <v>120.0</v>
      </c>
      <c r="D121" s="12" t="s">
        <v>351</v>
      </c>
      <c r="E121" s="17">
        <v>-20.0</v>
      </c>
      <c r="F121" s="16"/>
    </row>
    <row r="122">
      <c r="A122" s="12">
        <v>142.0</v>
      </c>
      <c r="B122" s="13" t="s">
        <v>2474</v>
      </c>
      <c r="C122" s="14">
        <v>135.0</v>
      </c>
      <c r="D122" s="12" t="s">
        <v>411</v>
      </c>
      <c r="E122" s="17">
        <v>-7.0</v>
      </c>
      <c r="F122" s="16"/>
    </row>
    <row r="123">
      <c r="A123" s="12">
        <v>143.0</v>
      </c>
      <c r="B123" s="13" t="s">
        <v>2475</v>
      </c>
      <c r="C123" s="14">
        <v>127.0</v>
      </c>
      <c r="D123" s="12" t="s">
        <v>389</v>
      </c>
      <c r="E123" s="17">
        <v>-16.0</v>
      </c>
      <c r="F123" s="16"/>
    </row>
    <row r="124">
      <c r="A124" s="12">
        <v>144.0</v>
      </c>
      <c r="B124" s="13" t="s">
        <v>2476</v>
      </c>
      <c r="C124" s="14">
        <v>115.0</v>
      </c>
      <c r="D124" s="12" t="s">
        <v>338</v>
      </c>
      <c r="E124" s="17">
        <v>-29.0</v>
      </c>
      <c r="F124" s="16"/>
    </row>
    <row r="125">
      <c r="A125" s="12">
        <v>145.0</v>
      </c>
      <c r="B125" s="13" t="s">
        <v>2477</v>
      </c>
      <c r="C125" s="14">
        <v>167.0</v>
      </c>
      <c r="D125" s="12" t="s">
        <v>1327</v>
      </c>
      <c r="E125" s="18">
        <f>+22</f>
        <v>22</v>
      </c>
      <c r="F125" s="16"/>
    </row>
    <row r="126">
      <c r="A126" s="12">
        <v>146.0</v>
      </c>
      <c r="B126" s="13" t="s">
        <v>2478</v>
      </c>
      <c r="C126" s="14">
        <v>138.0</v>
      </c>
      <c r="D126" s="12" t="s">
        <v>1193</v>
      </c>
      <c r="E126" s="17">
        <v>-8.0</v>
      </c>
      <c r="F126" s="16"/>
    </row>
    <row r="127">
      <c r="A127" s="12">
        <v>148.0</v>
      </c>
      <c r="B127" s="13" t="s">
        <v>2479</v>
      </c>
      <c r="C127" s="14">
        <v>101.0</v>
      </c>
      <c r="D127" s="12" t="s">
        <v>163</v>
      </c>
      <c r="E127" s="17">
        <v>-47.0</v>
      </c>
      <c r="F127" s="16"/>
    </row>
    <row r="128">
      <c r="A128" s="12">
        <v>150.0</v>
      </c>
      <c r="B128" s="13" t="s">
        <v>2480</v>
      </c>
      <c r="C128" s="14">
        <v>140.0</v>
      </c>
      <c r="D128" s="12" t="s">
        <v>1208</v>
      </c>
      <c r="E128" s="17">
        <v>-10.0</v>
      </c>
      <c r="F128" s="16"/>
    </row>
    <row r="129">
      <c r="A129" s="12">
        <v>151.0</v>
      </c>
      <c r="B129" s="13" t="s">
        <v>2481</v>
      </c>
      <c r="C129" s="14">
        <v>151.0</v>
      </c>
      <c r="D129" s="12" t="s">
        <v>1894</v>
      </c>
      <c r="E129" s="15">
        <f>+0</f>
        <v>0</v>
      </c>
      <c r="F129" s="16"/>
    </row>
    <row r="130">
      <c r="A130" s="12">
        <v>152.0</v>
      </c>
      <c r="B130" s="13" t="s">
        <v>2482</v>
      </c>
      <c r="C130" s="14">
        <v>142.0</v>
      </c>
      <c r="D130" s="12" t="s">
        <v>1219</v>
      </c>
      <c r="E130" s="17">
        <v>-10.0</v>
      </c>
      <c r="F130" s="16"/>
    </row>
    <row r="131">
      <c r="A131" s="12">
        <v>153.0</v>
      </c>
      <c r="B131" s="13" t="s">
        <v>2483</v>
      </c>
      <c r="C131" s="14">
        <v>86.0</v>
      </c>
      <c r="D131" s="12" t="s">
        <v>151</v>
      </c>
      <c r="E131" s="17">
        <v>-67.0</v>
      </c>
      <c r="F131" s="16"/>
    </row>
    <row r="132">
      <c r="A132" s="12">
        <v>155.0</v>
      </c>
      <c r="B132" s="13" t="s">
        <v>2484</v>
      </c>
      <c r="C132" s="14">
        <v>122.0</v>
      </c>
      <c r="D132" s="12" t="s">
        <v>373</v>
      </c>
      <c r="E132" s="17">
        <v>-33.0</v>
      </c>
      <c r="F132" s="16"/>
    </row>
    <row r="133">
      <c r="A133" s="12">
        <v>156.0</v>
      </c>
      <c r="B133" s="13" t="s">
        <v>2485</v>
      </c>
      <c r="C133" s="14">
        <v>148.0</v>
      </c>
      <c r="D133" s="12" t="s">
        <v>1245</v>
      </c>
      <c r="E133" s="17">
        <v>-8.0</v>
      </c>
      <c r="F133" s="16"/>
    </row>
    <row r="134">
      <c r="A134" s="12">
        <v>157.0</v>
      </c>
      <c r="B134" s="13" t="s">
        <v>2486</v>
      </c>
      <c r="C134" s="14">
        <v>113.0</v>
      </c>
      <c r="D134" s="12" t="s">
        <v>334</v>
      </c>
      <c r="E134" s="17">
        <v>-44.0</v>
      </c>
      <c r="F134" s="16"/>
    </row>
    <row r="135">
      <c r="A135" s="12">
        <v>158.0</v>
      </c>
      <c r="B135" s="13" t="s">
        <v>2487</v>
      </c>
      <c r="C135" s="14">
        <v>108.0</v>
      </c>
      <c r="D135" s="12" t="s">
        <v>165</v>
      </c>
      <c r="E135" s="17">
        <v>-50.0</v>
      </c>
      <c r="F135" s="16"/>
    </row>
    <row r="136">
      <c r="A136" s="12">
        <v>159.0</v>
      </c>
      <c r="B136" s="13" t="s">
        <v>2488</v>
      </c>
      <c r="C136" s="14">
        <v>125.0</v>
      </c>
      <c r="D136" s="12" t="s">
        <v>1126</v>
      </c>
      <c r="E136" s="17">
        <v>-34.0</v>
      </c>
      <c r="F136" s="16"/>
    </row>
    <row r="137">
      <c r="A137" s="12">
        <v>162.0</v>
      </c>
      <c r="B137" s="13" t="s">
        <v>2489</v>
      </c>
      <c r="C137" s="14">
        <v>143.0</v>
      </c>
      <c r="D137" s="12" t="s">
        <v>1224</v>
      </c>
      <c r="E137" s="17">
        <v>-19.0</v>
      </c>
      <c r="F137" s="16"/>
    </row>
    <row r="138">
      <c r="A138" s="12">
        <v>163.0</v>
      </c>
      <c r="B138" s="13" t="s">
        <v>2490</v>
      </c>
      <c r="C138" s="14">
        <v>168.0</v>
      </c>
      <c r="D138" s="12" t="s">
        <v>1333</v>
      </c>
      <c r="E138" s="18">
        <f>+5</f>
        <v>5</v>
      </c>
      <c r="F138" s="16"/>
    </row>
    <row r="139">
      <c r="A139" s="12">
        <v>164.0</v>
      </c>
      <c r="B139" s="13" t="s">
        <v>2491</v>
      </c>
      <c r="C139" s="14">
        <v>105.0</v>
      </c>
      <c r="D139" s="12" t="s">
        <v>294</v>
      </c>
      <c r="E139" s="17">
        <v>-59.0</v>
      </c>
      <c r="F139" s="16"/>
    </row>
    <row r="140">
      <c r="A140" s="12">
        <v>165.0</v>
      </c>
      <c r="B140" s="13" t="s">
        <v>2492</v>
      </c>
      <c r="C140" s="14">
        <v>190.0</v>
      </c>
      <c r="D140" s="12" t="s">
        <v>1453</v>
      </c>
      <c r="E140" s="18">
        <f>+25</f>
        <v>25</v>
      </c>
      <c r="F140" s="16"/>
    </row>
    <row r="141">
      <c r="A141" s="12">
        <v>167.0</v>
      </c>
      <c r="B141" s="13" t="s">
        <v>2493</v>
      </c>
      <c r="C141" s="14">
        <v>130.0</v>
      </c>
      <c r="D141" s="12" t="s">
        <v>179</v>
      </c>
      <c r="E141" s="17">
        <v>-37.0</v>
      </c>
      <c r="F141" s="16"/>
    </row>
    <row r="142">
      <c r="A142" s="12">
        <v>168.0</v>
      </c>
      <c r="B142" s="13" t="s">
        <v>2494</v>
      </c>
      <c r="C142" s="14">
        <v>147.0</v>
      </c>
      <c r="D142" s="12" t="s">
        <v>1239</v>
      </c>
      <c r="E142" s="17">
        <v>-21.0</v>
      </c>
      <c r="F142" s="16"/>
    </row>
    <row r="143">
      <c r="A143" s="12">
        <v>171.0</v>
      </c>
      <c r="B143" s="13" t="s">
        <v>2495</v>
      </c>
      <c r="C143" s="14">
        <v>170.0</v>
      </c>
      <c r="D143" s="12" t="s">
        <v>1343</v>
      </c>
      <c r="E143" s="17">
        <v>-1.0</v>
      </c>
      <c r="F143" s="16"/>
    </row>
    <row r="144">
      <c r="A144" s="12">
        <v>172.0</v>
      </c>
      <c r="B144" s="13" t="s">
        <v>2496</v>
      </c>
      <c r="C144" s="14">
        <v>287.0</v>
      </c>
      <c r="D144" s="12" t="s">
        <v>2010</v>
      </c>
      <c r="E144" s="20" t="s">
        <v>231</v>
      </c>
      <c r="F144" s="16"/>
    </row>
    <row r="145">
      <c r="A145" s="12">
        <v>173.0</v>
      </c>
      <c r="B145" s="13" t="s">
        <v>2497</v>
      </c>
      <c r="C145" s="14">
        <v>129.0</v>
      </c>
      <c r="D145" s="12" t="s">
        <v>1148</v>
      </c>
      <c r="E145" s="17">
        <v>-44.0</v>
      </c>
      <c r="F145" s="16"/>
    </row>
    <row r="146">
      <c r="A146" s="12">
        <v>174.0</v>
      </c>
      <c r="B146" s="13" t="s">
        <v>2498</v>
      </c>
      <c r="C146" s="14">
        <v>114.0</v>
      </c>
      <c r="D146" s="12" t="s">
        <v>171</v>
      </c>
      <c r="E146" s="17">
        <v>-60.0</v>
      </c>
      <c r="F146" s="16"/>
    </row>
    <row r="147">
      <c r="A147" s="12">
        <v>175.0</v>
      </c>
      <c r="B147" s="13" t="s">
        <v>2499</v>
      </c>
      <c r="C147" s="14">
        <v>154.0</v>
      </c>
      <c r="D147" s="12" t="s">
        <v>1278</v>
      </c>
      <c r="E147" s="17">
        <v>-21.0</v>
      </c>
      <c r="F147" s="16"/>
    </row>
    <row r="148">
      <c r="A148" s="12">
        <v>177.0</v>
      </c>
      <c r="B148" s="13" t="s">
        <v>2500</v>
      </c>
      <c r="C148" s="14">
        <v>139.0</v>
      </c>
      <c r="D148" s="12" t="s">
        <v>1204</v>
      </c>
      <c r="E148" s="17">
        <v>-38.0</v>
      </c>
      <c r="F148" s="16"/>
    </row>
    <row r="149">
      <c r="A149" s="12">
        <v>179.0</v>
      </c>
      <c r="B149" s="13" t="s">
        <v>2501</v>
      </c>
      <c r="C149" s="14">
        <v>137.0</v>
      </c>
      <c r="D149" s="12" t="s">
        <v>416</v>
      </c>
      <c r="E149" s="17">
        <v>-42.0</v>
      </c>
      <c r="F149" s="16"/>
    </row>
    <row r="150">
      <c r="A150" s="12">
        <v>180.0</v>
      </c>
      <c r="B150" s="13" t="s">
        <v>2502</v>
      </c>
      <c r="C150" s="14">
        <v>182.0</v>
      </c>
      <c r="D150" s="12" t="s">
        <v>1412</v>
      </c>
      <c r="E150" s="18">
        <f>+2</f>
        <v>2</v>
      </c>
      <c r="F150" s="16"/>
    </row>
    <row r="151">
      <c r="A151" s="12">
        <v>181.0</v>
      </c>
      <c r="B151" s="13" t="s">
        <v>2503</v>
      </c>
      <c r="C151" s="14">
        <v>165.0</v>
      </c>
      <c r="D151" s="12" t="s">
        <v>1313</v>
      </c>
      <c r="E151" s="17">
        <v>-16.0</v>
      </c>
      <c r="F151" s="16"/>
    </row>
    <row r="152">
      <c r="A152" s="12">
        <v>183.0</v>
      </c>
      <c r="B152" s="13" t="s">
        <v>2504</v>
      </c>
      <c r="C152" s="14">
        <v>126.0</v>
      </c>
      <c r="D152" s="12" t="s">
        <v>173</v>
      </c>
      <c r="E152" s="17">
        <v>-57.0</v>
      </c>
      <c r="F152" s="16"/>
    </row>
    <row r="153">
      <c r="A153" s="12">
        <v>184.0</v>
      </c>
      <c r="B153" s="13" t="s">
        <v>2505</v>
      </c>
      <c r="C153" s="14">
        <v>150.0</v>
      </c>
      <c r="D153" s="12" t="s">
        <v>1251</v>
      </c>
      <c r="E153" s="17">
        <v>-34.0</v>
      </c>
      <c r="F153" s="16"/>
    </row>
    <row r="154">
      <c r="A154" s="12">
        <v>185.0</v>
      </c>
      <c r="B154" s="13" t="s">
        <v>2506</v>
      </c>
      <c r="C154" s="14">
        <v>199.0</v>
      </c>
      <c r="D154" s="12" t="s">
        <v>1623</v>
      </c>
      <c r="E154" s="18">
        <f>+14</f>
        <v>14</v>
      </c>
      <c r="F154" s="16"/>
    </row>
    <row r="155">
      <c r="A155" s="12">
        <v>187.0</v>
      </c>
      <c r="B155" s="13" t="s">
        <v>2507</v>
      </c>
      <c r="C155" s="14">
        <v>110.0</v>
      </c>
      <c r="D155" s="12" t="s">
        <v>169</v>
      </c>
      <c r="E155" s="17">
        <v>-77.0</v>
      </c>
      <c r="F155" s="16"/>
    </row>
    <row r="156">
      <c r="A156" s="12">
        <v>188.0</v>
      </c>
      <c r="B156" s="13" t="s">
        <v>2508</v>
      </c>
      <c r="C156" s="14">
        <v>159.0</v>
      </c>
      <c r="D156" s="12" t="s">
        <v>1911</v>
      </c>
      <c r="E156" s="17">
        <v>-29.0</v>
      </c>
      <c r="F156" s="16"/>
    </row>
    <row r="157">
      <c r="A157" s="12">
        <v>191.0</v>
      </c>
      <c r="B157" s="13" t="s">
        <v>2509</v>
      </c>
      <c r="C157" s="14">
        <v>153.0</v>
      </c>
      <c r="D157" s="12" t="s">
        <v>219</v>
      </c>
      <c r="E157" s="17">
        <v>-38.0</v>
      </c>
      <c r="F157" s="16"/>
    </row>
    <row r="158">
      <c r="A158" s="12">
        <v>193.0</v>
      </c>
      <c r="B158" s="13" t="s">
        <v>2510</v>
      </c>
      <c r="C158" s="14">
        <v>160.0</v>
      </c>
      <c r="D158" s="12" t="s">
        <v>307</v>
      </c>
      <c r="E158" s="17">
        <v>-33.0</v>
      </c>
      <c r="F158" s="16"/>
    </row>
    <row r="159">
      <c r="A159" s="12">
        <v>194.0</v>
      </c>
      <c r="B159" s="13" t="s">
        <v>2511</v>
      </c>
      <c r="C159" s="14">
        <v>141.0</v>
      </c>
      <c r="D159" s="12" t="s">
        <v>187</v>
      </c>
      <c r="E159" s="17">
        <v>-53.0</v>
      </c>
      <c r="F159" s="16"/>
    </row>
    <row r="160">
      <c r="A160" s="12">
        <v>196.0</v>
      </c>
      <c r="B160" s="13" t="s">
        <v>2512</v>
      </c>
      <c r="C160" s="14">
        <v>163.0</v>
      </c>
      <c r="D160" s="12" t="s">
        <v>463</v>
      </c>
      <c r="E160" s="17">
        <v>-33.0</v>
      </c>
      <c r="F160" s="16"/>
    </row>
    <row r="161">
      <c r="A161" s="12">
        <v>197.0</v>
      </c>
      <c r="B161" s="13" t="s">
        <v>2513</v>
      </c>
      <c r="C161" s="14">
        <v>203.0</v>
      </c>
      <c r="D161" s="12" t="s">
        <v>1342</v>
      </c>
      <c r="E161" s="18">
        <f>+6</f>
        <v>6</v>
      </c>
      <c r="F161" s="16"/>
    </row>
    <row r="162">
      <c r="A162" s="12">
        <v>198.0</v>
      </c>
      <c r="B162" s="13" t="s">
        <v>2514</v>
      </c>
      <c r="C162" s="14">
        <v>231.0</v>
      </c>
      <c r="D162" s="12" t="s">
        <v>1607</v>
      </c>
      <c r="E162" s="18">
        <f>+33</f>
        <v>33</v>
      </c>
      <c r="F162" s="16"/>
    </row>
    <row r="163">
      <c r="A163" s="12">
        <v>204.0</v>
      </c>
      <c r="B163" s="13" t="s">
        <v>2515</v>
      </c>
      <c r="C163" s="14">
        <v>222.0</v>
      </c>
      <c r="D163" s="12" t="s">
        <v>1580</v>
      </c>
      <c r="E163" s="18">
        <f>+18</f>
        <v>18</v>
      </c>
      <c r="F163" s="16"/>
    </row>
    <row r="164">
      <c r="A164" s="12">
        <v>205.0</v>
      </c>
      <c r="B164" s="13" t="s">
        <v>2516</v>
      </c>
      <c r="C164" s="14">
        <v>131.0</v>
      </c>
      <c r="D164" s="12" t="s">
        <v>1167</v>
      </c>
      <c r="E164" s="17">
        <v>-74.0</v>
      </c>
      <c r="F164" s="16"/>
    </row>
    <row r="165">
      <c r="A165" s="12">
        <v>206.0</v>
      </c>
      <c r="B165" s="13" t="s">
        <v>2517</v>
      </c>
      <c r="C165" s="14">
        <v>215.0</v>
      </c>
      <c r="D165" s="12" t="s">
        <v>1682</v>
      </c>
      <c r="E165" s="18">
        <f>+9</f>
        <v>9</v>
      </c>
      <c r="F165" s="16"/>
    </row>
    <row r="166">
      <c r="A166" s="12">
        <v>208.0</v>
      </c>
      <c r="B166" s="13" t="s">
        <v>2518</v>
      </c>
      <c r="C166" s="14">
        <v>169.0</v>
      </c>
      <c r="D166" s="12" t="s">
        <v>467</v>
      </c>
      <c r="E166" s="17">
        <v>-39.0</v>
      </c>
      <c r="F166" s="16"/>
    </row>
    <row r="167">
      <c r="A167" s="12">
        <v>213.0</v>
      </c>
      <c r="B167" s="13" t="s">
        <v>2519</v>
      </c>
      <c r="C167" s="14">
        <v>145.0</v>
      </c>
      <c r="D167" s="12" t="s">
        <v>217</v>
      </c>
      <c r="E167" s="17">
        <v>-68.0</v>
      </c>
      <c r="F167" s="16"/>
    </row>
    <row r="168">
      <c r="A168" s="12">
        <v>214.0</v>
      </c>
      <c r="B168" s="13" t="s">
        <v>2520</v>
      </c>
      <c r="C168" s="14">
        <v>175.0</v>
      </c>
      <c r="D168" s="12" t="s">
        <v>475</v>
      </c>
      <c r="E168" s="17">
        <v>-39.0</v>
      </c>
      <c r="F168" s="16"/>
    </row>
    <row r="169">
      <c r="A169" s="12">
        <v>217.0</v>
      </c>
      <c r="B169" s="13" t="s">
        <v>2521</v>
      </c>
      <c r="C169" s="14">
        <v>179.0</v>
      </c>
      <c r="D169" s="12" t="s">
        <v>477</v>
      </c>
      <c r="E169" s="17">
        <v>-38.0</v>
      </c>
      <c r="F169" s="16"/>
    </row>
    <row r="170">
      <c r="A170" s="12">
        <v>219.0</v>
      </c>
      <c r="B170" s="13" t="s">
        <v>2522</v>
      </c>
      <c r="C170" s="14">
        <v>102.0</v>
      </c>
      <c r="D170" s="12" t="s">
        <v>211</v>
      </c>
      <c r="E170" s="20" t="s">
        <v>231</v>
      </c>
      <c r="F170" s="16"/>
    </row>
    <row r="171">
      <c r="A171" s="12">
        <v>221.0</v>
      </c>
      <c r="B171" s="13" t="s">
        <v>2523</v>
      </c>
      <c r="C171" s="14">
        <v>206.0</v>
      </c>
      <c r="D171" s="12" t="s">
        <v>1759</v>
      </c>
      <c r="E171" s="17">
        <v>-15.0</v>
      </c>
      <c r="F171" s="16"/>
    </row>
    <row r="172">
      <c r="A172" s="12">
        <v>222.0</v>
      </c>
      <c r="B172" s="13" t="s">
        <v>2524</v>
      </c>
      <c r="C172" s="14">
        <v>176.0</v>
      </c>
      <c r="D172" s="12" t="s">
        <v>1246</v>
      </c>
      <c r="E172" s="17">
        <v>-46.0</v>
      </c>
      <c r="F172" s="16"/>
    </row>
    <row r="173">
      <c r="A173" s="12">
        <v>223.0</v>
      </c>
      <c r="B173" s="13" t="s">
        <v>2525</v>
      </c>
      <c r="C173" s="14">
        <v>166.0</v>
      </c>
      <c r="D173" s="12" t="s">
        <v>465</v>
      </c>
      <c r="E173" s="17">
        <v>-57.0</v>
      </c>
      <c r="F173" s="16"/>
    </row>
    <row r="174">
      <c r="A174" s="12">
        <v>224.0</v>
      </c>
      <c r="B174" s="13" t="s">
        <v>2526</v>
      </c>
      <c r="C174" s="14">
        <v>112.0</v>
      </c>
      <c r="D174" s="12" t="s">
        <v>311</v>
      </c>
      <c r="E174" s="20" t="s">
        <v>231</v>
      </c>
      <c r="F174" s="16"/>
    </row>
    <row r="175">
      <c r="A175" s="12">
        <v>227.0</v>
      </c>
      <c r="B175" s="13" t="s">
        <v>2527</v>
      </c>
      <c r="C175" s="14">
        <v>178.0</v>
      </c>
      <c r="D175" s="12" t="s">
        <v>1402</v>
      </c>
      <c r="E175" s="17">
        <v>-49.0</v>
      </c>
      <c r="F175" s="16"/>
    </row>
    <row r="176">
      <c r="A176" s="12">
        <v>228.0</v>
      </c>
      <c r="B176" s="13" t="s">
        <v>2528</v>
      </c>
      <c r="C176" s="14">
        <v>172.0</v>
      </c>
      <c r="D176" s="12" t="s">
        <v>1362</v>
      </c>
      <c r="E176" s="17">
        <v>-56.0</v>
      </c>
      <c r="F176" s="16"/>
    </row>
    <row r="177">
      <c r="A177" s="12">
        <v>229.0</v>
      </c>
      <c r="B177" s="13" t="s">
        <v>2529</v>
      </c>
      <c r="C177" s="14">
        <v>259.0</v>
      </c>
      <c r="D177" s="12" t="s">
        <v>2124</v>
      </c>
      <c r="E177" s="18">
        <f>+30</f>
        <v>30</v>
      </c>
      <c r="F177" s="16"/>
    </row>
    <row r="178">
      <c r="A178" s="12">
        <v>230.0</v>
      </c>
      <c r="B178" s="13" t="s">
        <v>2530</v>
      </c>
      <c r="C178" s="14">
        <v>204.0</v>
      </c>
      <c r="D178" s="12" t="s">
        <v>1479</v>
      </c>
      <c r="E178" s="17">
        <v>-26.0</v>
      </c>
      <c r="F178" s="16"/>
    </row>
    <row r="179">
      <c r="A179" s="12">
        <v>234.0</v>
      </c>
      <c r="B179" s="13" t="s">
        <v>2531</v>
      </c>
      <c r="C179" s="14">
        <v>174.0</v>
      </c>
      <c r="D179" s="12" t="s">
        <v>472</v>
      </c>
      <c r="E179" s="17">
        <v>-60.0</v>
      </c>
      <c r="F179" s="16"/>
    </row>
    <row r="180">
      <c r="A180" s="12">
        <v>236.0</v>
      </c>
      <c r="B180" s="13" t="s">
        <v>2532</v>
      </c>
      <c r="C180" s="14">
        <v>209.0</v>
      </c>
      <c r="D180" s="12" t="s">
        <v>1779</v>
      </c>
      <c r="E180" s="17">
        <v>-27.0</v>
      </c>
      <c r="F180" s="16"/>
    </row>
    <row r="181">
      <c r="A181" s="12">
        <v>237.0</v>
      </c>
      <c r="B181" s="13" t="s">
        <v>2533</v>
      </c>
      <c r="C181" s="14">
        <v>188.0</v>
      </c>
      <c r="D181" s="12" t="s">
        <v>1436</v>
      </c>
      <c r="E181" s="17">
        <v>-49.0</v>
      </c>
      <c r="F181" s="16"/>
    </row>
    <row r="182">
      <c r="A182" s="12">
        <v>238.0</v>
      </c>
      <c r="B182" s="13" t="s">
        <v>2534</v>
      </c>
      <c r="C182" s="14">
        <v>177.0</v>
      </c>
      <c r="D182" s="12" t="s">
        <v>1397</v>
      </c>
      <c r="E182" s="17">
        <v>-61.0</v>
      </c>
      <c r="F182" s="16"/>
    </row>
    <row r="183">
      <c r="A183" s="12">
        <v>239.0</v>
      </c>
      <c r="B183" s="13" t="s">
        <v>2535</v>
      </c>
      <c r="C183" s="14">
        <v>193.0</v>
      </c>
      <c r="D183" s="12" t="s">
        <v>1271</v>
      </c>
      <c r="E183" s="17">
        <v>-46.0</v>
      </c>
      <c r="F183" s="16"/>
    </row>
    <row r="184">
      <c r="A184" s="12">
        <v>240.0</v>
      </c>
      <c r="B184" s="13" t="s">
        <v>2536</v>
      </c>
      <c r="C184" s="14">
        <v>134.0</v>
      </c>
      <c r="D184" s="12" t="s">
        <v>405</v>
      </c>
      <c r="E184" s="20" t="s">
        <v>231</v>
      </c>
      <c r="F184" s="16"/>
    </row>
    <row r="185">
      <c r="A185" s="12">
        <v>241.0</v>
      </c>
      <c r="B185" s="13" t="s">
        <v>2537</v>
      </c>
      <c r="C185" s="14">
        <v>121.0</v>
      </c>
      <c r="D185" s="12" t="s">
        <v>1107</v>
      </c>
      <c r="E185" s="20" t="s">
        <v>231</v>
      </c>
      <c r="F185" s="16"/>
    </row>
    <row r="186">
      <c r="A186" s="12">
        <v>247.0</v>
      </c>
      <c r="B186" s="13" t="s">
        <v>2538</v>
      </c>
      <c r="C186" s="14">
        <v>227.0</v>
      </c>
      <c r="D186" s="12" t="s">
        <v>1590</v>
      </c>
      <c r="E186" s="17">
        <v>-20.0</v>
      </c>
      <c r="F186" s="16"/>
    </row>
    <row r="187">
      <c r="A187" s="12">
        <v>248.0</v>
      </c>
      <c r="B187" s="13" t="s">
        <v>2539</v>
      </c>
      <c r="C187" s="14">
        <v>152.0</v>
      </c>
      <c r="D187" s="12" t="s">
        <v>1267</v>
      </c>
      <c r="E187" s="17">
        <v>-96.0</v>
      </c>
      <c r="F187" s="16"/>
    </row>
    <row r="188">
      <c r="A188" s="12">
        <v>249.0</v>
      </c>
      <c r="B188" s="13" t="s">
        <v>2540</v>
      </c>
      <c r="C188" s="14">
        <v>187.0</v>
      </c>
      <c r="D188" s="12" t="s">
        <v>1433</v>
      </c>
      <c r="E188" s="17">
        <v>-62.0</v>
      </c>
      <c r="F188" s="16"/>
    </row>
    <row r="189">
      <c r="A189" s="12">
        <v>253.0</v>
      </c>
      <c r="B189" s="13" t="s">
        <v>2541</v>
      </c>
      <c r="C189" s="14">
        <v>200.0</v>
      </c>
      <c r="D189" s="12" t="s">
        <v>1553</v>
      </c>
      <c r="E189" s="17">
        <v>-53.0</v>
      </c>
      <c r="F189" s="16"/>
    </row>
    <row r="190">
      <c r="A190" s="12">
        <v>255.0</v>
      </c>
      <c r="B190" s="13" t="s">
        <v>2542</v>
      </c>
      <c r="C190" s="14">
        <v>208.0</v>
      </c>
      <c r="D190" s="12" t="s">
        <v>1536</v>
      </c>
      <c r="E190" s="17">
        <v>-47.0</v>
      </c>
      <c r="F190" s="16"/>
    </row>
    <row r="191">
      <c r="A191" s="12">
        <v>256.0</v>
      </c>
      <c r="B191" s="13" t="s">
        <v>2543</v>
      </c>
      <c r="C191" s="14">
        <v>242.0</v>
      </c>
      <c r="D191" s="12" t="s">
        <v>1565</v>
      </c>
      <c r="E191" s="17">
        <v>-14.0</v>
      </c>
      <c r="F191" s="16"/>
    </row>
    <row r="192">
      <c r="A192" s="12">
        <v>258.0</v>
      </c>
      <c r="B192" s="13" t="s">
        <v>2544</v>
      </c>
      <c r="C192" s="14">
        <v>233.0</v>
      </c>
      <c r="D192" s="12" t="s">
        <v>1568</v>
      </c>
      <c r="E192" s="17">
        <v>-25.0</v>
      </c>
      <c r="F192" s="16"/>
    </row>
    <row r="193">
      <c r="A193" s="12">
        <v>261.0</v>
      </c>
      <c r="B193" s="13" t="s">
        <v>2545</v>
      </c>
      <c r="C193" s="14">
        <v>217.0</v>
      </c>
      <c r="D193" s="12" t="s">
        <v>1627</v>
      </c>
      <c r="E193" s="17">
        <v>-44.0</v>
      </c>
      <c r="F193" s="16"/>
    </row>
    <row r="194">
      <c r="A194" s="12">
        <v>262.0</v>
      </c>
      <c r="B194" s="13" t="s">
        <v>2546</v>
      </c>
      <c r="C194" s="14">
        <v>230.0</v>
      </c>
      <c r="D194" s="12" t="s">
        <v>1386</v>
      </c>
      <c r="E194" s="17">
        <v>-32.0</v>
      </c>
      <c r="F194" s="16"/>
    </row>
    <row r="195">
      <c r="A195" s="12">
        <v>263.0</v>
      </c>
      <c r="B195" s="13" t="s">
        <v>2547</v>
      </c>
      <c r="C195" s="14">
        <v>192.0</v>
      </c>
      <c r="D195" s="12" t="s">
        <v>1732</v>
      </c>
      <c r="E195" s="17">
        <v>-71.0</v>
      </c>
      <c r="F195" s="16"/>
    </row>
    <row r="196">
      <c r="A196" s="12">
        <v>265.0</v>
      </c>
      <c r="B196" s="13" t="s">
        <v>2548</v>
      </c>
      <c r="C196" s="14">
        <v>239.0</v>
      </c>
      <c r="D196" s="12" t="s">
        <v>1680</v>
      </c>
      <c r="E196" s="17">
        <v>-26.0</v>
      </c>
      <c r="F196" s="16"/>
    </row>
    <row r="197">
      <c r="A197" s="12">
        <v>266.0</v>
      </c>
      <c r="B197" s="13" t="s">
        <v>2549</v>
      </c>
      <c r="C197" s="14">
        <v>164.0</v>
      </c>
      <c r="D197" s="12" t="s">
        <v>1288</v>
      </c>
      <c r="E197" s="20" t="s">
        <v>231</v>
      </c>
      <c r="F197" s="16"/>
    </row>
    <row r="198">
      <c r="A198" s="12">
        <v>268.0</v>
      </c>
      <c r="B198" s="13" t="s">
        <v>2550</v>
      </c>
      <c r="C198" s="14">
        <v>161.0</v>
      </c>
      <c r="D198" s="12" t="s">
        <v>438</v>
      </c>
      <c r="E198" s="20" t="s">
        <v>231</v>
      </c>
      <c r="F198" s="16"/>
    </row>
    <row r="199">
      <c r="A199" s="12">
        <v>269.0</v>
      </c>
      <c r="B199" s="13" t="s">
        <v>2551</v>
      </c>
      <c r="C199" s="14">
        <v>158.0</v>
      </c>
      <c r="D199" s="12" t="s">
        <v>1284</v>
      </c>
      <c r="E199" s="20" t="s">
        <v>231</v>
      </c>
      <c r="F199" s="16"/>
    </row>
    <row r="200">
      <c r="A200" s="12">
        <v>270.0</v>
      </c>
      <c r="B200" s="13" t="s">
        <v>2552</v>
      </c>
      <c r="C200" s="14">
        <v>265.0</v>
      </c>
      <c r="D200" s="12" t="s">
        <v>1593</v>
      </c>
      <c r="E200" s="17">
        <v>-5.0</v>
      </c>
      <c r="F200" s="16"/>
    </row>
    <row r="201">
      <c r="A201" s="12">
        <v>271.0</v>
      </c>
      <c r="B201" s="13" t="s">
        <v>2553</v>
      </c>
      <c r="C201" s="14">
        <v>216.0</v>
      </c>
      <c r="D201" s="12" t="s">
        <v>1654</v>
      </c>
      <c r="E201" s="17">
        <v>-55.0</v>
      </c>
      <c r="F201" s="16"/>
    </row>
    <row r="202">
      <c r="A202" s="12">
        <v>273.0</v>
      </c>
      <c r="B202" s="13" t="s">
        <v>2554</v>
      </c>
      <c r="C202" s="14">
        <v>183.0</v>
      </c>
      <c r="D202" s="12" t="s">
        <v>1418</v>
      </c>
      <c r="E202" s="17">
        <v>-90.0</v>
      </c>
      <c r="F202" s="16"/>
    </row>
    <row r="203">
      <c r="A203" s="12">
        <v>276.0</v>
      </c>
      <c r="B203" s="13" t="s">
        <v>2555</v>
      </c>
      <c r="C203" s="14">
        <v>186.0</v>
      </c>
      <c r="D203" s="12" t="s">
        <v>480</v>
      </c>
      <c r="E203" s="17">
        <v>-90.0</v>
      </c>
      <c r="F203" s="16"/>
    </row>
    <row r="204">
      <c r="A204" s="12">
        <v>277.0</v>
      </c>
      <c r="B204" s="13" t="s">
        <v>2556</v>
      </c>
      <c r="C204" s="14">
        <v>245.0</v>
      </c>
      <c r="D204" s="12" t="s">
        <v>2111</v>
      </c>
      <c r="E204" s="17">
        <v>-32.0</v>
      </c>
      <c r="F204" s="16"/>
    </row>
    <row r="205">
      <c r="A205" s="12">
        <v>278.0</v>
      </c>
      <c r="B205" s="13" t="s">
        <v>2557</v>
      </c>
      <c r="C205" s="14">
        <v>185.0</v>
      </c>
      <c r="D205" s="12" t="s">
        <v>1993</v>
      </c>
      <c r="E205" s="17">
        <v>-93.0</v>
      </c>
      <c r="F205" s="16"/>
    </row>
    <row r="206">
      <c r="A206" s="12">
        <v>279.0</v>
      </c>
      <c r="B206" s="13" t="s">
        <v>2558</v>
      </c>
      <c r="C206" s="14">
        <v>181.0</v>
      </c>
      <c r="D206" s="12" t="s">
        <v>1980</v>
      </c>
      <c r="E206" s="17">
        <v>-98.0</v>
      </c>
      <c r="F206" s="16"/>
    </row>
    <row r="207">
      <c r="A207" s="12">
        <v>281.0</v>
      </c>
      <c r="B207" s="13" t="s">
        <v>2559</v>
      </c>
      <c r="C207" s="14">
        <v>223.0</v>
      </c>
      <c r="D207" s="12" t="s">
        <v>1761</v>
      </c>
      <c r="E207" s="17">
        <v>-58.0</v>
      </c>
      <c r="F207" s="16"/>
    </row>
    <row r="208">
      <c r="A208" s="12">
        <v>282.0</v>
      </c>
      <c r="B208" s="13" t="s">
        <v>2560</v>
      </c>
      <c r="C208" s="14">
        <v>237.0</v>
      </c>
      <c r="D208" s="12" t="s">
        <v>2070</v>
      </c>
      <c r="E208" s="17">
        <v>-45.0</v>
      </c>
      <c r="F208" s="16"/>
    </row>
    <row r="209">
      <c r="A209" s="12">
        <v>286.0</v>
      </c>
      <c r="B209" s="13" t="s">
        <v>2561</v>
      </c>
      <c r="C209" s="14">
        <v>201.0</v>
      </c>
      <c r="D209" s="12" t="s">
        <v>1668</v>
      </c>
      <c r="E209" s="17">
        <v>-85.0</v>
      </c>
      <c r="F209" s="16"/>
    </row>
    <row r="210">
      <c r="A210" s="12">
        <v>288.0</v>
      </c>
      <c r="B210" s="13" t="s">
        <v>2562</v>
      </c>
      <c r="C210" s="14">
        <v>191.0</v>
      </c>
      <c r="D210" s="12" t="s">
        <v>1459</v>
      </c>
      <c r="E210" s="17">
        <v>-97.0</v>
      </c>
      <c r="F210" s="16"/>
    </row>
    <row r="211">
      <c r="A211" s="12">
        <v>290.0</v>
      </c>
      <c r="B211" s="13" t="s">
        <v>2563</v>
      </c>
      <c r="C211" s="14">
        <v>278.0</v>
      </c>
      <c r="D211" s="12" t="s">
        <v>1621</v>
      </c>
      <c r="E211" s="17">
        <v>-12.0</v>
      </c>
      <c r="F211" s="16"/>
    </row>
    <row r="212">
      <c r="A212" s="12">
        <v>291.0</v>
      </c>
      <c r="B212" s="13" t="s">
        <v>2564</v>
      </c>
      <c r="C212" s="14">
        <v>198.0</v>
      </c>
      <c r="D212" s="12" t="s">
        <v>1665</v>
      </c>
      <c r="E212" s="17">
        <v>-93.0</v>
      </c>
      <c r="F212" s="16"/>
    </row>
    <row r="213">
      <c r="A213" s="12">
        <v>294.0</v>
      </c>
      <c r="B213" s="13" t="s">
        <v>2565</v>
      </c>
      <c r="C213" s="14">
        <v>275.0</v>
      </c>
      <c r="D213" s="12" t="s">
        <v>1811</v>
      </c>
      <c r="E213" s="17">
        <v>-19.0</v>
      </c>
      <c r="F213" s="16"/>
    </row>
    <row r="214">
      <c r="A214" s="12">
        <v>295.0</v>
      </c>
      <c r="B214" s="13" t="s">
        <v>2566</v>
      </c>
      <c r="C214" s="14">
        <v>195.0</v>
      </c>
      <c r="D214" s="12" t="s">
        <v>1601</v>
      </c>
      <c r="E214" s="17">
        <v>-100.0</v>
      </c>
      <c r="F214" s="16"/>
    </row>
    <row r="215">
      <c r="A215" s="12">
        <v>297.0</v>
      </c>
      <c r="B215" s="13" t="s">
        <v>2567</v>
      </c>
      <c r="C215" s="14">
        <v>219.0</v>
      </c>
      <c r="D215" s="12" t="s">
        <v>1232</v>
      </c>
      <c r="E215" s="17">
        <v>-78.0</v>
      </c>
      <c r="F215" s="16"/>
    </row>
    <row r="216">
      <c r="A216" s="12">
        <v>300.0</v>
      </c>
      <c r="B216" s="13" t="s">
        <v>2568</v>
      </c>
      <c r="C216" s="14">
        <v>228.0</v>
      </c>
      <c r="D216" s="12" t="s">
        <v>1816</v>
      </c>
      <c r="E216" s="17">
        <v>-72.0</v>
      </c>
      <c r="F216" s="16"/>
    </row>
    <row r="217">
      <c r="A217" s="12">
        <v>301.0</v>
      </c>
      <c r="B217" s="13" t="s">
        <v>2569</v>
      </c>
      <c r="C217" s="14">
        <v>264.0</v>
      </c>
      <c r="D217" s="12" t="s">
        <v>1905</v>
      </c>
      <c r="E217" s="17">
        <v>-37.0</v>
      </c>
      <c r="F217" s="16"/>
    </row>
    <row r="218">
      <c r="A218" s="12">
        <v>307.0</v>
      </c>
      <c r="B218" s="13" t="s">
        <v>2570</v>
      </c>
      <c r="C218" s="14">
        <v>157.0</v>
      </c>
      <c r="D218" s="12" t="s">
        <v>1272</v>
      </c>
      <c r="E218" s="20" t="s">
        <v>231</v>
      </c>
      <c r="F218" s="16"/>
    </row>
    <row r="219">
      <c r="A219" s="12">
        <v>308.0</v>
      </c>
      <c r="B219" s="13" t="s">
        <v>2571</v>
      </c>
      <c r="C219" s="14">
        <v>155.0</v>
      </c>
      <c r="D219" s="12" t="s">
        <v>1257</v>
      </c>
      <c r="E219" s="20" t="s">
        <v>231</v>
      </c>
      <c r="F219" s="16"/>
    </row>
    <row r="220">
      <c r="A220" s="12">
        <v>315.0</v>
      </c>
      <c r="B220" s="13" t="s">
        <v>2572</v>
      </c>
      <c r="C220" s="14">
        <v>173.0</v>
      </c>
      <c r="D220" s="12" t="s">
        <v>470</v>
      </c>
      <c r="E220" s="20" t="s">
        <v>231</v>
      </c>
      <c r="F220" s="16"/>
    </row>
    <row r="221">
      <c r="A221" s="12">
        <v>317.0</v>
      </c>
      <c r="B221" s="13" t="s">
        <v>2573</v>
      </c>
      <c r="C221" s="14">
        <v>189.0</v>
      </c>
      <c r="D221" s="12" t="s">
        <v>1442</v>
      </c>
      <c r="E221" s="20" t="s">
        <v>231</v>
      </c>
      <c r="F221" s="16"/>
    </row>
    <row r="222">
      <c r="A222" s="12">
        <v>319.0</v>
      </c>
      <c r="B222" s="13" t="s">
        <v>2574</v>
      </c>
      <c r="C222" s="14">
        <v>156.0</v>
      </c>
      <c r="D222" s="12" t="s">
        <v>1308</v>
      </c>
      <c r="E222" s="20" t="s">
        <v>231</v>
      </c>
      <c r="F222" s="16"/>
    </row>
    <row r="223">
      <c r="A223" s="12">
        <v>320.0</v>
      </c>
      <c r="B223" s="13" t="s">
        <v>2575</v>
      </c>
      <c r="C223" s="14">
        <v>263.0</v>
      </c>
      <c r="D223" s="12" t="s">
        <v>2090</v>
      </c>
      <c r="E223" s="17">
        <v>-57.0</v>
      </c>
      <c r="F223" s="16"/>
    </row>
    <row r="224">
      <c r="A224" s="12">
        <v>326.0</v>
      </c>
      <c r="B224" s="13" t="s">
        <v>2576</v>
      </c>
      <c r="C224" s="14">
        <v>240.0</v>
      </c>
      <c r="D224" s="12" t="s">
        <v>1848</v>
      </c>
      <c r="E224" s="17">
        <v>-86.0</v>
      </c>
      <c r="F224" s="16"/>
    </row>
    <row r="225">
      <c r="A225" s="12">
        <v>327.0</v>
      </c>
      <c r="B225" s="13" t="s">
        <v>2577</v>
      </c>
      <c r="C225" s="14">
        <v>286.0</v>
      </c>
      <c r="D225" s="12" t="s">
        <v>1965</v>
      </c>
      <c r="E225" s="17">
        <v>-41.0</v>
      </c>
      <c r="F225" s="16"/>
    </row>
    <row r="226">
      <c r="A226" s="12">
        <v>328.0</v>
      </c>
      <c r="B226" s="13" t="s">
        <v>2578</v>
      </c>
      <c r="C226" s="14">
        <v>194.0</v>
      </c>
      <c r="D226" s="12" t="s">
        <v>1496</v>
      </c>
      <c r="E226" s="20" t="s">
        <v>231</v>
      </c>
      <c r="F226" s="16"/>
    </row>
    <row r="227">
      <c r="A227" s="12">
        <v>333.0</v>
      </c>
      <c r="B227" s="13" t="s">
        <v>2579</v>
      </c>
      <c r="C227" s="14">
        <v>226.0</v>
      </c>
      <c r="D227" s="12" t="s">
        <v>2052</v>
      </c>
      <c r="E227" s="20" t="s">
        <v>231</v>
      </c>
      <c r="F227" s="16"/>
    </row>
    <row r="228">
      <c r="A228" s="12">
        <v>336.0</v>
      </c>
      <c r="B228" s="13" t="s">
        <v>2580</v>
      </c>
      <c r="C228" s="14">
        <v>224.0</v>
      </c>
      <c r="D228" s="12" t="s">
        <v>1640</v>
      </c>
      <c r="E228" s="20" t="s">
        <v>231</v>
      </c>
      <c r="F228" s="16"/>
    </row>
    <row r="229">
      <c r="A229" s="12">
        <v>338.0</v>
      </c>
      <c r="B229" s="13" t="s">
        <v>2581</v>
      </c>
      <c r="C229" s="14">
        <v>300.0</v>
      </c>
      <c r="D229" s="12" t="s">
        <v>2016</v>
      </c>
      <c r="E229" s="17">
        <v>-38.0</v>
      </c>
      <c r="F229" s="16"/>
    </row>
    <row r="230">
      <c r="A230" s="12">
        <v>341.0</v>
      </c>
      <c r="B230" s="13" t="s">
        <v>2582</v>
      </c>
      <c r="C230" s="14">
        <v>258.0</v>
      </c>
      <c r="D230" s="12" t="s">
        <v>1898</v>
      </c>
      <c r="E230" s="17">
        <v>-83.0</v>
      </c>
      <c r="F230" s="16"/>
    </row>
    <row r="231">
      <c r="A231" s="12">
        <v>342.0</v>
      </c>
      <c r="B231" s="13" t="s">
        <v>2583</v>
      </c>
      <c r="C231" s="14">
        <v>220.0</v>
      </c>
      <c r="D231" s="12" t="s">
        <v>1512</v>
      </c>
      <c r="E231" s="20" t="s">
        <v>231</v>
      </c>
      <c r="F231" s="16"/>
    </row>
    <row r="232">
      <c r="A232" s="12">
        <v>343.0</v>
      </c>
      <c r="B232" s="13" t="s">
        <v>2584</v>
      </c>
      <c r="C232" s="14">
        <v>205.0</v>
      </c>
      <c r="D232" s="12" t="s">
        <v>1329</v>
      </c>
      <c r="E232" s="20" t="s">
        <v>231</v>
      </c>
      <c r="F232" s="16"/>
    </row>
    <row r="233">
      <c r="A233" s="12">
        <v>345.0</v>
      </c>
      <c r="B233" s="13" t="s">
        <v>2585</v>
      </c>
      <c r="C233" s="14">
        <v>250.0</v>
      </c>
      <c r="D233" s="12" t="s">
        <v>1874</v>
      </c>
      <c r="E233" s="17">
        <v>-95.0</v>
      </c>
      <c r="F233" s="16"/>
    </row>
    <row r="234">
      <c r="A234" s="12">
        <v>346.0</v>
      </c>
      <c r="B234" s="13" t="s">
        <v>2586</v>
      </c>
      <c r="C234" s="14">
        <v>272.0</v>
      </c>
      <c r="D234" s="12" t="s">
        <v>1862</v>
      </c>
      <c r="E234" s="17">
        <v>-74.0</v>
      </c>
      <c r="F234" s="16"/>
    </row>
    <row r="235">
      <c r="A235" s="12">
        <v>349.0</v>
      </c>
      <c r="B235" s="13" t="s">
        <v>2587</v>
      </c>
      <c r="C235" s="14">
        <v>213.0</v>
      </c>
      <c r="D235" s="12" t="s">
        <v>1686</v>
      </c>
      <c r="E235" s="20" t="s">
        <v>231</v>
      </c>
      <c r="F235" s="16"/>
    </row>
    <row r="236">
      <c r="A236" s="12">
        <v>358.0</v>
      </c>
      <c r="B236" s="13" t="s">
        <v>2588</v>
      </c>
      <c r="C236" s="14">
        <v>225.0</v>
      </c>
      <c r="D236" s="12" t="s">
        <v>1648</v>
      </c>
      <c r="E236" s="20" t="s">
        <v>231</v>
      </c>
      <c r="F236" s="16"/>
    </row>
    <row r="237">
      <c r="A237" s="12">
        <v>363.0</v>
      </c>
      <c r="B237" s="13" t="s">
        <v>2589</v>
      </c>
      <c r="C237" s="14">
        <v>281.0</v>
      </c>
      <c r="D237" s="12" t="s">
        <v>1610</v>
      </c>
      <c r="E237" s="17">
        <v>-82.0</v>
      </c>
      <c r="F237" s="16"/>
    </row>
    <row r="238">
      <c r="A238" s="12">
        <v>367.0</v>
      </c>
      <c r="B238" s="13" t="s">
        <v>2590</v>
      </c>
      <c r="C238" s="14">
        <v>207.0</v>
      </c>
      <c r="D238" s="12" t="s">
        <v>1630</v>
      </c>
      <c r="E238" s="20" t="s">
        <v>231</v>
      </c>
      <c r="F238" s="16"/>
    </row>
    <row r="239">
      <c r="A239" s="12">
        <v>369.0</v>
      </c>
      <c r="B239" s="13" t="s">
        <v>2591</v>
      </c>
      <c r="C239" s="14">
        <v>251.0</v>
      </c>
      <c r="D239" s="12" t="s">
        <v>1613</v>
      </c>
      <c r="E239" s="20" t="s">
        <v>231</v>
      </c>
      <c r="F239" s="16"/>
    </row>
    <row r="240">
      <c r="A240" s="12">
        <v>372.0</v>
      </c>
      <c r="B240" s="13" t="s">
        <v>2592</v>
      </c>
      <c r="C240" s="14">
        <v>197.0</v>
      </c>
      <c r="D240" s="12" t="s">
        <v>1634</v>
      </c>
      <c r="E240" s="20" t="s">
        <v>231</v>
      </c>
      <c r="F240" s="16"/>
    </row>
    <row r="241">
      <c r="A241" s="12">
        <v>373.0</v>
      </c>
      <c r="B241" s="13" t="s">
        <v>2593</v>
      </c>
      <c r="C241" s="14">
        <v>136.0</v>
      </c>
      <c r="D241" s="12" t="s">
        <v>185</v>
      </c>
      <c r="E241" s="20" t="s">
        <v>231</v>
      </c>
      <c r="F241" s="16"/>
    </row>
    <row r="242">
      <c r="A242" s="12">
        <v>388.0</v>
      </c>
      <c r="B242" s="13" t="s">
        <v>2594</v>
      </c>
      <c r="C242" s="14">
        <v>249.0</v>
      </c>
      <c r="D242" s="12" t="s">
        <v>1494</v>
      </c>
      <c r="E242" s="20" t="s">
        <v>231</v>
      </c>
      <c r="F242" s="16"/>
    </row>
    <row r="243">
      <c r="A243" s="12">
        <v>390.0</v>
      </c>
      <c r="B243" s="13" t="s">
        <v>2595</v>
      </c>
      <c r="C243" s="14">
        <v>232.0</v>
      </c>
      <c r="D243" s="12" t="s">
        <v>1598</v>
      </c>
      <c r="E243" s="20" t="s">
        <v>231</v>
      </c>
      <c r="F243" s="16"/>
    </row>
    <row r="244">
      <c r="A244" s="12">
        <v>412.0</v>
      </c>
      <c r="B244" s="13" t="s">
        <v>2596</v>
      </c>
      <c r="C244" s="14">
        <v>221.0</v>
      </c>
      <c r="D244" s="12" t="s">
        <v>1710</v>
      </c>
      <c r="E244" s="20" t="s">
        <v>231</v>
      </c>
      <c r="F244" s="16"/>
    </row>
    <row r="245">
      <c r="A245" s="12">
        <v>413.0</v>
      </c>
      <c r="B245" s="13" t="s">
        <v>2597</v>
      </c>
      <c r="C245" s="14">
        <v>234.0</v>
      </c>
      <c r="D245" s="12" t="s">
        <v>1657</v>
      </c>
      <c r="E245" s="20" t="s">
        <v>231</v>
      </c>
      <c r="F245" s="16"/>
    </row>
    <row r="246">
      <c r="A246" s="12">
        <v>439.0</v>
      </c>
      <c r="B246" s="13" t="s">
        <v>2598</v>
      </c>
      <c r="C246" s="14">
        <v>196.0</v>
      </c>
      <c r="D246" s="12" t="s">
        <v>1562</v>
      </c>
      <c r="E246" s="20" t="s">
        <v>231</v>
      </c>
      <c r="F246" s="16"/>
    </row>
    <row r="247">
      <c r="A247" s="12">
        <v>440.0</v>
      </c>
      <c r="B247" s="13" t="s">
        <v>2599</v>
      </c>
      <c r="C247" s="14">
        <v>267.0</v>
      </c>
      <c r="D247" s="12" t="s">
        <v>1936</v>
      </c>
      <c r="E247" s="20" t="s">
        <v>231</v>
      </c>
      <c r="F247" s="16"/>
    </row>
    <row r="248">
      <c r="A248" s="12">
        <v>447.0</v>
      </c>
      <c r="B248" s="13" t="s">
        <v>2600</v>
      </c>
      <c r="C248" s="14">
        <v>291.0</v>
      </c>
      <c r="D248" s="12" t="s">
        <v>1947</v>
      </c>
      <c r="E248" s="20" t="s">
        <v>231</v>
      </c>
      <c r="F248" s="16"/>
    </row>
    <row r="249">
      <c r="A249" s="12">
        <v>448.0</v>
      </c>
      <c r="B249" s="13" t="s">
        <v>2601</v>
      </c>
      <c r="C249" s="14">
        <v>285.0</v>
      </c>
      <c r="D249" s="12" t="s">
        <v>1999</v>
      </c>
      <c r="E249" s="20" t="s">
        <v>231</v>
      </c>
      <c r="F249" s="16"/>
    </row>
    <row r="250">
      <c r="A250" s="12">
        <v>449.0</v>
      </c>
      <c r="B250" s="13" t="s">
        <v>2602</v>
      </c>
      <c r="C250" s="14">
        <v>283.0</v>
      </c>
      <c r="D250" s="12" t="s">
        <v>1957</v>
      </c>
      <c r="E250" s="20" t="s">
        <v>231</v>
      </c>
      <c r="F250" s="16"/>
    </row>
    <row r="251">
      <c r="A251" s="12">
        <v>453.0</v>
      </c>
      <c r="B251" s="13" t="s">
        <v>2603</v>
      </c>
      <c r="C251" s="14">
        <v>293.0</v>
      </c>
      <c r="D251" s="12" t="s">
        <v>1694</v>
      </c>
      <c r="E251" s="20" t="s">
        <v>231</v>
      </c>
      <c r="F251" s="16"/>
    </row>
    <row r="252">
      <c r="A252" s="12">
        <v>460.0</v>
      </c>
      <c r="B252" s="13" t="s">
        <v>2604</v>
      </c>
      <c r="C252" s="14">
        <v>277.0</v>
      </c>
      <c r="D252" s="12" t="s">
        <v>1670</v>
      </c>
      <c r="E252" s="20" t="s">
        <v>231</v>
      </c>
      <c r="F252" s="16"/>
    </row>
    <row r="253">
      <c r="A253" s="12">
        <v>462.0</v>
      </c>
      <c r="B253" s="13" t="s">
        <v>2605</v>
      </c>
      <c r="C253" s="14">
        <v>229.0</v>
      </c>
      <c r="D253" s="12" t="s">
        <v>1825</v>
      </c>
      <c r="E253" s="20" t="s">
        <v>231</v>
      </c>
      <c r="F253" s="16"/>
    </row>
    <row r="254">
      <c r="A254" s="12">
        <v>463.0</v>
      </c>
      <c r="B254" s="13" t="s">
        <v>2606</v>
      </c>
      <c r="C254" s="14">
        <v>256.0</v>
      </c>
      <c r="D254" s="12" t="s">
        <v>1870</v>
      </c>
      <c r="E254" s="20" t="s">
        <v>231</v>
      </c>
      <c r="F254" s="16"/>
    </row>
    <row r="255">
      <c r="A255" s="12">
        <v>476.0</v>
      </c>
      <c r="B255" s="13" t="s">
        <v>2607</v>
      </c>
      <c r="C255" s="14">
        <v>211.0</v>
      </c>
      <c r="D255" s="12" t="s">
        <v>1677</v>
      </c>
      <c r="E255" s="20" t="s">
        <v>231</v>
      </c>
      <c r="F255" s="16"/>
    </row>
    <row r="256">
      <c r="A256" s="12">
        <v>480.0</v>
      </c>
      <c r="B256" s="13" t="s">
        <v>2608</v>
      </c>
      <c r="C256" s="14">
        <v>210.0</v>
      </c>
      <c r="D256" s="12" t="s">
        <v>1728</v>
      </c>
      <c r="E256" s="20" t="s">
        <v>231</v>
      </c>
      <c r="F256" s="16"/>
    </row>
    <row r="257">
      <c r="A257" s="12">
        <v>485.0</v>
      </c>
      <c r="B257" s="13" t="s">
        <v>2609</v>
      </c>
      <c r="C257" s="14">
        <v>288.0</v>
      </c>
      <c r="D257" s="12" t="s">
        <v>1989</v>
      </c>
      <c r="E257" s="20" t="s">
        <v>231</v>
      </c>
      <c r="F257" s="16"/>
    </row>
    <row r="258">
      <c r="A258" s="12">
        <v>487.0</v>
      </c>
      <c r="B258" s="13" t="s">
        <v>2610</v>
      </c>
      <c r="C258" s="14">
        <v>247.0</v>
      </c>
      <c r="D258" s="12" t="s">
        <v>1789</v>
      </c>
      <c r="E258" s="20" t="s">
        <v>231</v>
      </c>
      <c r="F258" s="16"/>
    </row>
    <row r="259">
      <c r="A259" s="12">
        <v>491.0</v>
      </c>
      <c r="B259" s="13" t="s">
        <v>2611</v>
      </c>
      <c r="C259" s="14">
        <v>243.0</v>
      </c>
      <c r="D259" s="12" t="s">
        <v>1523</v>
      </c>
      <c r="E259" s="20" t="s">
        <v>231</v>
      </c>
      <c r="F259" s="16"/>
    </row>
    <row r="260">
      <c r="A260" s="12">
        <v>492.0</v>
      </c>
      <c r="B260" s="13" t="s">
        <v>2612</v>
      </c>
      <c r="C260" s="14">
        <v>171.0</v>
      </c>
      <c r="D260" s="12" t="s">
        <v>1213</v>
      </c>
      <c r="E260" s="20" t="s">
        <v>231</v>
      </c>
      <c r="F260" s="16"/>
    </row>
    <row r="261">
      <c r="A261" s="12">
        <v>497.0</v>
      </c>
      <c r="B261" s="13" t="s">
        <v>2613</v>
      </c>
      <c r="C261" s="14">
        <v>268.0</v>
      </c>
      <c r="D261" s="12" t="s">
        <v>1571</v>
      </c>
      <c r="E261" s="20" t="s">
        <v>231</v>
      </c>
      <c r="F261" s="16"/>
    </row>
    <row r="262">
      <c r="A262" s="12">
        <v>503.0</v>
      </c>
      <c r="B262" s="13" t="s">
        <v>2614</v>
      </c>
      <c r="C262" s="14">
        <v>212.0</v>
      </c>
      <c r="D262" s="12" t="s">
        <v>1750</v>
      </c>
      <c r="E262" s="20" t="s">
        <v>231</v>
      </c>
      <c r="F262" s="16"/>
    </row>
    <row r="263">
      <c r="A263" s="12">
        <v>505.0</v>
      </c>
      <c r="B263" s="13" t="s">
        <v>2615</v>
      </c>
      <c r="C263" s="14">
        <v>279.0</v>
      </c>
      <c r="D263" s="12" t="s">
        <v>1951</v>
      </c>
      <c r="E263" s="20" t="s">
        <v>231</v>
      </c>
      <c r="F263" s="16"/>
    </row>
    <row r="264">
      <c r="A264" s="12">
        <v>514.0</v>
      </c>
      <c r="B264" s="13" t="s">
        <v>2616</v>
      </c>
      <c r="C264" s="14">
        <v>236.0</v>
      </c>
      <c r="D264" s="12" t="s">
        <v>1574</v>
      </c>
      <c r="E264" s="20" t="s">
        <v>231</v>
      </c>
      <c r="F264" s="16"/>
    </row>
    <row r="265">
      <c r="A265" s="12">
        <v>517.0</v>
      </c>
      <c r="B265" s="13" t="s">
        <v>2617</v>
      </c>
      <c r="C265" s="14">
        <v>184.0</v>
      </c>
      <c r="D265" s="12" t="s">
        <v>1424</v>
      </c>
      <c r="E265" s="20" t="s">
        <v>231</v>
      </c>
      <c r="F265" s="16"/>
    </row>
    <row r="266">
      <c r="A266" s="12">
        <v>520.0</v>
      </c>
      <c r="B266" s="13" t="s">
        <v>2618</v>
      </c>
      <c r="C266" s="14">
        <v>290.0</v>
      </c>
      <c r="D266" s="12" t="s">
        <v>2022</v>
      </c>
      <c r="E266" s="20" t="s">
        <v>231</v>
      </c>
      <c r="F266" s="16"/>
    </row>
    <row r="267">
      <c r="A267" s="12">
        <v>524.0</v>
      </c>
      <c r="B267" s="13" t="s">
        <v>2619</v>
      </c>
      <c r="C267" s="14">
        <v>235.0</v>
      </c>
      <c r="D267" s="12" t="s">
        <v>2066</v>
      </c>
      <c r="E267" s="20" t="s">
        <v>231</v>
      </c>
      <c r="F267" s="16"/>
    </row>
    <row r="268">
      <c r="A268" s="12">
        <v>533.0</v>
      </c>
      <c r="B268" s="13" t="s">
        <v>2620</v>
      </c>
      <c r="C268" s="14">
        <v>255.0</v>
      </c>
      <c r="D268" s="12" t="s">
        <v>1860</v>
      </c>
      <c r="E268" s="20" t="s">
        <v>231</v>
      </c>
      <c r="F268" s="16"/>
    </row>
    <row r="269">
      <c r="A269" s="12">
        <v>541.0</v>
      </c>
      <c r="B269" s="13" t="s">
        <v>2621</v>
      </c>
      <c r="C269" s="14">
        <v>254.0</v>
      </c>
      <c r="D269" s="12" t="s">
        <v>1883</v>
      </c>
      <c r="E269" s="20" t="s">
        <v>231</v>
      </c>
      <c r="F269" s="16"/>
    </row>
    <row r="270">
      <c r="A270" s="12">
        <v>543.0</v>
      </c>
      <c r="B270" s="13" t="s">
        <v>2622</v>
      </c>
      <c r="C270" s="14">
        <v>248.0</v>
      </c>
      <c r="D270" s="12" t="s">
        <v>1645</v>
      </c>
      <c r="E270" s="20" t="s">
        <v>231</v>
      </c>
      <c r="F270" s="16"/>
    </row>
    <row r="271">
      <c r="A271" s="12">
        <v>556.0</v>
      </c>
      <c r="B271" s="13" t="s">
        <v>2623</v>
      </c>
      <c r="C271" s="14">
        <v>253.0</v>
      </c>
      <c r="D271" s="12" t="s">
        <v>1878</v>
      </c>
      <c r="E271" s="20" t="s">
        <v>231</v>
      </c>
      <c r="F271" s="16"/>
    </row>
    <row r="272">
      <c r="A272" s="12">
        <v>562.0</v>
      </c>
      <c r="B272" s="13" t="s">
        <v>2624</v>
      </c>
      <c r="C272" s="14">
        <v>241.0</v>
      </c>
      <c r="D272" s="12" t="s">
        <v>1577</v>
      </c>
      <c r="E272" s="20" t="s">
        <v>231</v>
      </c>
      <c r="F272" s="16"/>
    </row>
    <row r="273">
      <c r="A273" s="12">
        <v>565.0</v>
      </c>
      <c r="B273" s="13" t="s">
        <v>2625</v>
      </c>
      <c r="C273" s="14">
        <v>298.0</v>
      </c>
      <c r="D273" s="12" t="s">
        <v>2002</v>
      </c>
      <c r="E273" s="20" t="s">
        <v>231</v>
      </c>
      <c r="F273" s="16"/>
    </row>
    <row r="274">
      <c r="A274" s="12">
        <v>570.0</v>
      </c>
      <c r="B274" s="13" t="s">
        <v>2626</v>
      </c>
      <c r="C274" s="14">
        <v>266.0</v>
      </c>
      <c r="D274" s="12" t="s">
        <v>1875</v>
      </c>
      <c r="E274" s="20" t="s">
        <v>231</v>
      </c>
      <c r="F274" s="16"/>
    </row>
    <row r="275">
      <c r="A275" s="12">
        <v>571.0</v>
      </c>
      <c r="B275" s="13" t="s">
        <v>2627</v>
      </c>
      <c r="C275" s="14">
        <v>274.0</v>
      </c>
      <c r="D275" s="12" t="s">
        <v>1673</v>
      </c>
      <c r="E275" s="20" t="s">
        <v>231</v>
      </c>
      <c r="F275" s="16"/>
    </row>
    <row r="276">
      <c r="A276" s="12">
        <v>600.0</v>
      </c>
      <c r="B276" s="13" t="s">
        <v>2628</v>
      </c>
      <c r="C276" s="14">
        <v>218.0</v>
      </c>
      <c r="D276" s="12" t="s">
        <v>2049</v>
      </c>
      <c r="E276" s="20" t="s">
        <v>231</v>
      </c>
      <c r="F276" s="16"/>
    </row>
    <row r="277">
      <c r="A277" s="12">
        <v>630.0</v>
      </c>
      <c r="B277" s="13" t="s">
        <v>2629</v>
      </c>
      <c r="C277" s="14">
        <v>299.0</v>
      </c>
      <c r="D277" s="12" t="s">
        <v>1587</v>
      </c>
      <c r="E277" s="20" t="s">
        <v>231</v>
      </c>
      <c r="F277" s="16"/>
    </row>
    <row r="278">
      <c r="A278" s="12">
        <v>634.0</v>
      </c>
      <c r="B278" s="13" t="s">
        <v>2630</v>
      </c>
      <c r="C278" s="14">
        <v>269.0</v>
      </c>
      <c r="D278" s="12" t="s">
        <v>1676</v>
      </c>
      <c r="E278" s="20" t="s">
        <v>231</v>
      </c>
      <c r="F278" s="16"/>
    </row>
    <row r="279">
      <c r="A279" s="12">
        <v>646.0</v>
      </c>
      <c r="B279" s="13" t="s">
        <v>2631</v>
      </c>
      <c r="C279" s="14">
        <v>246.0</v>
      </c>
      <c r="D279" s="12" t="s">
        <v>1844</v>
      </c>
      <c r="E279" s="20" t="s">
        <v>231</v>
      </c>
      <c r="F279" s="16"/>
    </row>
    <row r="280">
      <c r="A280" s="12">
        <v>647.0</v>
      </c>
      <c r="B280" s="13" t="s">
        <v>2632</v>
      </c>
      <c r="C280" s="14">
        <v>252.0</v>
      </c>
      <c r="D280" s="12" t="s">
        <v>1819</v>
      </c>
      <c r="E280" s="20" t="s">
        <v>231</v>
      </c>
      <c r="F280" s="16"/>
    </row>
    <row r="281">
      <c r="A281" s="12">
        <v>662.0</v>
      </c>
      <c r="B281" s="13" t="s">
        <v>2633</v>
      </c>
      <c r="C281" s="14">
        <v>260.0</v>
      </c>
      <c r="D281" s="12" t="s">
        <v>1909</v>
      </c>
      <c r="E281" s="20" t="s">
        <v>231</v>
      </c>
      <c r="F281" s="16"/>
    </row>
    <row r="282">
      <c r="A282" s="12">
        <v>668.0</v>
      </c>
      <c r="B282" s="13" t="s">
        <v>2634</v>
      </c>
      <c r="C282" s="14">
        <v>244.0</v>
      </c>
      <c r="D282" s="12" t="s">
        <v>2099</v>
      </c>
      <c r="E282" s="20" t="s">
        <v>231</v>
      </c>
      <c r="F282" s="16"/>
    </row>
    <row r="283">
      <c r="A283" s="12">
        <v>670.0</v>
      </c>
      <c r="B283" s="13" t="s">
        <v>2635</v>
      </c>
      <c r="C283" s="14">
        <v>270.0</v>
      </c>
      <c r="D283" s="12" t="s">
        <v>1931</v>
      </c>
      <c r="E283" s="20" t="s">
        <v>231</v>
      </c>
      <c r="F283" s="16"/>
    </row>
    <row r="284">
      <c r="A284" s="12">
        <v>671.0</v>
      </c>
      <c r="B284" s="13" t="s">
        <v>2636</v>
      </c>
      <c r="C284" s="14">
        <v>282.0</v>
      </c>
      <c r="D284" s="12" t="s">
        <v>1888</v>
      </c>
      <c r="E284" s="20" t="s">
        <v>231</v>
      </c>
      <c r="F284" s="16"/>
    </row>
    <row r="285">
      <c r="A285" s="12">
        <v>706.0</v>
      </c>
      <c r="B285" s="13" t="s">
        <v>2637</v>
      </c>
      <c r="C285" s="14">
        <v>271.0</v>
      </c>
      <c r="D285" s="12" t="s">
        <v>2638</v>
      </c>
      <c r="E285" s="20" t="s">
        <v>231</v>
      </c>
      <c r="F285" s="16"/>
    </row>
    <row r="286">
      <c r="A286" s="12">
        <v>717.0</v>
      </c>
      <c r="B286" s="13" t="s">
        <v>2639</v>
      </c>
      <c r="C286" s="14">
        <v>202.0</v>
      </c>
      <c r="D286" s="12" t="s">
        <v>1745</v>
      </c>
      <c r="E286" s="20" t="s">
        <v>231</v>
      </c>
      <c r="F286" s="16"/>
    </row>
    <row r="287">
      <c r="A287" s="12">
        <v>719.0</v>
      </c>
      <c r="B287" s="13" t="s">
        <v>2640</v>
      </c>
      <c r="C287" s="14">
        <v>289.0</v>
      </c>
      <c r="D287" s="12" t="s">
        <v>1651</v>
      </c>
      <c r="E287" s="20" t="s">
        <v>231</v>
      </c>
      <c r="F287" s="16"/>
    </row>
    <row r="288">
      <c r="A288" s="12">
        <v>720.0</v>
      </c>
      <c r="B288" s="13" t="s">
        <v>2641</v>
      </c>
      <c r="C288" s="14">
        <v>262.0</v>
      </c>
      <c r="D288" s="12" t="s">
        <v>1660</v>
      </c>
      <c r="E288" s="20" t="s">
        <v>231</v>
      </c>
      <c r="F288" s="16"/>
    </row>
    <row r="289">
      <c r="A289" s="12">
        <v>732.0</v>
      </c>
      <c r="B289" s="13" t="s">
        <v>2642</v>
      </c>
      <c r="C289" s="14">
        <v>261.0</v>
      </c>
      <c r="D289" s="12" t="s">
        <v>1595</v>
      </c>
      <c r="E289" s="20" t="s">
        <v>231</v>
      </c>
      <c r="F289" s="16"/>
    </row>
    <row r="290">
      <c r="A290" s="12">
        <v>758.0</v>
      </c>
      <c r="B290" s="13" t="s">
        <v>2643</v>
      </c>
      <c r="C290" s="14">
        <v>284.0</v>
      </c>
      <c r="D290" s="12" t="s">
        <v>1985</v>
      </c>
      <c r="E290" s="20" t="s">
        <v>231</v>
      </c>
      <c r="F290" s="16"/>
    </row>
    <row r="291">
      <c r="A291" s="12">
        <v>794.0</v>
      </c>
      <c r="B291" s="13" t="s">
        <v>2644</v>
      </c>
      <c r="C291" s="14">
        <v>273.0</v>
      </c>
      <c r="D291" s="12" t="s">
        <v>2645</v>
      </c>
      <c r="E291" s="20" t="s">
        <v>231</v>
      </c>
      <c r="F291" s="16"/>
    </row>
    <row r="292">
      <c r="A292" s="12">
        <v>834.0</v>
      </c>
      <c r="B292" s="13" t="s">
        <v>2646</v>
      </c>
      <c r="C292" s="14">
        <v>296.0</v>
      </c>
      <c r="D292" s="12" t="s">
        <v>1799</v>
      </c>
      <c r="E292" s="20" t="s">
        <v>231</v>
      </c>
      <c r="F292" s="16"/>
    </row>
    <row r="293">
      <c r="A293" s="12">
        <v>840.0</v>
      </c>
      <c r="B293" s="13" t="s">
        <v>2647</v>
      </c>
      <c r="C293" s="14">
        <v>297.0</v>
      </c>
      <c r="D293" s="12" t="s">
        <v>1616</v>
      </c>
      <c r="E293" s="20" t="s">
        <v>231</v>
      </c>
      <c r="F293" s="16"/>
    </row>
    <row r="294">
      <c r="A294" s="12">
        <v>1060.0</v>
      </c>
      <c r="B294" s="13" t="s">
        <v>2648</v>
      </c>
      <c r="C294" s="14">
        <v>292.0</v>
      </c>
      <c r="D294" s="12" t="s">
        <v>2649</v>
      </c>
      <c r="E294" s="20" t="s">
        <v>231</v>
      </c>
      <c r="F294" s="16"/>
    </row>
    <row r="295">
      <c r="A295" s="12">
        <v>1079.0</v>
      </c>
      <c r="B295" s="13" t="s">
        <v>2650</v>
      </c>
      <c r="C295" s="14">
        <v>214.0</v>
      </c>
      <c r="D295" s="12" t="s">
        <v>2006</v>
      </c>
      <c r="E295" s="20" t="s">
        <v>231</v>
      </c>
      <c r="F295" s="16"/>
    </row>
    <row r="296">
      <c r="A296" s="12">
        <v>1081.0</v>
      </c>
      <c r="B296" s="13" t="s">
        <v>2651</v>
      </c>
      <c r="C296" s="14">
        <v>180.0</v>
      </c>
      <c r="D296" s="12" t="s">
        <v>1972</v>
      </c>
      <c r="E296" s="20" t="s">
        <v>231</v>
      </c>
      <c r="F296" s="16"/>
    </row>
    <row r="297">
      <c r="A297" s="12">
        <v>1096.0</v>
      </c>
      <c r="B297" s="13" t="s">
        <v>2652</v>
      </c>
      <c r="C297" s="14">
        <v>295.0</v>
      </c>
      <c r="D297" s="12" t="s">
        <v>2653</v>
      </c>
      <c r="E297" s="20" t="s">
        <v>231</v>
      </c>
      <c r="F297" s="16"/>
    </row>
    <row r="298">
      <c r="A298" s="12">
        <v>1107.0</v>
      </c>
      <c r="B298" s="13" t="s">
        <v>2654</v>
      </c>
      <c r="C298" s="14">
        <v>294.0</v>
      </c>
      <c r="D298" s="12" t="s">
        <v>2655</v>
      </c>
      <c r="E298" s="20" t="s">
        <v>231</v>
      </c>
      <c r="F298" s="16"/>
    </row>
    <row r="299">
      <c r="A299" s="12">
        <v>1116.0</v>
      </c>
      <c r="B299" s="13" t="s">
        <v>2656</v>
      </c>
      <c r="C299" s="14">
        <v>257.0</v>
      </c>
      <c r="D299" s="12" t="s">
        <v>2115</v>
      </c>
      <c r="E299" s="20" t="s">
        <v>231</v>
      </c>
      <c r="F299" s="16"/>
    </row>
    <row r="300">
      <c r="A300" s="12">
        <v>1121.0</v>
      </c>
      <c r="B300" s="13" t="s">
        <v>2657</v>
      </c>
      <c r="C300" s="14">
        <v>238.0</v>
      </c>
      <c r="D300" s="12" t="s">
        <v>2077</v>
      </c>
      <c r="E300" s="20" t="s">
        <v>231</v>
      </c>
      <c r="F300" s="16"/>
    </row>
    <row r="301">
      <c r="A301" s="12">
        <v>1179.0</v>
      </c>
      <c r="B301" s="13" t="s">
        <v>2658</v>
      </c>
      <c r="C301" s="14">
        <v>276.0</v>
      </c>
      <c r="D301" s="12" t="s">
        <v>1928</v>
      </c>
      <c r="E301" s="20" t="s">
        <v>231</v>
      </c>
      <c r="F301" s="16"/>
    </row>
  </sheetData>
  <mergeCells count="1">
    <mergeCell ref="B1:E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</hyperlinks>
  <drawing r:id="rId30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221</v>
      </c>
    </row>
    <row r="2">
      <c r="A2" s="8" t="s">
        <v>224</v>
      </c>
    </row>
    <row r="3">
      <c r="A3" s="8" t="s">
        <v>225</v>
      </c>
    </row>
    <row r="4">
      <c r="A4" s="8">
        <v>1.0</v>
      </c>
    </row>
    <row r="5">
      <c r="A5" s="8" t="s">
        <v>691</v>
      </c>
    </row>
    <row r="6">
      <c r="A6" s="8" t="s">
        <v>726</v>
      </c>
    </row>
    <row r="7">
      <c r="A7" s="8" t="s">
        <v>408</v>
      </c>
    </row>
    <row r="8">
      <c r="A8" s="8" t="s">
        <v>279</v>
      </c>
    </row>
    <row r="9">
      <c r="A9" s="8" t="s">
        <v>248</v>
      </c>
    </row>
    <row r="10">
      <c r="A10" s="8">
        <v>3.4</v>
      </c>
    </row>
    <row r="11">
      <c r="A11" s="8" t="s">
        <v>224</v>
      </c>
    </row>
    <row r="12">
      <c r="A12" s="31">
        <v>3.0</v>
      </c>
    </row>
    <row r="13">
      <c r="A13" s="8" t="s">
        <v>232</v>
      </c>
    </row>
    <row r="14">
      <c r="A14" s="8" t="s">
        <v>233</v>
      </c>
    </row>
    <row r="15">
      <c r="A15" s="8" t="s">
        <v>225</v>
      </c>
    </row>
    <row r="16">
      <c r="A16" s="8">
        <v>2.0</v>
      </c>
    </row>
    <row r="17">
      <c r="A17" s="8" t="s">
        <v>691</v>
      </c>
    </row>
    <row r="18">
      <c r="A18" s="8" t="s">
        <v>728</v>
      </c>
    </row>
    <row r="19">
      <c r="A19" s="8" t="s">
        <v>376</v>
      </c>
    </row>
    <row r="20">
      <c r="A20" s="8" t="s">
        <v>341</v>
      </c>
    </row>
    <row r="21">
      <c r="A21" s="8" t="s">
        <v>324</v>
      </c>
    </row>
    <row r="22">
      <c r="A22" s="8">
        <v>1.5</v>
      </c>
    </row>
    <row r="23">
      <c r="A23" s="8" t="s">
        <v>224</v>
      </c>
    </row>
    <row r="24">
      <c r="A24" s="31">
        <v>21.0</v>
      </c>
    </row>
    <row r="25">
      <c r="A25" s="8" t="s">
        <v>232</v>
      </c>
    </row>
    <row r="26">
      <c r="A26" s="8" t="s">
        <v>233</v>
      </c>
    </row>
    <row r="27">
      <c r="A27" s="8" t="s">
        <v>225</v>
      </c>
    </row>
    <row r="28">
      <c r="A28" s="8">
        <v>3.0</v>
      </c>
    </row>
    <row r="29">
      <c r="A29" s="8" t="s">
        <v>691</v>
      </c>
    </row>
    <row r="30">
      <c r="A30" s="8" t="s">
        <v>757</v>
      </c>
    </row>
    <row r="31">
      <c r="A31" s="8" t="s">
        <v>317</v>
      </c>
    </row>
    <row r="32">
      <c r="A32" s="8" t="s">
        <v>370</v>
      </c>
    </row>
    <row r="33">
      <c r="A33" s="8" t="s">
        <v>265</v>
      </c>
    </row>
    <row r="34">
      <c r="A34" s="8">
        <v>11.8</v>
      </c>
    </row>
    <row r="35">
      <c r="A35" s="8" t="s">
        <v>224</v>
      </c>
    </row>
    <row r="36">
      <c r="A36" s="31">
        <v>21.0</v>
      </c>
    </row>
    <row r="37">
      <c r="A37" s="8" t="s">
        <v>232</v>
      </c>
    </row>
    <row r="38">
      <c r="A38" s="8" t="s">
        <v>233</v>
      </c>
    </row>
    <row r="39">
      <c r="A39" s="8" t="s">
        <v>225</v>
      </c>
    </row>
    <row r="40">
      <c r="A40" s="8">
        <v>4.0</v>
      </c>
    </row>
    <row r="41">
      <c r="A41" s="8" t="s">
        <v>691</v>
      </c>
    </row>
    <row r="42">
      <c r="A42" s="8" t="s">
        <v>760</v>
      </c>
    </row>
    <row r="43">
      <c r="A43" s="8" t="s">
        <v>322</v>
      </c>
    </row>
    <row r="44">
      <c r="A44" s="8" t="s">
        <v>419</v>
      </c>
    </row>
    <row r="45">
      <c r="A45" s="8" t="s">
        <v>324</v>
      </c>
    </row>
    <row r="46">
      <c r="A46" s="8">
        <v>8.0</v>
      </c>
    </row>
    <row r="47">
      <c r="A47" s="8" t="s">
        <v>224</v>
      </c>
    </row>
    <row r="48">
      <c r="A48" s="31">
        <v>16.0</v>
      </c>
    </row>
    <row r="49">
      <c r="A49" s="8" t="s">
        <v>232</v>
      </c>
    </row>
    <row r="50">
      <c r="A50" s="8" t="s">
        <v>233</v>
      </c>
    </row>
    <row r="51">
      <c r="A51" s="8" t="s">
        <v>225</v>
      </c>
    </row>
    <row r="52">
      <c r="A52" s="8">
        <v>5.0</v>
      </c>
    </row>
    <row r="53">
      <c r="A53" s="8" t="s">
        <v>691</v>
      </c>
    </row>
    <row r="54">
      <c r="A54" s="8" t="s">
        <v>762</v>
      </c>
    </row>
    <row r="55">
      <c r="A55" s="8" t="s">
        <v>422</v>
      </c>
    </row>
    <row r="56">
      <c r="A56" s="8" t="s">
        <v>452</v>
      </c>
    </row>
    <row r="57">
      <c r="A57" s="8" t="s">
        <v>296</v>
      </c>
    </row>
    <row r="58">
      <c r="A58" s="8">
        <v>10.4</v>
      </c>
    </row>
    <row r="59">
      <c r="A59" s="8" t="s">
        <v>224</v>
      </c>
    </row>
    <row r="60">
      <c r="A60" s="31">
        <v>18.0</v>
      </c>
    </row>
    <row r="61">
      <c r="A61" s="8" t="s">
        <v>232</v>
      </c>
    </row>
    <row r="62">
      <c r="A62" s="8" t="s">
        <v>233</v>
      </c>
    </row>
    <row r="63">
      <c r="A63" s="8" t="s">
        <v>225</v>
      </c>
    </row>
    <row r="64">
      <c r="A64" s="8">
        <v>6.0</v>
      </c>
    </row>
    <row r="65">
      <c r="A65" s="8" t="s">
        <v>691</v>
      </c>
    </row>
    <row r="66">
      <c r="A66" s="8" t="s">
        <v>771</v>
      </c>
    </row>
    <row r="67">
      <c r="A67" s="8" t="s">
        <v>396</v>
      </c>
    </row>
    <row r="68">
      <c r="A68" s="8" t="s">
        <v>662</v>
      </c>
    </row>
    <row r="69">
      <c r="A69" s="8" t="s">
        <v>254</v>
      </c>
    </row>
    <row r="70">
      <c r="A70" s="8">
        <v>14.1</v>
      </c>
    </row>
    <row r="71">
      <c r="A71" s="8" t="s">
        <v>224</v>
      </c>
    </row>
    <row r="72">
      <c r="A72" s="31">
        <v>3.0</v>
      </c>
    </row>
    <row r="73">
      <c r="A73" s="8" t="s">
        <v>232</v>
      </c>
    </row>
    <row r="74">
      <c r="A74" s="8" t="s">
        <v>233</v>
      </c>
    </row>
    <row r="75">
      <c r="A75" s="8" t="s">
        <v>225</v>
      </c>
    </row>
    <row r="76">
      <c r="A76" s="8">
        <v>7.0</v>
      </c>
    </row>
    <row r="77">
      <c r="A77" s="8" t="s">
        <v>691</v>
      </c>
    </row>
    <row r="78">
      <c r="A78" s="8" t="s">
        <v>693</v>
      </c>
    </row>
    <row r="79">
      <c r="A79" s="8" t="s">
        <v>246</v>
      </c>
    </row>
    <row r="80">
      <c r="A80" s="8" t="s">
        <v>237</v>
      </c>
    </row>
    <row r="81">
      <c r="A81" s="8" t="s">
        <v>248</v>
      </c>
    </row>
    <row r="82">
      <c r="A82" s="8">
        <v>7.5</v>
      </c>
    </row>
    <row r="83">
      <c r="A83" s="8" t="s">
        <v>224</v>
      </c>
    </row>
    <row r="84">
      <c r="A84" s="31">
        <v>30.0</v>
      </c>
    </row>
    <row r="85">
      <c r="A85" s="8" t="s">
        <v>232</v>
      </c>
    </row>
    <row r="86">
      <c r="A86" s="8" t="s">
        <v>233</v>
      </c>
    </row>
    <row r="87">
      <c r="A87" s="8" t="s">
        <v>225</v>
      </c>
    </row>
    <row r="88">
      <c r="A88" s="8">
        <v>8.0</v>
      </c>
    </row>
    <row r="89">
      <c r="A89" s="8" t="s">
        <v>691</v>
      </c>
    </row>
    <row r="90">
      <c r="A90" s="8" t="s">
        <v>695</v>
      </c>
    </row>
    <row r="91">
      <c r="A91" s="8" t="s">
        <v>340</v>
      </c>
    </row>
    <row r="92">
      <c r="A92" s="8" t="s">
        <v>243</v>
      </c>
    </row>
    <row r="93">
      <c r="A93" s="8" t="s">
        <v>248</v>
      </c>
    </row>
    <row r="94">
      <c r="A94" s="8">
        <v>6.4</v>
      </c>
    </row>
    <row r="95">
      <c r="A95" s="8" t="s">
        <v>224</v>
      </c>
    </row>
    <row r="96">
      <c r="A96" s="31">
        <v>40.0</v>
      </c>
    </row>
    <row r="97">
      <c r="A97" s="8" t="s">
        <v>232</v>
      </c>
    </row>
    <row r="98">
      <c r="A98" s="8" t="s">
        <v>233</v>
      </c>
    </row>
    <row r="99">
      <c r="A99" s="8" t="s">
        <v>225</v>
      </c>
    </row>
    <row r="100">
      <c r="A100" s="8">
        <v>9.0</v>
      </c>
    </row>
    <row r="101">
      <c r="A101" s="8" t="s">
        <v>691</v>
      </c>
    </row>
    <row r="102">
      <c r="A102" s="8" t="s">
        <v>775</v>
      </c>
    </row>
    <row r="103">
      <c r="A103" s="8" t="s">
        <v>252</v>
      </c>
    </row>
    <row r="104">
      <c r="A104" s="8" t="s">
        <v>666</v>
      </c>
    </row>
    <row r="105">
      <c r="A105" s="8" t="s">
        <v>254</v>
      </c>
    </row>
    <row r="106">
      <c r="A106" s="8">
        <v>25.9</v>
      </c>
    </row>
    <row r="107">
      <c r="A107" s="8" t="s">
        <v>224</v>
      </c>
    </row>
    <row r="108">
      <c r="A108" s="31">
        <v>14.0</v>
      </c>
    </row>
    <row r="109">
      <c r="A109" s="8" t="s">
        <v>232</v>
      </c>
    </row>
    <row r="110">
      <c r="A110" s="8" t="s">
        <v>233</v>
      </c>
    </row>
    <row r="111">
      <c r="A111" s="8" t="s">
        <v>225</v>
      </c>
    </row>
    <row r="112">
      <c r="A112" s="8">
        <v>10.0</v>
      </c>
    </row>
    <row r="113">
      <c r="A113" s="8" t="s">
        <v>691</v>
      </c>
    </row>
    <row r="114">
      <c r="A114" s="8" t="s">
        <v>698</v>
      </c>
    </row>
    <row r="115">
      <c r="A115" s="8" t="s">
        <v>699</v>
      </c>
    </row>
    <row r="116">
      <c r="A116" s="8" t="s">
        <v>228</v>
      </c>
    </row>
    <row r="117">
      <c r="A117" s="8" t="s">
        <v>296</v>
      </c>
    </row>
    <row r="118">
      <c r="A118" s="8">
        <v>5.9</v>
      </c>
    </row>
    <row r="119">
      <c r="A119" s="8" t="s">
        <v>224</v>
      </c>
    </row>
    <row r="120">
      <c r="A120" s="31">
        <v>51.0</v>
      </c>
    </row>
    <row r="121">
      <c r="A121" s="8" t="s">
        <v>232</v>
      </c>
    </row>
    <row r="122">
      <c r="A122" s="8" t="s">
        <v>233</v>
      </c>
    </row>
    <row r="123">
      <c r="A123" s="8" t="s">
        <v>225</v>
      </c>
    </row>
    <row r="124">
      <c r="A124" s="8">
        <v>11.0</v>
      </c>
    </row>
    <row r="125">
      <c r="A125" s="8" t="s">
        <v>691</v>
      </c>
    </row>
    <row r="126">
      <c r="A126" s="8" t="s">
        <v>700</v>
      </c>
    </row>
    <row r="127">
      <c r="A127" s="8" t="s">
        <v>332</v>
      </c>
    </row>
    <row r="128">
      <c r="A128" s="8" t="s">
        <v>247</v>
      </c>
    </row>
    <row r="129">
      <c r="A129" s="8" t="s">
        <v>248</v>
      </c>
    </row>
    <row r="130">
      <c r="A130" s="8">
        <v>2.6</v>
      </c>
    </row>
    <row r="131">
      <c r="A131" s="8" t="s">
        <v>224</v>
      </c>
    </row>
    <row r="132">
      <c r="A132" s="31">
        <v>54.0</v>
      </c>
    </row>
    <row r="133">
      <c r="A133" s="8" t="s">
        <v>232</v>
      </c>
    </row>
    <row r="134">
      <c r="A134" s="8" t="s">
        <v>233</v>
      </c>
    </row>
    <row r="135">
      <c r="A135" s="8" t="s">
        <v>225</v>
      </c>
    </row>
    <row r="136">
      <c r="A136" s="8">
        <v>12.0</v>
      </c>
    </row>
    <row r="137">
      <c r="A137" s="8" t="s">
        <v>691</v>
      </c>
    </row>
    <row r="138">
      <c r="A138" s="8" t="s">
        <v>703</v>
      </c>
    </row>
    <row r="139">
      <c r="A139" s="8" t="s">
        <v>422</v>
      </c>
    </row>
    <row r="140">
      <c r="A140" s="8" t="s">
        <v>253</v>
      </c>
    </row>
    <row r="141">
      <c r="A141" s="8" t="s">
        <v>296</v>
      </c>
    </row>
    <row r="142">
      <c r="A142" s="8">
        <v>4.4</v>
      </c>
    </row>
    <row r="143">
      <c r="A143" s="8" t="s">
        <v>224</v>
      </c>
    </row>
    <row r="144">
      <c r="A144" s="31">
        <v>59.0</v>
      </c>
    </row>
    <row r="145">
      <c r="A145" s="8" t="s">
        <v>232</v>
      </c>
    </row>
    <row r="146">
      <c r="A146" s="8" t="s">
        <v>233</v>
      </c>
    </row>
    <row r="147">
      <c r="A147" s="8" t="s">
        <v>225</v>
      </c>
    </row>
    <row r="148">
      <c r="A148" s="8">
        <v>13.0</v>
      </c>
    </row>
    <row r="149">
      <c r="A149" s="8" t="s">
        <v>691</v>
      </c>
    </row>
    <row r="150">
      <c r="A150" s="8" t="s">
        <v>704</v>
      </c>
    </row>
    <row r="151">
      <c r="A151" s="8" t="s">
        <v>278</v>
      </c>
    </row>
    <row r="152">
      <c r="A152" s="8" t="s">
        <v>287</v>
      </c>
    </row>
    <row r="153">
      <c r="A153" s="8" t="s">
        <v>265</v>
      </c>
    </row>
    <row r="154">
      <c r="A154" s="8">
        <v>17.6</v>
      </c>
    </row>
    <row r="155">
      <c r="A155" s="8" t="s">
        <v>224</v>
      </c>
    </row>
    <row r="156">
      <c r="A156" s="31">
        <v>41.0</v>
      </c>
    </row>
    <row r="157">
      <c r="A157" s="8" t="s">
        <v>232</v>
      </c>
    </row>
    <row r="158">
      <c r="A158" s="8" t="s">
        <v>233</v>
      </c>
    </row>
    <row r="159">
      <c r="A159" s="8" t="s">
        <v>225</v>
      </c>
    </row>
    <row r="160">
      <c r="A160" s="8">
        <v>14.0</v>
      </c>
    </row>
    <row r="161">
      <c r="A161" s="8" t="s">
        <v>691</v>
      </c>
    </row>
    <row r="162">
      <c r="A162" s="8" t="s">
        <v>707</v>
      </c>
    </row>
    <row r="163">
      <c r="A163" s="8" t="s">
        <v>278</v>
      </c>
    </row>
    <row r="164">
      <c r="A164" s="8" t="s">
        <v>263</v>
      </c>
    </row>
    <row r="165">
      <c r="A165" s="8" t="s">
        <v>265</v>
      </c>
    </row>
    <row r="166">
      <c r="A166" s="8">
        <v>13.2</v>
      </c>
    </row>
    <row r="167">
      <c r="A167" s="8" t="s">
        <v>224</v>
      </c>
    </row>
    <row r="168">
      <c r="A168" s="31">
        <v>30.0</v>
      </c>
    </row>
    <row r="169">
      <c r="A169" s="8" t="s">
        <v>232</v>
      </c>
    </row>
    <row r="170">
      <c r="A170" s="8" t="s">
        <v>233</v>
      </c>
    </row>
    <row r="171">
      <c r="A171" s="8" t="s">
        <v>225</v>
      </c>
    </row>
    <row r="172">
      <c r="A172" s="8">
        <v>15.0</v>
      </c>
    </row>
    <row r="173">
      <c r="A173" s="8" t="s">
        <v>226</v>
      </c>
    </row>
    <row r="174">
      <c r="A174" s="8" t="s">
        <v>227</v>
      </c>
    </row>
    <row r="175">
      <c r="A175" s="8" t="s">
        <v>291</v>
      </c>
    </row>
    <row r="176">
      <c r="A176" s="8" t="s">
        <v>229</v>
      </c>
    </row>
    <row r="177">
      <c r="A177" s="8">
        <v>19.0</v>
      </c>
    </row>
    <row r="178">
      <c r="A178" s="8" t="s">
        <v>224</v>
      </c>
    </row>
    <row r="179">
      <c r="A179" s="8" t="s">
        <v>231</v>
      </c>
    </row>
    <row r="180">
      <c r="A180" s="8" t="s">
        <v>232</v>
      </c>
    </row>
    <row r="181">
      <c r="A181" s="8" t="s">
        <v>233</v>
      </c>
    </row>
    <row r="182">
      <c r="A182" s="8" t="s">
        <v>225</v>
      </c>
    </row>
    <row r="183">
      <c r="A183" s="8">
        <v>16.0</v>
      </c>
    </row>
    <row r="184">
      <c r="A184" s="8" t="s">
        <v>691</v>
      </c>
    </row>
    <row r="185">
      <c r="A185" s="8" t="s">
        <v>2206</v>
      </c>
    </row>
    <row r="186">
      <c r="A186" s="8" t="s">
        <v>433</v>
      </c>
    </row>
    <row r="187">
      <c r="A187" s="8" t="s">
        <v>668</v>
      </c>
    </row>
    <row r="188">
      <c r="A188" s="8" t="s">
        <v>324</v>
      </c>
    </row>
    <row r="189">
      <c r="A189" s="8">
        <v>32.0</v>
      </c>
    </row>
    <row r="190">
      <c r="A190" s="8" t="s">
        <v>224</v>
      </c>
    </row>
    <row r="191">
      <c r="A191" s="31">
        <v>3.0</v>
      </c>
    </row>
    <row r="192">
      <c r="A192" s="8" t="s">
        <v>232</v>
      </c>
    </row>
    <row r="193">
      <c r="A193" s="8" t="s">
        <v>233</v>
      </c>
    </row>
    <row r="194">
      <c r="A194" s="8" t="s">
        <v>225</v>
      </c>
    </row>
    <row r="195">
      <c r="A195" s="8">
        <v>17.0</v>
      </c>
    </row>
    <row r="196">
      <c r="A196" s="8" t="s">
        <v>691</v>
      </c>
    </row>
    <row r="197">
      <c r="A197" s="8" t="s">
        <v>710</v>
      </c>
    </row>
    <row r="198">
      <c r="A198" s="8" t="s">
        <v>314</v>
      </c>
    </row>
    <row r="199">
      <c r="A199" s="8" t="s">
        <v>259</v>
      </c>
    </row>
    <row r="200">
      <c r="A200" s="8" t="s">
        <v>244</v>
      </c>
    </row>
    <row r="201">
      <c r="A201" s="8">
        <v>12.8</v>
      </c>
    </row>
    <row r="202">
      <c r="A202" s="8" t="s">
        <v>224</v>
      </c>
    </row>
    <row r="203">
      <c r="A203" s="31">
        <v>44.0</v>
      </c>
    </row>
    <row r="204">
      <c r="A204" s="8" t="s">
        <v>232</v>
      </c>
    </row>
    <row r="205">
      <c r="A205" s="8" t="s">
        <v>233</v>
      </c>
    </row>
    <row r="206">
      <c r="A206" s="8" t="s">
        <v>225</v>
      </c>
    </row>
    <row r="207">
      <c r="A207" s="8">
        <v>18.0</v>
      </c>
    </row>
    <row r="208">
      <c r="A208" s="8" t="s">
        <v>691</v>
      </c>
    </row>
    <row r="209">
      <c r="A209" s="8" t="s">
        <v>2210</v>
      </c>
    </row>
    <row r="210">
      <c r="A210" s="8" t="s">
        <v>392</v>
      </c>
    </row>
    <row r="211">
      <c r="A211" s="8" t="s">
        <v>684</v>
      </c>
    </row>
    <row r="212">
      <c r="A212" s="8" t="s">
        <v>324</v>
      </c>
    </row>
    <row r="213">
      <c r="A213" s="8">
        <v>24.3</v>
      </c>
    </row>
    <row r="214">
      <c r="A214" s="8" t="s">
        <v>224</v>
      </c>
    </row>
    <row r="215">
      <c r="A215" s="31">
        <v>2.0</v>
      </c>
    </row>
    <row r="216">
      <c r="A216" s="8" t="s">
        <v>232</v>
      </c>
    </row>
    <row r="217">
      <c r="A217" s="8" t="s">
        <v>233</v>
      </c>
    </row>
    <row r="218">
      <c r="A218" s="8" t="s">
        <v>225</v>
      </c>
    </row>
    <row r="219">
      <c r="A219" s="8">
        <v>19.0</v>
      </c>
    </row>
    <row r="220">
      <c r="A220" s="8" t="s">
        <v>691</v>
      </c>
    </row>
    <row r="221">
      <c r="A221" s="8" t="s">
        <v>713</v>
      </c>
    </row>
    <row r="222">
      <c r="A222" s="8" t="s">
        <v>699</v>
      </c>
    </row>
    <row r="223">
      <c r="A223" s="8" t="s">
        <v>268</v>
      </c>
    </row>
    <row r="224">
      <c r="A224" s="8" t="s">
        <v>296</v>
      </c>
    </row>
    <row r="225">
      <c r="A225" s="8">
        <v>9.1</v>
      </c>
    </row>
    <row r="226">
      <c r="A226" s="8" t="s">
        <v>224</v>
      </c>
    </row>
    <row r="227">
      <c r="A227" s="31">
        <v>43.0</v>
      </c>
    </row>
    <row r="228">
      <c r="A228" s="8" t="s">
        <v>232</v>
      </c>
    </row>
    <row r="229">
      <c r="A229" s="8" t="s">
        <v>233</v>
      </c>
    </row>
    <row r="230">
      <c r="A230" s="8" t="s">
        <v>225</v>
      </c>
    </row>
    <row r="231">
      <c r="A231" s="8">
        <v>20.0</v>
      </c>
    </row>
    <row r="232">
      <c r="A232" s="8" t="s">
        <v>691</v>
      </c>
    </row>
    <row r="233">
      <c r="A233" s="8" t="s">
        <v>2213</v>
      </c>
    </row>
    <row r="234">
      <c r="A234" s="8" t="s">
        <v>267</v>
      </c>
    </row>
    <row r="235">
      <c r="A235" s="8" t="s">
        <v>2215</v>
      </c>
    </row>
    <row r="236">
      <c r="A236" s="8" t="s">
        <v>244</v>
      </c>
    </row>
    <row r="237">
      <c r="A237" s="8">
        <v>36.9</v>
      </c>
    </row>
    <row r="238">
      <c r="A238" s="8" t="s">
        <v>224</v>
      </c>
    </row>
    <row r="239">
      <c r="A239" s="31">
        <v>3.0</v>
      </c>
    </row>
    <row r="240">
      <c r="A240" s="8" t="s">
        <v>232</v>
      </c>
    </row>
    <row r="241">
      <c r="A241" s="8" t="s">
        <v>233</v>
      </c>
    </row>
    <row r="242">
      <c r="A242" s="8" t="s">
        <v>225</v>
      </c>
    </row>
    <row r="243">
      <c r="A243" s="8">
        <v>21.0</v>
      </c>
    </row>
    <row r="244">
      <c r="A244" s="8" t="s">
        <v>691</v>
      </c>
    </row>
    <row r="245">
      <c r="A245" s="8" t="s">
        <v>715</v>
      </c>
    </row>
    <row r="246">
      <c r="A246" s="8" t="s">
        <v>392</v>
      </c>
    </row>
    <row r="247">
      <c r="A247" s="8" t="s">
        <v>306</v>
      </c>
    </row>
    <row r="248">
      <c r="A248" s="8" t="s">
        <v>324</v>
      </c>
    </row>
    <row r="249">
      <c r="A249" s="8">
        <v>21.2</v>
      </c>
    </row>
    <row r="250">
      <c r="A250" s="8" t="s">
        <v>224</v>
      </c>
    </row>
    <row r="251">
      <c r="A251" s="31">
        <v>27.0</v>
      </c>
    </row>
    <row r="252">
      <c r="A252" s="8" t="s">
        <v>232</v>
      </c>
    </row>
    <row r="253">
      <c r="A253" s="8" t="s">
        <v>233</v>
      </c>
    </row>
    <row r="254">
      <c r="A254" s="8" t="s">
        <v>225</v>
      </c>
    </row>
    <row r="255">
      <c r="A255" s="8">
        <v>22.0</v>
      </c>
    </row>
    <row r="256">
      <c r="A256" s="8" t="s">
        <v>691</v>
      </c>
    </row>
    <row r="257">
      <c r="A257" s="8" t="s">
        <v>717</v>
      </c>
    </row>
    <row r="258">
      <c r="A258" s="8" t="s">
        <v>293</v>
      </c>
    </row>
    <row r="259">
      <c r="A259" s="8" t="s">
        <v>310</v>
      </c>
    </row>
    <row r="260">
      <c r="A260" s="8" t="s">
        <v>296</v>
      </c>
    </row>
    <row r="261">
      <c r="A261" s="8">
        <v>20.3</v>
      </c>
    </row>
    <row r="262">
      <c r="A262" s="8" t="s">
        <v>224</v>
      </c>
    </row>
    <row r="263">
      <c r="A263" s="31">
        <v>36.0</v>
      </c>
    </row>
    <row r="264">
      <c r="A264" s="8" t="s">
        <v>232</v>
      </c>
    </row>
    <row r="265">
      <c r="A265" s="8" t="s">
        <v>233</v>
      </c>
    </row>
    <row r="266">
      <c r="A266" s="8" t="s">
        <v>225</v>
      </c>
    </row>
    <row r="267">
      <c r="A267" s="8">
        <v>23.0</v>
      </c>
    </row>
    <row r="268">
      <c r="A268" s="8" t="s">
        <v>691</v>
      </c>
    </row>
    <row r="269">
      <c r="A269" s="8" t="s">
        <v>719</v>
      </c>
    </row>
    <row r="270">
      <c r="A270" s="8" t="s">
        <v>227</v>
      </c>
    </row>
    <row r="271">
      <c r="A271" s="8" t="s">
        <v>299</v>
      </c>
    </row>
    <row r="272">
      <c r="A272" s="8" t="s">
        <v>229</v>
      </c>
    </row>
    <row r="273">
      <c r="A273" s="8">
        <v>15.4</v>
      </c>
    </row>
    <row r="274">
      <c r="A274" s="8" t="s">
        <v>224</v>
      </c>
    </row>
    <row r="275">
      <c r="A275" s="31">
        <v>26.0</v>
      </c>
    </row>
    <row r="276">
      <c r="A276" s="8" t="s">
        <v>232</v>
      </c>
    </row>
    <row r="277">
      <c r="A277" s="8" t="s">
        <v>233</v>
      </c>
    </row>
    <row r="278">
      <c r="A278" s="8" t="s">
        <v>225</v>
      </c>
    </row>
    <row r="279">
      <c r="A279" s="8">
        <v>24.0</v>
      </c>
    </row>
    <row r="280">
      <c r="A280" s="8" t="s">
        <v>691</v>
      </c>
    </row>
    <row r="281">
      <c r="A281" s="8" t="s">
        <v>721</v>
      </c>
    </row>
    <row r="282">
      <c r="A282" s="8" t="s">
        <v>332</v>
      </c>
    </row>
    <row r="283">
      <c r="A283" s="8" t="s">
        <v>272</v>
      </c>
    </row>
    <row r="284">
      <c r="A284" s="8" t="s">
        <v>248</v>
      </c>
    </row>
    <row r="285">
      <c r="A285" s="8">
        <v>22.6</v>
      </c>
    </row>
    <row r="286">
      <c r="A286" s="8" t="s">
        <v>224</v>
      </c>
    </row>
    <row r="287">
      <c r="A287" s="31">
        <v>44.0</v>
      </c>
    </row>
    <row r="288">
      <c r="A288" s="8" t="s">
        <v>232</v>
      </c>
    </row>
    <row r="289">
      <c r="A289" s="8" t="s">
        <v>233</v>
      </c>
    </row>
    <row r="290">
      <c r="A290" s="8" t="s">
        <v>225</v>
      </c>
    </row>
    <row r="291">
      <c r="A291" s="8">
        <v>25.0</v>
      </c>
    </row>
    <row r="292">
      <c r="A292" s="8" t="s">
        <v>691</v>
      </c>
    </row>
    <row r="293">
      <c r="A293" s="8" t="s">
        <v>2223</v>
      </c>
    </row>
    <row r="294">
      <c r="A294" s="8" t="s">
        <v>328</v>
      </c>
    </row>
    <row r="295">
      <c r="A295" s="8" t="s">
        <v>2224</v>
      </c>
    </row>
    <row r="296">
      <c r="A296" s="8" t="s">
        <v>330</v>
      </c>
    </row>
    <row r="297">
      <c r="A297" s="8">
        <v>26.9</v>
      </c>
    </row>
    <row r="298">
      <c r="A298" s="8" t="s">
        <v>224</v>
      </c>
    </row>
    <row r="299">
      <c r="A299" s="31">
        <v>9.0</v>
      </c>
    </row>
    <row r="300">
      <c r="A300" s="8" t="s">
        <v>232</v>
      </c>
    </row>
    <row r="301">
      <c r="A301" s="8" t="s">
        <v>233</v>
      </c>
    </row>
    <row r="302">
      <c r="A302" s="8" t="s">
        <v>225</v>
      </c>
    </row>
    <row r="303">
      <c r="A303" s="8">
        <v>26.0</v>
      </c>
    </row>
    <row r="304">
      <c r="A304" s="8" t="s">
        <v>691</v>
      </c>
    </row>
    <row r="305">
      <c r="A305" s="8" t="s">
        <v>2225</v>
      </c>
    </row>
    <row r="306">
      <c r="A306" s="8" t="s">
        <v>286</v>
      </c>
    </row>
    <row r="307">
      <c r="A307" s="8" t="s">
        <v>2226</v>
      </c>
    </row>
    <row r="308">
      <c r="A308" s="8" t="s">
        <v>254</v>
      </c>
    </row>
    <row r="309">
      <c r="A309" s="8">
        <v>33.5</v>
      </c>
    </row>
    <row r="310">
      <c r="A310" s="8" t="s">
        <v>224</v>
      </c>
    </row>
    <row r="311">
      <c r="A311" s="31">
        <v>5.0</v>
      </c>
    </row>
    <row r="312">
      <c r="A312" s="8" t="s">
        <v>232</v>
      </c>
    </row>
    <row r="313">
      <c r="A313" s="8" t="s">
        <v>233</v>
      </c>
    </row>
    <row r="314">
      <c r="A314" s="8" t="s">
        <v>225</v>
      </c>
    </row>
    <row r="315">
      <c r="A315" s="8">
        <v>27.0</v>
      </c>
    </row>
    <row r="316">
      <c r="A316" s="8" t="s">
        <v>691</v>
      </c>
    </row>
    <row r="317">
      <c r="A317" s="8" t="s">
        <v>724</v>
      </c>
    </row>
    <row r="318">
      <c r="A318" s="8" t="s">
        <v>348</v>
      </c>
    </row>
    <row r="319">
      <c r="A319" s="8" t="s">
        <v>276</v>
      </c>
    </row>
    <row r="320">
      <c r="A320" s="8" t="s">
        <v>296</v>
      </c>
    </row>
    <row r="321">
      <c r="A321" s="8">
        <v>16.3</v>
      </c>
    </row>
    <row r="322">
      <c r="A322" s="8" t="s">
        <v>224</v>
      </c>
    </row>
    <row r="323">
      <c r="A323" s="31">
        <v>49.0</v>
      </c>
    </row>
    <row r="324">
      <c r="A324" s="8" t="s">
        <v>232</v>
      </c>
    </row>
    <row r="325">
      <c r="A325" s="8" t="s">
        <v>233</v>
      </c>
    </row>
    <row r="326">
      <c r="A326" s="8" t="s">
        <v>225</v>
      </c>
    </row>
    <row r="327">
      <c r="A327" s="8">
        <v>28.0</v>
      </c>
    </row>
    <row r="328">
      <c r="A328" s="8" t="s">
        <v>691</v>
      </c>
    </row>
    <row r="329">
      <c r="A329" s="8" t="s">
        <v>2230</v>
      </c>
    </row>
    <row r="330">
      <c r="A330" s="8" t="s">
        <v>314</v>
      </c>
    </row>
    <row r="331">
      <c r="A331" s="8" t="s">
        <v>2231</v>
      </c>
    </row>
    <row r="332">
      <c r="A332" s="8" t="s">
        <v>244</v>
      </c>
    </row>
    <row r="333">
      <c r="A333" s="8">
        <v>23.4</v>
      </c>
    </row>
    <row r="334">
      <c r="A334" s="8" t="s">
        <v>224</v>
      </c>
    </row>
    <row r="335">
      <c r="A335" s="31">
        <v>1.0</v>
      </c>
    </row>
    <row r="336">
      <c r="A336" s="8" t="s">
        <v>232</v>
      </c>
    </row>
    <row r="337">
      <c r="A337" s="8" t="s">
        <v>233</v>
      </c>
    </row>
    <row r="338">
      <c r="A338" s="8" t="s">
        <v>225</v>
      </c>
    </row>
    <row r="339">
      <c r="A339" s="8">
        <v>29.0</v>
      </c>
    </row>
    <row r="340">
      <c r="A340" s="8" t="s">
        <v>731</v>
      </c>
    </row>
    <row r="341">
      <c r="A341" s="8" t="s">
        <v>396</v>
      </c>
    </row>
    <row r="342">
      <c r="A342" s="8" t="s">
        <v>362</v>
      </c>
    </row>
    <row r="343">
      <c r="A343" s="8" t="s">
        <v>254</v>
      </c>
    </row>
    <row r="344">
      <c r="A344" s="8">
        <v>29.1</v>
      </c>
    </row>
    <row r="345">
      <c r="A345" s="8" t="s">
        <v>224</v>
      </c>
    </row>
    <row r="346">
      <c r="A346" s="31">
        <v>3.0</v>
      </c>
    </row>
    <row r="347">
      <c r="A347" s="8" t="s">
        <v>232</v>
      </c>
    </row>
    <row r="348">
      <c r="A348" s="8" t="s">
        <v>233</v>
      </c>
    </row>
    <row r="349">
      <c r="A349" s="8" t="s">
        <v>225</v>
      </c>
    </row>
    <row r="350">
      <c r="A350" s="8">
        <v>30.0</v>
      </c>
    </row>
    <row r="351">
      <c r="A351" s="8" t="s">
        <v>691</v>
      </c>
    </row>
    <row r="352">
      <c r="A352" s="8" t="s">
        <v>732</v>
      </c>
    </row>
    <row r="353">
      <c r="A353" s="8" t="s">
        <v>734</v>
      </c>
    </row>
    <row r="354">
      <c r="A354" s="8" t="s">
        <v>284</v>
      </c>
    </row>
    <row r="355">
      <c r="A355" s="8" t="s">
        <v>229</v>
      </c>
    </row>
    <row r="356">
      <c r="A356" s="8">
        <v>19.5</v>
      </c>
    </row>
    <row r="357">
      <c r="A357" s="8" t="s">
        <v>224</v>
      </c>
    </row>
    <row r="358">
      <c r="A358" s="31">
        <v>51.0</v>
      </c>
    </row>
    <row r="359">
      <c r="A359" s="8" t="s">
        <v>232</v>
      </c>
    </row>
    <row r="360">
      <c r="A360" s="8" t="s">
        <v>233</v>
      </c>
    </row>
    <row r="361">
      <c r="A361" s="8" t="s">
        <v>225</v>
      </c>
    </row>
    <row r="362">
      <c r="A362" s="8">
        <v>31.0</v>
      </c>
    </row>
    <row r="363">
      <c r="A363" s="8" t="s">
        <v>691</v>
      </c>
    </row>
    <row r="364">
      <c r="A364" s="8" t="s">
        <v>453</v>
      </c>
    </row>
    <row r="365">
      <c r="A365" s="8" t="s">
        <v>381</v>
      </c>
    </row>
    <row r="366">
      <c r="A366" s="8" t="s">
        <v>323</v>
      </c>
    </row>
    <row r="367">
      <c r="A367" s="8" t="s">
        <v>265</v>
      </c>
    </row>
    <row r="368">
      <c r="A368" s="8">
        <v>27.9</v>
      </c>
    </row>
    <row r="369">
      <c r="A369" s="8" t="s">
        <v>224</v>
      </c>
    </row>
    <row r="370">
      <c r="A370" s="31">
        <v>33.0</v>
      </c>
    </row>
    <row r="371">
      <c r="A371" s="8" t="s">
        <v>232</v>
      </c>
    </row>
    <row r="372">
      <c r="A372" s="8" t="s">
        <v>233</v>
      </c>
    </row>
    <row r="373">
      <c r="A373" s="8" t="s">
        <v>225</v>
      </c>
    </row>
    <row r="374">
      <c r="A374" s="8">
        <v>32.0</v>
      </c>
    </row>
    <row r="375">
      <c r="A375" s="8" t="s">
        <v>691</v>
      </c>
    </row>
    <row r="376">
      <c r="A376" s="8" t="s">
        <v>738</v>
      </c>
    </row>
    <row r="377">
      <c r="A377" s="8" t="s">
        <v>242</v>
      </c>
    </row>
    <row r="378">
      <c r="A378" s="8" t="s">
        <v>295</v>
      </c>
    </row>
    <row r="379">
      <c r="A379" s="8" t="s">
        <v>244</v>
      </c>
    </row>
    <row r="380">
      <c r="A380" s="8">
        <v>35.0</v>
      </c>
    </row>
    <row r="381">
      <c r="A381" s="8" t="s">
        <v>224</v>
      </c>
    </row>
    <row r="382">
      <c r="A382" s="31">
        <v>10.0</v>
      </c>
    </row>
    <row r="383">
      <c r="A383" s="8" t="s">
        <v>232</v>
      </c>
    </row>
    <row r="384">
      <c r="A384" s="8" t="s">
        <v>233</v>
      </c>
    </row>
    <row r="385">
      <c r="A385" s="8" t="s">
        <v>225</v>
      </c>
    </row>
    <row r="386">
      <c r="A386" s="8">
        <v>33.0</v>
      </c>
    </row>
    <row r="387">
      <c r="A387" s="8" t="s">
        <v>691</v>
      </c>
    </row>
    <row r="388">
      <c r="A388" s="8" t="s">
        <v>739</v>
      </c>
    </row>
    <row r="389">
      <c r="A389" s="8" t="s">
        <v>359</v>
      </c>
    </row>
    <row r="390">
      <c r="A390" s="8" t="s">
        <v>304</v>
      </c>
    </row>
    <row r="391">
      <c r="A391" s="8" t="s">
        <v>330</v>
      </c>
    </row>
    <row r="392">
      <c r="A392" s="8">
        <v>28.4</v>
      </c>
    </row>
    <row r="393">
      <c r="A393" s="8" t="s">
        <v>224</v>
      </c>
    </row>
    <row r="394">
      <c r="A394" s="31">
        <v>23.0</v>
      </c>
    </row>
    <row r="395">
      <c r="A395" s="8" t="s">
        <v>232</v>
      </c>
    </row>
    <row r="396">
      <c r="A396" s="8" t="s">
        <v>233</v>
      </c>
    </row>
    <row r="397">
      <c r="A397" s="8" t="s">
        <v>225</v>
      </c>
    </row>
    <row r="398">
      <c r="A398" s="8">
        <v>34.0</v>
      </c>
    </row>
    <row r="399">
      <c r="A399" s="8" t="s">
        <v>691</v>
      </c>
    </row>
    <row r="400">
      <c r="A400" s="8" t="s">
        <v>742</v>
      </c>
    </row>
    <row r="401">
      <c r="A401" s="8" t="s">
        <v>441</v>
      </c>
    </row>
    <row r="402">
      <c r="A402" s="8" t="s">
        <v>315</v>
      </c>
    </row>
    <row r="403">
      <c r="A403" s="8" t="s">
        <v>244</v>
      </c>
    </row>
    <row r="404">
      <c r="A404" s="8">
        <v>34.2</v>
      </c>
    </row>
    <row r="405">
      <c r="A405" s="8" t="s">
        <v>224</v>
      </c>
    </row>
    <row r="406">
      <c r="A406" s="31">
        <v>45.0</v>
      </c>
    </row>
    <row r="407">
      <c r="A407" s="8" t="s">
        <v>232</v>
      </c>
    </row>
    <row r="408">
      <c r="A408" s="8" t="s">
        <v>233</v>
      </c>
    </row>
    <row r="409">
      <c r="A409" s="8" t="s">
        <v>225</v>
      </c>
    </row>
    <row r="410">
      <c r="A410" s="8">
        <v>35.0</v>
      </c>
    </row>
    <row r="411">
      <c r="A411" s="8" t="s">
        <v>691</v>
      </c>
    </row>
    <row r="412">
      <c r="A412" s="8" t="s">
        <v>744</v>
      </c>
    </row>
    <row r="413">
      <c r="A413" s="8" t="s">
        <v>302</v>
      </c>
    </row>
    <row r="414">
      <c r="A414" s="8" t="s">
        <v>318</v>
      </c>
    </row>
    <row r="415">
      <c r="A415" s="8" t="s">
        <v>254</v>
      </c>
    </row>
    <row r="416">
      <c r="A416" s="8">
        <v>37.2</v>
      </c>
    </row>
    <row r="417">
      <c r="A417" s="8" t="s">
        <v>224</v>
      </c>
    </row>
    <row r="418">
      <c r="A418" s="31">
        <v>18.0</v>
      </c>
    </row>
    <row r="419">
      <c r="A419" s="8" t="s">
        <v>232</v>
      </c>
    </row>
    <row r="420">
      <c r="A420" s="8" t="s">
        <v>233</v>
      </c>
    </row>
    <row r="421">
      <c r="A421" s="8" t="s">
        <v>225</v>
      </c>
    </row>
    <row r="422">
      <c r="A422" s="8">
        <v>36.0</v>
      </c>
    </row>
    <row r="423">
      <c r="A423" s="8" t="s">
        <v>691</v>
      </c>
    </row>
    <row r="424">
      <c r="A424" s="8" t="s">
        <v>746</v>
      </c>
    </row>
    <row r="425">
      <c r="A425" s="8" t="s">
        <v>376</v>
      </c>
    </row>
    <row r="426">
      <c r="A426" s="8" t="s">
        <v>329</v>
      </c>
    </row>
    <row r="427">
      <c r="A427" s="8" t="s">
        <v>324</v>
      </c>
    </row>
    <row r="428">
      <c r="A428" s="8">
        <v>30.4</v>
      </c>
    </row>
    <row r="429">
      <c r="A429" s="8" t="s">
        <v>224</v>
      </c>
    </row>
    <row r="430">
      <c r="A430" s="31">
        <v>23.0</v>
      </c>
    </row>
    <row r="431">
      <c r="A431" s="8" t="s">
        <v>232</v>
      </c>
    </row>
    <row r="432">
      <c r="A432" s="8" t="s">
        <v>233</v>
      </c>
    </row>
    <row r="433">
      <c r="A433" s="8" t="s">
        <v>225</v>
      </c>
    </row>
    <row r="434">
      <c r="A434" s="8">
        <v>37.0</v>
      </c>
    </row>
    <row r="435">
      <c r="A435" s="8" t="s">
        <v>691</v>
      </c>
    </row>
    <row r="436">
      <c r="A436" s="8" t="s">
        <v>748</v>
      </c>
    </row>
    <row r="437">
      <c r="A437" s="8" t="s">
        <v>328</v>
      </c>
    </row>
    <row r="438">
      <c r="A438" s="8" t="s">
        <v>349</v>
      </c>
    </row>
    <row r="439">
      <c r="A439" s="8" t="s">
        <v>330</v>
      </c>
    </row>
    <row r="440">
      <c r="A440" s="8">
        <v>47.1</v>
      </c>
    </row>
    <row r="441">
      <c r="A441" s="8" t="s">
        <v>224</v>
      </c>
    </row>
    <row r="442">
      <c r="A442" s="31">
        <v>22.0</v>
      </c>
    </row>
    <row r="443">
      <c r="A443" s="8" t="s">
        <v>232</v>
      </c>
    </row>
    <row r="444">
      <c r="A444" s="8" t="s">
        <v>233</v>
      </c>
    </row>
    <row r="445">
      <c r="A445" s="8" t="s">
        <v>225</v>
      </c>
    </row>
    <row r="446">
      <c r="A446" s="8">
        <v>38.0</v>
      </c>
    </row>
    <row r="447">
      <c r="A447" s="8" t="s">
        <v>691</v>
      </c>
    </row>
    <row r="448">
      <c r="A448" s="8" t="s">
        <v>750</v>
      </c>
    </row>
    <row r="449">
      <c r="A449" s="8" t="s">
        <v>422</v>
      </c>
    </row>
    <row r="450">
      <c r="A450" s="8" t="s">
        <v>352</v>
      </c>
    </row>
    <row r="451">
      <c r="A451" s="8" t="s">
        <v>296</v>
      </c>
    </row>
    <row r="452">
      <c r="A452" s="8">
        <v>41.2</v>
      </c>
    </row>
    <row r="453">
      <c r="A453" s="8" t="s">
        <v>224</v>
      </c>
    </row>
    <row r="454">
      <c r="A454" s="31">
        <v>40.0</v>
      </c>
    </row>
    <row r="455">
      <c r="A455" s="8" t="s">
        <v>232</v>
      </c>
    </row>
    <row r="456">
      <c r="A456" s="8" t="s">
        <v>233</v>
      </c>
    </row>
    <row r="457">
      <c r="A457" s="8" t="s">
        <v>225</v>
      </c>
    </row>
    <row r="458">
      <c r="A458" s="8">
        <v>39.0</v>
      </c>
    </row>
    <row r="459">
      <c r="A459" s="8" t="s">
        <v>691</v>
      </c>
    </row>
    <row r="460">
      <c r="A460" s="8" t="s">
        <v>753</v>
      </c>
    </row>
    <row r="461">
      <c r="A461" s="8" t="s">
        <v>734</v>
      </c>
    </row>
    <row r="462">
      <c r="A462" s="8" t="s">
        <v>333</v>
      </c>
    </row>
    <row r="463">
      <c r="A463" s="8" t="s">
        <v>229</v>
      </c>
    </row>
    <row r="464">
      <c r="A464" s="8">
        <v>32.4</v>
      </c>
    </row>
    <row r="465">
      <c r="A465" s="8" t="s">
        <v>224</v>
      </c>
    </row>
    <row r="466">
      <c r="A466" s="31">
        <v>22.0</v>
      </c>
    </row>
    <row r="467">
      <c r="A467" s="8" t="s">
        <v>232</v>
      </c>
    </row>
    <row r="468">
      <c r="A468" s="8" t="s">
        <v>233</v>
      </c>
    </row>
    <row r="469">
      <c r="A469" s="8" t="s">
        <v>225</v>
      </c>
    </row>
    <row r="470">
      <c r="A470" s="8">
        <v>40.0</v>
      </c>
    </row>
    <row r="471">
      <c r="A471" s="8" t="s">
        <v>691</v>
      </c>
    </row>
    <row r="472">
      <c r="A472" s="8" t="s">
        <v>2239</v>
      </c>
    </row>
    <row r="473">
      <c r="A473" s="8" t="s">
        <v>734</v>
      </c>
    </row>
    <row r="474">
      <c r="A474" s="8" t="s">
        <v>2241</v>
      </c>
    </row>
    <row r="475">
      <c r="A475" s="8" t="s">
        <v>229</v>
      </c>
    </row>
    <row r="476">
      <c r="A476" s="8">
        <v>44.9</v>
      </c>
    </row>
    <row r="477">
      <c r="A477" s="8" t="s">
        <v>224</v>
      </c>
    </row>
    <row r="478">
      <c r="A478" s="31">
        <v>7.0</v>
      </c>
    </row>
    <row r="479">
      <c r="A479" s="8" t="s">
        <v>232</v>
      </c>
    </row>
    <row r="480">
      <c r="A480" s="8" t="s">
        <v>233</v>
      </c>
    </row>
    <row r="481">
      <c r="A481" s="8" t="s">
        <v>225</v>
      </c>
    </row>
    <row r="482">
      <c r="A482" s="8">
        <v>41.0</v>
      </c>
    </row>
    <row r="483">
      <c r="A483" s="8" t="s">
        <v>691</v>
      </c>
    </row>
    <row r="484">
      <c r="A484" s="8" t="s">
        <v>755</v>
      </c>
    </row>
    <row r="485">
      <c r="A485" s="8" t="s">
        <v>258</v>
      </c>
    </row>
    <row r="486">
      <c r="A486" s="8" t="s">
        <v>382</v>
      </c>
    </row>
    <row r="487">
      <c r="A487" s="8" t="s">
        <v>248</v>
      </c>
    </row>
    <row r="488">
      <c r="A488" s="8">
        <v>53.9</v>
      </c>
    </row>
    <row r="489">
      <c r="A489" s="8" t="s">
        <v>224</v>
      </c>
    </row>
    <row r="490">
      <c r="A490" s="31">
        <v>3.0</v>
      </c>
    </row>
    <row r="491">
      <c r="A491" s="8" t="s">
        <v>232</v>
      </c>
    </row>
    <row r="492">
      <c r="A492" s="8" t="s">
        <v>233</v>
      </c>
    </row>
    <row r="493">
      <c r="A493" s="8" t="s">
        <v>225</v>
      </c>
    </row>
    <row r="494">
      <c r="A494" s="8">
        <v>42.0</v>
      </c>
    </row>
    <row r="495">
      <c r="A495" s="8" t="s">
        <v>691</v>
      </c>
    </row>
    <row r="496">
      <c r="A496" s="8" t="s">
        <v>764</v>
      </c>
    </row>
    <row r="497">
      <c r="A497" s="8" t="s">
        <v>262</v>
      </c>
    </row>
    <row r="498">
      <c r="A498" s="8" t="s">
        <v>337</v>
      </c>
    </row>
    <row r="499">
      <c r="A499" s="8" t="s">
        <v>265</v>
      </c>
    </row>
    <row r="500">
      <c r="A500" s="8">
        <v>40.2</v>
      </c>
    </row>
    <row r="501">
      <c r="A501" s="8" t="s">
        <v>224</v>
      </c>
    </row>
    <row r="502">
      <c r="A502" s="31">
        <v>27.0</v>
      </c>
    </row>
    <row r="503">
      <c r="A503" s="8" t="s">
        <v>232</v>
      </c>
    </row>
    <row r="504">
      <c r="A504" s="8" t="s">
        <v>233</v>
      </c>
    </row>
    <row r="505">
      <c r="A505" s="8" t="s">
        <v>225</v>
      </c>
    </row>
    <row r="506">
      <c r="A506" s="8">
        <v>43.0</v>
      </c>
    </row>
    <row r="507">
      <c r="A507" s="8" t="s">
        <v>691</v>
      </c>
    </row>
    <row r="508">
      <c r="A508" s="8" t="s">
        <v>766</v>
      </c>
    </row>
    <row r="509">
      <c r="A509" s="8" t="s">
        <v>392</v>
      </c>
    </row>
    <row r="510">
      <c r="A510" s="8" t="s">
        <v>344</v>
      </c>
    </row>
    <row r="511">
      <c r="A511" s="8" t="s">
        <v>324</v>
      </c>
    </row>
    <row r="512">
      <c r="A512" s="8">
        <v>45.6</v>
      </c>
    </row>
    <row r="513">
      <c r="A513" s="8" t="s">
        <v>224</v>
      </c>
    </row>
    <row r="514">
      <c r="A514" s="31">
        <v>37.0</v>
      </c>
    </row>
    <row r="515">
      <c r="A515" s="8" t="s">
        <v>232</v>
      </c>
    </row>
    <row r="516">
      <c r="A516" s="8" t="s">
        <v>233</v>
      </c>
    </row>
    <row r="517">
      <c r="A517" s="8" t="s">
        <v>225</v>
      </c>
    </row>
    <row r="518">
      <c r="A518" s="8">
        <v>44.0</v>
      </c>
    </row>
    <row r="519">
      <c r="A519" s="8" t="s">
        <v>691</v>
      </c>
    </row>
    <row r="520">
      <c r="A520" s="8" t="s">
        <v>226</v>
      </c>
    </row>
    <row r="521">
      <c r="A521" s="8" t="s">
        <v>785</v>
      </c>
    </row>
    <row r="522">
      <c r="A522" s="8" t="s">
        <v>2244</v>
      </c>
    </row>
    <row r="523">
      <c r="A523" s="8" t="s">
        <v>248</v>
      </c>
    </row>
    <row r="524">
      <c r="A524" s="8">
        <v>49.0</v>
      </c>
    </row>
    <row r="525">
      <c r="A525" s="8" t="s">
        <v>224</v>
      </c>
    </row>
    <row r="526">
      <c r="A526" s="31">
        <v>2.0</v>
      </c>
    </row>
    <row r="527">
      <c r="A527" s="8" t="s">
        <v>232</v>
      </c>
    </row>
    <row r="528">
      <c r="A528" s="8" t="s">
        <v>233</v>
      </c>
    </row>
    <row r="529">
      <c r="A529" s="8" t="s">
        <v>225</v>
      </c>
    </row>
    <row r="530">
      <c r="A530" s="8">
        <v>45.0</v>
      </c>
    </row>
    <row r="531">
      <c r="A531" s="8" t="s">
        <v>691</v>
      </c>
    </row>
    <row r="532">
      <c r="A532" s="8" t="s">
        <v>2246</v>
      </c>
    </row>
    <row r="533">
      <c r="A533" s="8" t="s">
        <v>302</v>
      </c>
    </row>
    <row r="534">
      <c r="A534" s="8" t="s">
        <v>2247</v>
      </c>
    </row>
    <row r="535">
      <c r="A535" s="8" t="s">
        <v>254</v>
      </c>
    </row>
    <row r="536">
      <c r="A536" s="8">
        <v>64.6</v>
      </c>
    </row>
    <row r="537">
      <c r="A537" s="8" t="s">
        <v>224</v>
      </c>
    </row>
    <row r="538">
      <c r="A538" s="31">
        <v>5.0</v>
      </c>
    </row>
    <row r="539">
      <c r="A539" s="8" t="s">
        <v>232</v>
      </c>
    </row>
    <row r="540">
      <c r="A540" s="8" t="s">
        <v>233</v>
      </c>
    </row>
    <row r="541">
      <c r="A541" s="8" t="s">
        <v>225</v>
      </c>
    </row>
    <row r="542">
      <c r="A542" s="8">
        <v>46.0</v>
      </c>
    </row>
    <row r="543">
      <c r="A543" s="8" t="s">
        <v>691</v>
      </c>
    </row>
    <row r="544">
      <c r="A544" s="8" t="s">
        <v>2248</v>
      </c>
    </row>
    <row r="545">
      <c r="A545" s="8" t="s">
        <v>348</v>
      </c>
    </row>
    <row r="546">
      <c r="A546" s="8" t="s">
        <v>2249</v>
      </c>
    </row>
    <row r="547">
      <c r="A547" s="8" t="s">
        <v>296</v>
      </c>
    </row>
    <row r="548">
      <c r="A548" s="8">
        <v>84.1</v>
      </c>
    </row>
    <row r="549">
      <c r="A549" s="8" t="s">
        <v>224</v>
      </c>
    </row>
    <row r="550">
      <c r="A550" s="31">
        <v>3.0</v>
      </c>
    </row>
    <row r="551">
      <c r="A551" s="8" t="s">
        <v>232</v>
      </c>
    </row>
    <row r="552">
      <c r="A552" s="8" t="s">
        <v>233</v>
      </c>
    </row>
    <row r="553">
      <c r="A553" s="8" t="s">
        <v>225</v>
      </c>
    </row>
    <row r="554">
      <c r="A554" s="8">
        <v>47.0</v>
      </c>
    </row>
    <row r="555">
      <c r="A555" s="8" t="s">
        <v>691</v>
      </c>
    </row>
    <row r="556">
      <c r="A556" s="8" t="s">
        <v>768</v>
      </c>
    </row>
    <row r="557">
      <c r="A557" s="8" t="s">
        <v>381</v>
      </c>
    </row>
    <row r="558">
      <c r="A558" s="8" t="s">
        <v>372</v>
      </c>
    </row>
    <row r="559">
      <c r="A559" s="8" t="s">
        <v>265</v>
      </c>
    </row>
    <row r="560">
      <c r="A560" s="8">
        <v>38.7</v>
      </c>
    </row>
    <row r="561">
      <c r="A561" s="8" t="s">
        <v>224</v>
      </c>
    </row>
    <row r="562">
      <c r="A562" s="31">
        <v>8.0</v>
      </c>
    </row>
    <row r="563">
      <c r="A563" s="8" t="s">
        <v>232</v>
      </c>
    </row>
    <row r="564">
      <c r="A564" s="8" t="s">
        <v>233</v>
      </c>
    </row>
    <row r="565">
      <c r="A565" s="8" t="s">
        <v>225</v>
      </c>
    </row>
    <row r="566">
      <c r="A566" s="8">
        <v>48.0</v>
      </c>
    </row>
    <row r="567">
      <c r="A567" s="8" t="s">
        <v>691</v>
      </c>
    </row>
    <row r="568">
      <c r="A568" s="8" t="s">
        <v>769</v>
      </c>
    </row>
    <row r="569">
      <c r="A569" s="8" t="s">
        <v>408</v>
      </c>
    </row>
    <row r="570">
      <c r="A570" s="8" t="s">
        <v>400</v>
      </c>
    </row>
    <row r="571">
      <c r="A571" s="8" t="s">
        <v>248</v>
      </c>
    </row>
    <row r="572">
      <c r="A572" s="8">
        <v>42.5</v>
      </c>
    </row>
    <row r="573">
      <c r="A573" s="8" t="s">
        <v>224</v>
      </c>
    </row>
    <row r="574">
      <c r="A574" s="31">
        <v>23.0</v>
      </c>
    </row>
    <row r="575">
      <c r="A575" s="8" t="s">
        <v>232</v>
      </c>
    </row>
    <row r="576">
      <c r="A576" s="8" t="s">
        <v>233</v>
      </c>
    </row>
    <row r="577">
      <c r="A577" s="8" t="s">
        <v>225</v>
      </c>
    </row>
    <row r="578">
      <c r="A578" s="8">
        <v>49.0</v>
      </c>
    </row>
    <row r="579">
      <c r="A579" s="8" t="s">
        <v>277</v>
      </c>
    </row>
    <row r="580">
      <c r="A580" s="8" t="s">
        <v>278</v>
      </c>
    </row>
    <row r="581">
      <c r="A581" s="8" t="s">
        <v>2252</v>
      </c>
    </row>
    <row r="582">
      <c r="A582" s="8" t="s">
        <v>265</v>
      </c>
    </row>
    <row r="583">
      <c r="A583" s="8">
        <v>39.9</v>
      </c>
    </row>
    <row r="584">
      <c r="A584" s="8" t="s">
        <v>224</v>
      </c>
    </row>
    <row r="585">
      <c r="A585" s="8" t="s">
        <v>231</v>
      </c>
    </row>
    <row r="586">
      <c r="A586" s="8" t="s">
        <v>232</v>
      </c>
    </row>
    <row r="587">
      <c r="A587" s="8" t="s">
        <v>233</v>
      </c>
    </row>
    <row r="588">
      <c r="A588" s="8" t="s">
        <v>225</v>
      </c>
    </row>
    <row r="589">
      <c r="A589" s="8">
        <v>50.0</v>
      </c>
    </row>
    <row r="590">
      <c r="A590" s="8" t="s">
        <v>691</v>
      </c>
    </row>
    <row r="591">
      <c r="A591" s="8" t="s">
        <v>770</v>
      </c>
    </row>
    <row r="592">
      <c r="A592" s="8" t="s">
        <v>262</v>
      </c>
    </row>
    <row r="593">
      <c r="A593" s="8" t="s">
        <v>409</v>
      </c>
    </row>
    <row r="594">
      <c r="A594" s="8" t="s">
        <v>265</v>
      </c>
    </row>
    <row r="595">
      <c r="A595" s="8">
        <v>48.8</v>
      </c>
    </row>
    <row r="596">
      <c r="A596" s="8" t="s">
        <v>224</v>
      </c>
    </row>
    <row r="597">
      <c r="A597" s="31">
        <v>22.0</v>
      </c>
    </row>
    <row r="598">
      <c r="A598" s="8" t="s">
        <v>232</v>
      </c>
    </row>
    <row r="599">
      <c r="A599" s="8" t="s">
        <v>233</v>
      </c>
    </row>
    <row r="600">
      <c r="A600" s="8" t="s">
        <v>225</v>
      </c>
    </row>
  </sheetData>
  <drawing r:id="rId1"/>
</worksheet>
</file>