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 ADP (YahooSleepRTSport)stand" sheetId="1" r:id="rId5"/>
    <sheet state="visible" name="FP standard" sheetId="2" r:id="rId6"/>
    <sheet state="visible" name="PFF standard" sheetId="3" r:id="rId7"/>
    <sheet state="visible" name="Sleeper standard" sheetId="4" r:id="rId8"/>
    <sheet state="visible" name="SleeperCBSConsensus" sheetId="5" r:id="rId9"/>
    <sheet state="visible" name="CBS" sheetId="6" r:id="rId10"/>
  </sheets>
  <definedNames/>
  <calcPr/>
</workbook>
</file>

<file path=xl/sharedStrings.xml><?xml version="1.0" encoding="utf-8"?>
<sst xmlns="http://schemas.openxmlformats.org/spreadsheetml/2006/main" count="9675" uniqueCount="3485">
  <si>
    <t>Rank</t>
  </si>
  <si>
    <t>RK</t>
  </si>
  <si>
    <t>Player (Bye)</t>
  </si>
  <si>
    <t>Player Name</t>
  </si>
  <si>
    <t>POS</t>
  </si>
  <si>
    <t>Sleeper</t>
  </si>
  <si>
    <t>BYE WEEK</t>
  </si>
  <si>
    <t>RTSports</t>
  </si>
  <si>
    <t>AVG</t>
  </si>
  <si>
    <t>ECR VS. ADP</t>
  </si>
  <si>
    <t>Real-Time</t>
  </si>
  <si>
    <t>Tier 1</t>
  </si>
  <si>
    <r>
      <rPr>
        <rFont val="Poppins, Arial, Helvetica, sans-serif"/>
        <color rgb="FF1155CC"/>
        <u/>
      </rPr>
      <t>Jahmyr Gibbs</t>
    </r>
    <r>
      <rPr>
        <rFont val="Poppins, Arial, Helvetica, sans-serif"/>
      </rPr>
      <t>DET (6)</t>
    </r>
  </si>
  <si>
    <r>
      <rPr>
        <rFont val="Poppins, Arial, Helvetica, sans-serif"/>
        <color rgb="FF1155CC"/>
        <u/>
      </rPr>
      <t>Customize Tiers</t>
    </r>
  </si>
  <si>
    <t>RANK</t>
  </si>
  <si>
    <r>
      <rPr>
        <rFont val="Poppins, Arial, Helvetica, sans-serif"/>
        <color rgb="FF1155CC"/>
        <sz val="9.0"/>
        <u/>
      </rPr>
      <t>Jahmyr Gibbs</t>
    </r>
    <r>
      <rPr>
        <rFont val="Poppins, Arial, Helvetica, sans-serif"/>
        <sz val="9.0"/>
      </rPr>
      <t xml:space="preserve"> (DET)</t>
    </r>
  </si>
  <si>
    <t>ADP</t>
  </si>
  <si>
    <t>PROJ</t>
  </si>
  <si>
    <t>player-headshot</t>
  </si>
  <si>
    <t>J. Gibbs</t>
  </si>
  <si>
    <t>DET</t>
  </si>
  <si>
    <t>RB1</t>
  </si>
  <si>
    <t>RB-1</t>
  </si>
  <si>
    <t>Bye: 6</t>
  </si>
  <si>
    <r>
      <rPr>
        <rFont val="Poppins, Arial, Helvetica, sans-serif"/>
        <color rgb="FF1155CC"/>
        <u/>
      </rPr>
      <t>Bijan Robinson</t>
    </r>
    <r>
      <rPr>
        <rFont val="Poppins, Arial, Helvetica, sans-serif"/>
      </rPr>
      <t>ATL (11)</t>
    </r>
  </si>
  <si>
    <t>$ VALUE</t>
  </si>
  <si>
    <t>Unlock</t>
  </si>
  <si>
    <r>
      <rPr>
        <rFont val="Poppins, Arial, Helvetica, sans-serif"/>
        <color rgb="FF1155CC"/>
        <sz val="9.0"/>
        <u/>
      </rPr>
      <t>Bijan Robinson</t>
    </r>
    <r>
      <rPr>
        <rFont val="Poppins, Arial, Helvetica, sans-serif"/>
        <sz val="9.0"/>
      </rPr>
      <t xml:space="preserve"> (ATL)</t>
    </r>
  </si>
  <si>
    <t>B. Robinson</t>
  </si>
  <si>
    <t>ATL</t>
  </si>
  <si>
    <t>RB-2</t>
  </si>
  <si>
    <t>Bye: 11</t>
  </si>
  <si>
    <t>RB2</t>
  </si>
  <si>
    <r>
      <rPr>
        <rFont val="Poppins, Arial, Helvetica, sans-serif"/>
        <color rgb="FF1155CC"/>
        <u/>
      </rPr>
      <t>Ja'Marr Chase</t>
    </r>
    <r>
      <rPr>
        <rFont val="Poppins, Arial, Helvetica, sans-serif"/>
      </rPr>
      <t>CIN (6)</t>
    </r>
  </si>
  <si>
    <t>J. Taylor</t>
  </si>
  <si>
    <t>IND</t>
  </si>
  <si>
    <t>RB-3</t>
  </si>
  <si>
    <t>Bye: 13</t>
  </si>
  <si>
    <t>WR1</t>
  </si>
  <si>
    <r>
      <rPr>
        <rFont val="Poppins, Arial, Helvetica, sans-serif"/>
        <color rgb="FF1155CC"/>
        <sz val="9.0"/>
        <u/>
      </rPr>
      <t>Ja'Marr Chase</t>
    </r>
    <r>
      <rPr>
        <rFont val="Poppins, Arial, Helvetica, sans-serif"/>
        <sz val="9.0"/>
      </rPr>
      <t xml:space="preserve"> (CIN)</t>
    </r>
  </si>
  <si>
    <t>C. McCaffrey</t>
  </si>
  <si>
    <r>
      <rPr>
        <rFont val="Poppins, Arial, Helvetica, sans-serif"/>
        <color rgb="FF1155CC"/>
        <u/>
      </rPr>
      <t>Christian McCaffrey</t>
    </r>
    <r>
      <rPr>
        <rFont val="Poppins, Arial, Helvetica, sans-serif"/>
      </rPr>
      <t>SF (8)</t>
    </r>
  </si>
  <si>
    <t>SF</t>
  </si>
  <si>
    <t>RB-4</t>
  </si>
  <si>
    <t>Bye: 8</t>
  </si>
  <si>
    <t>P. Nacua</t>
  </si>
  <si>
    <t>RB3</t>
  </si>
  <si>
    <t>LAR</t>
  </si>
  <si>
    <t>5 -1</t>
  </si>
  <si>
    <t>WR-1</t>
  </si>
  <si>
    <r>
      <rPr>
        <rFont val="Poppins, Arial, Helvetica, sans-serif"/>
        <color rgb="FF1155CC"/>
        <u/>
      </rPr>
      <t>Jonathan Taylor</t>
    </r>
    <r>
      <rPr>
        <rFont val="Poppins, Arial, Helvetica, sans-serif"/>
      </rPr>
      <t>IND (13)</t>
    </r>
  </si>
  <si>
    <r>
      <rPr>
        <rFont val="Poppins, Arial, Helvetica, sans-serif"/>
        <color rgb="FF1155CC"/>
        <sz val="9.0"/>
        <u/>
      </rPr>
      <t>Puka Nacua</t>
    </r>
    <r>
      <rPr>
        <rFont val="Poppins, Arial, Helvetica, sans-serif"/>
        <sz val="9.0"/>
      </rPr>
      <t xml:space="preserve"> (LAR)</t>
    </r>
  </si>
  <si>
    <t>J. Chase</t>
  </si>
  <si>
    <t>CIN</t>
  </si>
  <si>
    <t>WR-2</t>
  </si>
  <si>
    <t>RB4</t>
  </si>
  <si>
    <t>6 -1</t>
  </si>
  <si>
    <r>
      <rPr>
        <rFont val="Poppins, Arial, Helvetica, sans-serif"/>
        <color rgb="FF1155CC"/>
        <u/>
      </rPr>
      <t>Puka Nacua</t>
    </r>
    <r>
      <rPr>
        <rFont val="Poppins, Arial, Helvetica, sans-serif"/>
      </rPr>
      <t>LAR (11)</t>
    </r>
  </si>
  <si>
    <t>J. Cook</t>
  </si>
  <si>
    <t>BUF</t>
  </si>
  <si>
    <t>WR2</t>
  </si>
  <si>
    <t>RB-5</t>
  </si>
  <si>
    <t>Bye: 7</t>
  </si>
  <si>
    <t>4 +2</t>
  </si>
  <si>
    <r>
      <rPr>
        <rFont val="Poppins, Arial, Helvetica, sans-serif"/>
        <color rgb="FF1155CC"/>
        <u/>
      </rPr>
      <t>James Cook III</t>
    </r>
    <r>
      <rPr>
        <rFont val="Poppins, Arial, Helvetica, sans-serif"/>
      </rPr>
      <t>BUF (7)</t>
    </r>
  </si>
  <si>
    <t>J. Smith-Njigba</t>
  </si>
  <si>
    <t>SEA</t>
  </si>
  <si>
    <t>WR-3</t>
  </si>
  <si>
    <t>Tier 2</t>
  </si>
  <si>
    <t>D. Achane</t>
  </si>
  <si>
    <t>RB5</t>
  </si>
  <si>
    <t>MIA</t>
  </si>
  <si>
    <t>8 -1</t>
  </si>
  <si>
    <t>RB-6</t>
  </si>
  <si>
    <r>
      <rPr>
        <rFont val="Poppins, Arial, Helvetica, sans-serif"/>
        <color rgb="FF1155CC"/>
        <u/>
      </rPr>
      <t>Jaxon Smith-Njigba</t>
    </r>
    <r>
      <rPr>
        <rFont val="Poppins, Arial, Helvetica, sans-serif"/>
      </rPr>
      <t>SEA (11)</t>
    </r>
  </si>
  <si>
    <t>CBS</t>
  </si>
  <si>
    <r>
      <rPr>
        <rFont val="Poppins, Arial, Helvetica, sans-serif"/>
        <color rgb="FF1155CC"/>
        <u/>
      </rPr>
      <t>Customize Tiers</t>
    </r>
  </si>
  <si>
    <t>A. Jeanty</t>
  </si>
  <si>
    <t>LV</t>
  </si>
  <si>
    <r>
      <rPr>
        <rFont val="Poppins, Arial, Helvetica, sans-serif"/>
        <color rgb="FF1155CC"/>
        <sz val="9.0"/>
        <u/>
      </rPr>
      <t>Jaxon Smith-Njigba</t>
    </r>
    <r>
      <rPr>
        <rFont val="Poppins, Arial, Helvetica, sans-serif"/>
        <sz val="9.0"/>
      </rPr>
      <t xml:space="preserve"> (SEA)</t>
    </r>
  </si>
  <si>
    <t>RB-7</t>
  </si>
  <si>
    <t>Consensus</t>
  </si>
  <si>
    <t>WR3</t>
  </si>
  <si>
    <t>7 +1</t>
  </si>
  <si>
    <t>DS
Rank</t>
  </si>
  <si>
    <r>
      <rPr>
        <rFont val="Poppins, Arial, Helvetica, sans-serif"/>
        <color rgb="FF1155CC"/>
        <u/>
      </rPr>
      <t>Ashton Jeanty</t>
    </r>
    <r>
      <rPr>
        <rFont val="Poppins, Arial, Helvetica, sans-serif"/>
      </rPr>
      <t>LV (13)</t>
    </r>
  </si>
  <si>
    <t>J. Jefferson</t>
  </si>
  <si>
    <t>Player</t>
  </si>
  <si>
    <t>MIN</t>
  </si>
  <si>
    <t>WR-4</t>
  </si>
  <si>
    <t>Position
ADP</t>
  </si>
  <si>
    <t>Market
Index</t>
  </si>
  <si>
    <t>Trend</t>
  </si>
  <si>
    <t>K. Walker III</t>
  </si>
  <si>
    <t>KC</t>
  </si>
  <si>
    <t>RB6</t>
  </si>
  <si>
    <t>RB-8</t>
  </si>
  <si>
    <t>10 -1</t>
  </si>
  <si>
    <t>Bye: 5</t>
  </si>
  <si>
    <r>
      <rPr>
        <rFont val="Poppins, Arial, Helvetica, sans-serif"/>
        <color rgb="FF1155CC"/>
        <u/>
      </rPr>
      <t>De'Von Achane</t>
    </r>
    <r>
      <rPr>
        <rFont val="Poppins, Arial, Helvetica, sans-serif"/>
      </rPr>
      <t>MIA (6)</t>
    </r>
  </si>
  <si>
    <r>
      <rPr>
        <rFont val="Poppins, Arial, Helvetica, sans-serif"/>
        <color rgb="FF1155CC"/>
        <sz val="9.0"/>
        <u/>
      </rPr>
      <t>Amon-Ra St. Brown</t>
    </r>
    <r>
      <rPr>
        <rFont val="Poppins, Arial, Helvetica, sans-serif"/>
        <sz val="9.0"/>
      </rPr>
      <t xml:space="preserve"> (DET)</t>
    </r>
  </si>
  <si>
    <t>A. St. Brown</t>
  </si>
  <si>
    <t>WR-5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</si>
  <si>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ahmyr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Gibbs</t>
    </r>
    <r>
      <rPr>
        <rFont val="Roboto, sans-serif"/>
      </rPr>
      <t xml:space="preserve">
DETRB1</t>
    </r>
  </si>
  <si>
    <t>RB7</t>
  </si>
  <si>
    <t>14 -4</t>
  </si>
  <si>
    <r>
      <rPr>
        <rFont val="Poppins, Arial, Helvetica, sans-serif"/>
        <color rgb="FF1155CC"/>
        <u/>
      </rPr>
      <t>Omarion Hampton</t>
    </r>
    <r>
      <rPr>
        <rFont val="Poppins, Arial, Helvetica, sans-serif"/>
      </rPr>
      <t>LAC (7)</t>
    </r>
  </si>
  <si>
    <t>C. Brown</t>
  </si>
  <si>
    <t>RB-9</t>
  </si>
  <si>
    <t>WR4</t>
  </si>
  <si>
    <t>RB8</t>
  </si>
  <si>
    <t>15 -4</t>
  </si>
  <si>
    <t>C. Lamb</t>
  </si>
  <si>
    <t>DAL</t>
  </si>
  <si>
    <r>
      <rPr>
        <rFont val="Poppins, Arial, Helvetica, sans-serif"/>
        <color rgb="FF1155CC"/>
        <u/>
      </rPr>
      <t>Amon-Ra St. Brown</t>
    </r>
    <r>
      <rPr>
        <rFont val="Poppins, Arial, Helvetica, sans-serif"/>
      </rPr>
      <t>DET (6)</t>
    </r>
  </si>
  <si>
    <r>
      <rPr>
        <rFont val="Poppins, Arial, Helvetica, sans-serif"/>
        <color rgb="FF1155CC"/>
        <sz val="9.0"/>
        <u/>
      </rPr>
      <t>Jonathan Taylor</t>
    </r>
    <r>
      <rPr>
        <rFont val="Poppins, Arial, Helvetica, sans-serif"/>
        <sz val="9.0"/>
      </rPr>
      <t xml:space="preserve"> (IND)</t>
    </r>
  </si>
  <si>
    <t>WR-6</t>
  </si>
  <si>
    <t>Bye: 14</t>
  </si>
  <si>
    <t>S. Barkley</t>
  </si>
  <si>
    <t>PHI</t>
  </si>
  <si>
    <t>RB-10</t>
  </si>
  <si>
    <t>Bye: 10</t>
  </si>
  <si>
    <t>9 +3</t>
  </si>
  <si>
    <r>
      <rPr>
        <rFont val="Poppins, Arial, Helvetica, sans-serif"/>
        <color rgb="FF1155CC"/>
        <u/>
      </rPr>
      <t>Derrick Henry</t>
    </r>
    <r>
      <rPr>
        <rFont val="Poppins, Arial, Helvetica, sans-serif"/>
      </rPr>
      <t>BAL (13)</t>
    </r>
  </si>
  <si>
    <t>D. Henry</t>
  </si>
  <si>
    <t>BAL</t>
  </si>
  <si>
    <t>RB-11</t>
  </si>
  <si>
    <r>
      <rPr>
        <rFont val="Poppins, Arial, Helvetica, sans-serif"/>
        <color rgb="FF1155CC"/>
        <sz val="9.0"/>
        <u/>
      </rPr>
      <t>Christian McCaffrey</t>
    </r>
    <r>
      <rPr>
        <rFont val="Poppins, Arial, Helvetica, sans-serif"/>
        <sz val="9.0"/>
      </rPr>
      <t xml:space="preserve"> (SF)</t>
    </r>
  </si>
  <si>
    <t>RB9</t>
  </si>
  <si>
    <t>O. Hampton</t>
  </si>
  <si>
    <t>17 -4</t>
  </si>
  <si>
    <t>LAC</t>
  </si>
  <si>
    <t>RB-12</t>
  </si>
  <si>
    <r>
      <rPr>
        <rFont val="Poppins, Arial, Helvetica, sans-serif"/>
        <color rgb="FF1155CC"/>
        <u/>
      </rPr>
      <t>Saquon Barkley</t>
    </r>
    <r>
      <rPr>
        <rFont val="Poppins, Arial, Helvetica, sans-serif"/>
      </rPr>
      <t>PHI (10)</t>
    </r>
  </si>
  <si>
    <r>
      <rPr>
        <rFont val="Poppins, Arial, Helvetica, sans-serif"/>
        <color rgb="FF1155CC"/>
        <sz val="9.0"/>
        <u/>
      </rPr>
      <t>CeeDee Lamb</t>
    </r>
    <r>
      <rPr>
        <rFont val="Poppins, Arial, Helvetica, sans-serif"/>
        <sz val="9.0"/>
      </rPr>
      <t xml:space="preserve"> (DAL)</t>
    </r>
  </si>
  <si>
    <t>K. Williams</t>
  </si>
  <si>
    <t>RB-13</t>
  </si>
  <si>
    <t>RB10</t>
  </si>
  <si>
    <t>13 +1</t>
  </si>
  <si>
    <r>
      <rPr>
        <rFont val="Poppins, Arial, Helvetica, sans-serif"/>
        <color rgb="FF1155CC"/>
        <u/>
      </rPr>
      <t>CeeDee Lamb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</si>
  <si>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ijan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ATLRB2</t>
    </r>
  </si>
  <si>
    <t>J. Jacobs</t>
  </si>
  <si>
    <t>GB</t>
  </si>
  <si>
    <t>RB-14</t>
  </si>
  <si>
    <t>WR5</t>
  </si>
  <si>
    <t>J. Love</t>
  </si>
  <si>
    <t>ARI</t>
  </si>
  <si>
    <t>11 +4</t>
  </si>
  <si>
    <t>RB-15</t>
  </si>
  <si>
    <r>
      <rPr>
        <rFont val="Poppins, Arial, Helvetica, sans-serif"/>
        <color rgb="FF1155CC"/>
        <sz val="9.0"/>
        <u/>
      </rPr>
      <t>James Cook III</t>
    </r>
    <r>
      <rPr>
        <rFont val="Poppins, Arial, Helvetica, sans-serif"/>
        <sz val="9.0"/>
      </rPr>
      <t xml:space="preserve"> (BUF)</t>
    </r>
  </si>
  <si>
    <r>
      <rPr>
        <rFont val="Poppins, Arial, Helvetica, sans-serif"/>
        <color rgb="FF1155CC"/>
        <u/>
      </rPr>
      <t>Justin Jefferson</t>
    </r>
    <r>
      <rPr>
        <rFont val="Poppins, Arial, Helvetica, sans-serif"/>
      </rPr>
      <t>MIN (6)</t>
    </r>
  </si>
  <si>
    <t>N/A</t>
  </si>
  <si>
    <t>D. London</t>
  </si>
  <si>
    <t>WR-7</t>
  </si>
  <si>
    <r>
      <rPr>
        <rFont val="Poppins, Arial, Helvetica, sans-serif"/>
        <color rgb="FF1155CC"/>
        <sz val="9.0"/>
        <u/>
      </rPr>
      <t>Justin Jefferson</t>
    </r>
    <r>
      <rPr>
        <rFont val="Poppins, Arial, Helvetica, sans-serif"/>
        <sz val="9.0"/>
      </rPr>
      <t xml:space="preserve"> (MIN)</t>
    </r>
  </si>
  <si>
    <t>WR6</t>
  </si>
  <si>
    <t>12 +4</t>
  </si>
  <si>
    <t>A. Brown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</si>
  <si>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uka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Nacua</t>
    </r>
    <r>
      <rPr>
        <rFont val="Roboto, sans-serif"/>
      </rPr>
      <t xml:space="preserve">
LARWR1</t>
    </r>
  </si>
  <si>
    <t>NE</t>
  </si>
  <si>
    <r>
      <rPr>
        <rFont val="Poppins, Arial, Helvetica, sans-serif"/>
        <color rgb="FF1155CC"/>
        <u/>
      </rPr>
      <t>Chase Brown</t>
    </r>
    <r>
      <rPr>
        <rFont val="Poppins, Arial, Helvetica, sans-serif"/>
      </rPr>
      <t>CIN (6)</t>
    </r>
  </si>
  <si>
    <t>WR-8</t>
  </si>
  <si>
    <t>Tier 3</t>
  </si>
  <si>
    <r>
      <rPr>
        <rFont val="Poppins, Arial, Helvetica, sans-serif"/>
        <color rgb="FF1155CC"/>
        <u/>
      </rPr>
      <t>Customize Tiers</t>
    </r>
  </si>
  <si>
    <t>N. Collins</t>
  </si>
  <si>
    <r>
      <rPr>
        <rFont val="Poppins, Arial, Helvetica, sans-serif"/>
        <color rgb="FF1155CC"/>
        <sz val="9.0"/>
        <u/>
      </rPr>
      <t>Derrick Henry</t>
    </r>
    <r>
      <rPr>
        <rFont val="Poppins, Arial, Helvetica, sans-serif"/>
        <sz val="9.0"/>
      </rPr>
      <t xml:space="preserve"> (BAL)</t>
    </r>
  </si>
  <si>
    <t>HOU</t>
  </si>
  <si>
    <t>WR-9</t>
  </si>
  <si>
    <t>RB11</t>
  </si>
  <si>
    <t>16 +1</t>
  </si>
  <si>
    <r>
      <rPr>
        <rFont val="Poppins, Arial, Helvetica, sans-serif"/>
        <color rgb="FF1155CC"/>
        <u/>
      </rPr>
      <t>Josh Allen</t>
    </r>
    <r>
      <rPr>
        <rFont val="Poppins, Arial, Helvetica, sans-serif"/>
      </rPr>
      <t>BUF (7)</t>
    </r>
  </si>
  <si>
    <t>D. Smith</t>
  </si>
  <si>
    <t>WR-10</t>
  </si>
  <si>
    <r>
      <rPr>
        <rFont val="Poppins, Arial, Helvetica, sans-serif"/>
        <color rgb="FF1155CC"/>
        <sz val="9.0"/>
        <u/>
      </rPr>
      <t>Nico Collins</t>
    </r>
    <r>
      <rPr>
        <rFont val="Poppins, Arial, Helvetica, sans-serif"/>
        <sz val="9.0"/>
      </rPr>
      <t xml:space="preserve"> (HOU)</t>
    </r>
  </si>
  <si>
    <t>J. Williams</t>
  </si>
  <si>
    <t>QB1</t>
  </si>
  <si>
    <t>RB-16</t>
  </si>
  <si>
    <t>23 -5</t>
  </si>
  <si>
    <r>
      <rPr>
        <rFont val="Poppins, Arial, Helvetica, sans-serif"/>
        <color rgb="FF1155CC"/>
        <u/>
      </rPr>
      <t>Drake London</t>
    </r>
    <r>
      <rPr>
        <rFont val="Poppins, Arial, Helvetica, sans-serif"/>
      </rPr>
      <t>ATL (11)</t>
    </r>
  </si>
  <si>
    <t>WR7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</si>
  <si>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a'Marr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Chase</t>
    </r>
    <r>
      <rPr>
        <rFont val="Roboto, sans-serif"/>
      </rPr>
      <t xml:space="preserve">
CINWR2</t>
    </r>
  </si>
  <si>
    <r>
      <rPr>
        <rFont val="Poppins, Arial, Helvetica, sans-serif"/>
        <color rgb="FF1155CC"/>
        <sz val="9.0"/>
        <u/>
      </rPr>
      <t>A.J. Brown</t>
    </r>
    <r>
      <rPr>
        <rFont val="Poppins, Arial, Helvetica, sans-serif"/>
        <sz val="9.0"/>
      </rPr>
      <t xml:space="preserve"> (NE)</t>
    </r>
  </si>
  <si>
    <t>C. Olave</t>
  </si>
  <si>
    <t>NO</t>
  </si>
  <si>
    <t>WR-11</t>
  </si>
  <si>
    <t>18 +1</t>
  </si>
  <si>
    <r>
      <rPr>
        <rFont val="Poppins, Arial, Helvetica, sans-serif"/>
        <color rgb="FF1155CC"/>
        <u/>
      </rPr>
      <t>Kenneth Walker III</t>
    </r>
    <r>
      <rPr>
        <rFont val="Poppins, Arial, Helvetica, sans-serif"/>
      </rPr>
      <t>KC (5)</t>
    </r>
  </si>
  <si>
    <t>WR8</t>
  </si>
  <si>
    <t>T. McBride</t>
  </si>
  <si>
    <r>
      <rPr>
        <rFont val="Poppins, Arial, Helvetica, sans-serif"/>
        <color rgb="FF1155CC"/>
        <sz val="9.0"/>
        <u/>
      </rPr>
      <t>Drake London</t>
    </r>
    <r>
      <rPr>
        <rFont val="Poppins, Arial, Helvetica, sans-serif"/>
        <sz val="9.0"/>
      </rPr>
      <t xml:space="preserve"> (ATL)</t>
    </r>
  </si>
  <si>
    <t>TE-1</t>
  </si>
  <si>
    <t>RB12</t>
  </si>
  <si>
    <t>19 +1</t>
  </si>
  <si>
    <r>
      <rPr>
        <rFont val="Poppins, Arial, Helvetica, sans-serif"/>
        <color rgb="FF1155CC"/>
        <u/>
      </rPr>
      <t>Trey McBride</t>
    </r>
    <r>
      <rPr>
        <rFont val="Poppins, Arial, Helvetica, sans-serif"/>
      </rPr>
      <t>ARI (14)</t>
    </r>
  </si>
  <si>
    <t>G. Pickens</t>
  </si>
  <si>
    <t>WR9</t>
  </si>
  <si>
    <t>WR-12</t>
  </si>
  <si>
    <r>
      <rPr>
        <rFont val="Poppins, Arial, Helvetica, sans-serif"/>
        <color rgb="FF1155CC"/>
        <sz val="9.0"/>
        <u/>
      </rPr>
      <t>Saquon Barkley</t>
    </r>
    <r>
      <rPr>
        <rFont val="Poppins, Arial, Helvetica, sans-serif"/>
        <sz val="9.0"/>
      </rPr>
      <t xml:space="preserve"> (PHI)</t>
    </r>
  </si>
  <si>
    <t>TE1</t>
  </si>
  <si>
    <t>26 -5</t>
  </si>
  <si>
    <t>B. Bowers</t>
  </si>
  <si>
    <r>
      <rPr>
        <rFont val="Poppins, Arial, Helvetica, sans-serif"/>
        <color rgb="FF1155CC"/>
        <u/>
      </rPr>
      <t>Kyren Williams</t>
    </r>
    <r>
      <rPr>
        <rFont val="Poppins, Arial, Helvetica, sans-serif"/>
      </rPr>
      <t>LAR (11)</t>
    </r>
  </si>
  <si>
    <t>TE-2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</si>
  <si>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Smith-Njigba</t>
    </r>
    <r>
      <rPr>
        <rFont val="Roboto, sans-serif"/>
      </rPr>
      <t xml:space="preserve">
SEAWR3</t>
    </r>
  </si>
  <si>
    <r>
      <rPr>
        <rFont val="Poppins, Arial, Helvetica, sans-serif"/>
        <color rgb="FF1155CC"/>
        <sz val="9.0"/>
        <u/>
      </rPr>
      <t>Brock Bowers</t>
    </r>
    <r>
      <rPr>
        <rFont val="Poppins, Arial, Helvetica, sans-serif"/>
        <sz val="9.0"/>
      </rPr>
      <t xml:space="preserve"> (LV)</t>
    </r>
  </si>
  <si>
    <t>B. Hall</t>
  </si>
  <si>
    <t>NYJ</t>
  </si>
  <si>
    <t>RB13</t>
  </si>
  <si>
    <t>RB-17</t>
  </si>
  <si>
    <t>27 -5</t>
  </si>
  <si>
    <r>
      <rPr>
        <rFont val="Poppins, Arial, Helvetica, sans-serif"/>
        <color rgb="FF1155CC"/>
        <u/>
      </rPr>
      <t>Jeremiyah Love</t>
    </r>
    <r>
      <rPr>
        <rFont val="Poppins, Arial, Helvetica, sans-serif"/>
      </rPr>
      <t>ARI (14)</t>
    </r>
  </si>
  <si>
    <t>J. Allen</t>
  </si>
  <si>
    <t>QB-1</t>
  </si>
  <si>
    <r>
      <rPr>
        <rFont val="Poppins, Arial, Helvetica, sans-serif"/>
        <color rgb="FF1155CC"/>
        <sz val="9.0"/>
        <u/>
      </rPr>
      <t>Ashton Jeanty</t>
    </r>
    <r>
      <rPr>
        <rFont val="Poppins, Arial, Helvetica, sans-serif"/>
        <sz val="9.0"/>
      </rPr>
      <t xml:space="preserve"> (LV)</t>
    </r>
  </si>
  <si>
    <t>RB14</t>
  </si>
  <si>
    <t>25 -2</t>
  </si>
  <si>
    <r>
      <rPr>
        <rFont val="Poppins, Arial, Helvetica, sans-serif"/>
        <color rgb="FF1155CC"/>
        <u/>
      </rPr>
      <t>Josh Jacobs</t>
    </r>
    <r>
      <rPr>
        <rFont val="Poppins, Arial, Helvetica, sans-serif"/>
      </rPr>
      <t>GB (11)</t>
    </r>
  </si>
  <si>
    <t>Z. Flowers</t>
  </si>
  <si>
    <t>WR-13</t>
  </si>
  <si>
    <r>
      <rPr>
        <rFont val="Poppins, Arial, Helvetica, sans-serif"/>
        <color rgb="FF1155CC"/>
        <sz val="9.0"/>
        <u/>
      </rPr>
      <t>George Pickens</t>
    </r>
    <r>
      <rPr>
        <rFont val="Poppins, Arial, Helvetica, sans-serif"/>
        <sz val="9.0"/>
      </rPr>
      <t xml:space="preserve"> (DAL)</t>
    </r>
  </si>
  <si>
    <t>RB15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</si>
  <si>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Cook</t>
    </r>
    <r>
      <rPr>
        <rFont val="Roboto, sans-serif"/>
      </rPr>
      <t xml:space="preserve">
BUFRB3</t>
    </r>
  </si>
  <si>
    <t>28 -4</t>
  </si>
  <si>
    <t>R. Rice</t>
  </si>
  <si>
    <r>
      <rPr>
        <rFont val="Poppins, Arial, Helvetica, sans-serif"/>
        <color rgb="FF1155CC"/>
        <u/>
      </rPr>
      <t>Brock Bowers</t>
    </r>
    <r>
      <rPr>
        <rFont val="Poppins, Arial, Helvetica, sans-serif"/>
      </rPr>
      <t>LV (13)</t>
    </r>
  </si>
  <si>
    <t>WR-14</t>
  </si>
  <si>
    <t>WR10</t>
  </si>
  <si>
    <t>Tier 4</t>
  </si>
  <si>
    <r>
      <rPr>
        <rFont val="Poppins, Arial, Helvetica, sans-serif"/>
        <color rgb="FF1155CC"/>
        <u/>
      </rPr>
      <t>Customize Tiers</t>
    </r>
  </si>
  <si>
    <t>G. Wilson</t>
  </si>
  <si>
    <r>
      <rPr>
        <rFont val="Poppins, Arial, Helvetica, sans-serif"/>
        <color rgb="FF1155CC"/>
        <sz val="9.0"/>
        <u/>
      </rPr>
      <t>Trey McBride</t>
    </r>
    <r>
      <rPr>
        <rFont val="Poppins, Arial, Helvetica, sans-serif"/>
        <sz val="9.0"/>
      </rPr>
      <t xml:space="preserve"> (ARI)</t>
    </r>
  </si>
  <si>
    <t>TE2</t>
  </si>
  <si>
    <t>WR-15</t>
  </si>
  <si>
    <t>20 +5</t>
  </si>
  <si>
    <r>
      <rPr>
        <rFont val="Poppins, Arial, Helvetica, sans-serif"/>
        <color rgb="FF1155CC"/>
        <u/>
      </rPr>
      <t>George Pickens</t>
    </r>
    <r>
      <rPr>
        <rFont val="Poppins, Arial, Helvetica, sans-serif"/>
      </rPr>
      <t>DAL (14)</t>
    </r>
  </si>
  <si>
    <t>Q. Judkins</t>
  </si>
  <si>
    <t>CLE</t>
  </si>
  <si>
    <t>RB-18</t>
  </si>
  <si>
    <r>
      <rPr>
        <rFont val="Poppins, Arial, Helvetica, sans-serif"/>
        <color rgb="FF1155CC"/>
        <sz val="9.0"/>
        <u/>
      </rPr>
      <t>Omarion Hampton</t>
    </r>
    <r>
      <rPr>
        <rFont val="Poppins, Arial, Helvetica, sans-serif"/>
        <sz val="9.0"/>
      </rPr>
      <t xml:space="preserve"> (LAC)</t>
    </r>
  </si>
  <si>
    <t>24 +2</t>
  </si>
  <si>
    <r>
      <rPr>
        <rFont val="Poppins, Arial, Helvetica, sans-serif"/>
        <color rgb="FF1155CC"/>
        <u/>
      </rPr>
      <t>Nico Collins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</si>
  <si>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McCaffrey</t>
    </r>
    <r>
      <rPr>
        <rFont val="Roboto, sans-serif"/>
      </rPr>
      <t xml:space="preserve">
SFRB4</t>
    </r>
  </si>
  <si>
    <t>L. McConkey</t>
  </si>
  <si>
    <t>WR-16</t>
  </si>
  <si>
    <r>
      <rPr>
        <rFont val="Poppins, Arial, Helvetica, sans-serif"/>
        <color rgb="FF1155CC"/>
        <sz val="9.0"/>
        <u/>
      </rPr>
      <t>Josh Allen</t>
    </r>
    <r>
      <rPr>
        <rFont val="Poppins, Arial, Helvetica, sans-serif"/>
        <sz val="9.0"/>
      </rPr>
      <t xml:space="preserve"> (BUF)</t>
    </r>
  </si>
  <si>
    <t>21 +6</t>
  </si>
  <si>
    <r>
      <rPr>
        <rFont val="Poppins, Arial, Helvetica, sans-serif"/>
        <color rgb="FF1155CC"/>
        <u/>
      </rPr>
      <t>A.J. Brown</t>
    </r>
    <r>
      <rPr>
        <rFont val="Poppins, Arial, Helvetica, sans-serif"/>
      </rPr>
      <t>NE (11)</t>
    </r>
  </si>
  <si>
    <t>T. McMillan</t>
  </si>
  <si>
    <t>CAR</t>
  </si>
  <si>
    <t>WR-17</t>
  </si>
  <si>
    <r>
      <rPr>
        <rFont val="Poppins, Arial, Helvetica, sans-serif"/>
        <color rgb="FF1155CC"/>
        <sz val="9.0"/>
        <u/>
      </rPr>
      <t>Kenneth Walker III</t>
    </r>
    <r>
      <rPr>
        <rFont val="Poppins, Arial, Helvetica, sans-serif"/>
        <sz val="9.0"/>
      </rPr>
      <t xml:space="preserve"> (KC)</t>
    </r>
  </si>
  <si>
    <t>L. Burden III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</si>
  <si>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INDRB5</t>
    </r>
  </si>
  <si>
    <t>CHI</t>
  </si>
  <si>
    <t>22 +6</t>
  </si>
  <si>
    <t>WR-18</t>
  </si>
  <si>
    <r>
      <rPr>
        <rFont val="Poppins, Arial, Helvetica, sans-serif"/>
        <color rgb="FF1155CC"/>
        <u/>
      </rPr>
      <t>Chris Olave</t>
    </r>
    <r>
      <rPr>
        <rFont val="Poppins, Arial, Helvetica, sans-serif"/>
      </rPr>
      <t>NO (8)</t>
    </r>
  </si>
  <si>
    <r>
      <rPr>
        <rFont val="Poppins, Arial, Helvetica, sans-serif"/>
        <color rgb="FF1155CC"/>
        <sz val="9.0"/>
        <u/>
      </rPr>
      <t>Chase Brown</t>
    </r>
    <r>
      <rPr>
        <rFont val="Poppins, Arial, Helvetica, sans-serif"/>
        <sz val="9.0"/>
      </rPr>
      <t xml:space="preserve"> (CIN)</t>
    </r>
  </si>
  <si>
    <t>B. Irving</t>
  </si>
  <si>
    <t>TB</t>
  </si>
  <si>
    <t>RB-19</t>
  </si>
  <si>
    <t>WR11</t>
  </si>
  <si>
    <t>33 -4</t>
  </si>
  <si>
    <r>
      <rPr>
        <rFont val="Poppins, Arial, Helvetica, sans-serif"/>
        <color rgb="FF1155CC"/>
        <u/>
      </rPr>
      <t>Breece Hall</t>
    </r>
    <r>
      <rPr>
        <rFont val="Poppins, Arial, Helvetica, sans-serif"/>
      </rPr>
      <t>NYJ (13)</t>
    </r>
  </si>
  <si>
    <t>C. Skattebo</t>
  </si>
  <si>
    <r>
      <rPr>
        <rFont val="Poppins, Arial, Helvetica, sans-serif"/>
        <color rgb="FF1155CC"/>
        <sz val="9.0"/>
        <u/>
      </rPr>
      <t>De'Von Achane</t>
    </r>
    <r>
      <rPr>
        <rFont val="Poppins, Arial, Helvetica, sans-serif"/>
        <sz val="9.0"/>
      </rPr>
      <t xml:space="preserve"> (MIA)</t>
    </r>
  </si>
  <si>
    <t>NYG</t>
  </si>
  <si>
    <t>RB-20</t>
  </si>
  <si>
    <t>RB16</t>
  </si>
  <si>
    <t>31 -1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</si>
  <si>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errick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BALRB6</t>
    </r>
  </si>
  <si>
    <r>
      <rPr>
        <rFont val="Poppins, Arial, Helvetica, sans-serif"/>
        <color rgb="FF1155CC"/>
        <u/>
      </rPr>
      <t>Javonte Williams</t>
    </r>
    <r>
      <rPr>
        <rFont val="Poppins, Arial, Helvetica, sans-serif"/>
      </rPr>
      <t>DAL (14)</t>
    </r>
  </si>
  <si>
    <r>
      <rPr>
        <rFont val="Poppins, Arial, Helvetica, sans-serif"/>
        <color rgb="FF1155CC"/>
        <sz val="9.0"/>
        <u/>
      </rPr>
      <t>Rashee Rice</t>
    </r>
    <r>
      <rPr>
        <rFont val="Poppins, Arial, Helvetica, sans-serif"/>
        <sz val="9.0"/>
      </rPr>
      <t xml:space="preserve"> (KC)</t>
    </r>
  </si>
  <si>
    <t>E. Egbuka</t>
  </si>
  <si>
    <t>WR-19</t>
  </si>
  <si>
    <t>RB17</t>
  </si>
  <si>
    <t>29 +2</t>
  </si>
  <si>
    <r>
      <rPr>
        <rFont val="Poppins, Arial, Helvetica, sans-serif"/>
        <color rgb="FF1155CC"/>
        <u/>
      </rPr>
      <t>Rashee Rice</t>
    </r>
    <r>
      <rPr>
        <rFont val="Poppins, Arial, Helvetica, sans-serif"/>
      </rPr>
      <t>KC (5)</t>
    </r>
  </si>
  <si>
    <t>D. Swift</t>
  </si>
  <si>
    <t>RB-21</t>
  </si>
  <si>
    <t>WR12</t>
  </si>
  <si>
    <t>30 +2</t>
  </si>
  <si>
    <r>
      <rPr>
        <rFont val="Poppins, Arial, Helvetica, sans-serif"/>
        <color rgb="FF1155CC"/>
        <sz val="9.0"/>
        <u/>
      </rPr>
      <t>Chris Olave</t>
    </r>
    <r>
      <rPr>
        <rFont val="Poppins, Arial, Helvetica, sans-serif"/>
        <sz val="9.0"/>
      </rPr>
      <t xml:space="preserve"> (NO)</t>
    </r>
  </si>
  <si>
    <r>
      <rPr>
        <rFont val="Poppins, Arial, Helvetica, sans-serif"/>
        <color rgb="FF1155CC"/>
        <u/>
      </rPr>
      <t>Lamar Jackson</t>
    </r>
    <r>
      <rPr>
        <rFont val="Poppins, Arial, Helvetica, sans-serif"/>
      </rPr>
      <t>BAL (13)</t>
    </r>
  </si>
  <si>
    <t>M. Nabers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</si>
  <si>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mon-Ra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St. Brown</t>
    </r>
    <r>
      <rPr>
        <rFont val="Roboto, sans-serif"/>
      </rPr>
      <t xml:space="preserve">
DETWR4</t>
    </r>
  </si>
  <si>
    <t>WR-20</t>
  </si>
  <si>
    <t>QB2</t>
  </si>
  <si>
    <t>39 -6</t>
  </si>
  <si>
    <t>T. Higgins</t>
  </si>
  <si>
    <r>
      <rPr>
        <rFont val="Poppins, Arial, Helvetica, sans-serif"/>
        <color rgb="FF1155CC"/>
        <u/>
      </rPr>
      <t>Travis Etienne Jr.</t>
    </r>
    <r>
      <rPr>
        <rFont val="Poppins, Arial, Helvetica, sans-serif"/>
      </rPr>
      <t>NO (8)</t>
    </r>
  </si>
  <si>
    <t>WR-21</t>
  </si>
  <si>
    <r>
      <rPr>
        <rFont val="Poppins, Arial, Helvetica, sans-serif"/>
        <color rgb="FF1155CC"/>
        <sz val="9.0"/>
        <u/>
      </rPr>
      <t>Lamar Jackson</t>
    </r>
    <r>
      <rPr>
        <rFont val="Poppins, Arial, Helvetica, sans-serif"/>
        <sz val="9.0"/>
      </rPr>
      <t xml:space="preserve"> (BAL)</t>
    </r>
  </si>
  <si>
    <t>RB18</t>
  </si>
  <si>
    <t>T. McLaurin</t>
  </si>
  <si>
    <t>WAS</t>
  </si>
  <si>
    <t>WR-22</t>
  </si>
  <si>
    <r>
      <rPr>
        <rFont val="Poppins, Arial, Helvetica, sans-serif"/>
        <color rgb="FF1155CC"/>
        <u/>
      </rPr>
      <t>Malik Nabers</t>
    </r>
    <r>
      <rPr>
        <rFont val="Poppins, Arial, Helvetica, sans-serif"/>
      </rPr>
      <t>NYG (8)</t>
    </r>
  </si>
  <si>
    <t>D. Montgomery</t>
  </si>
  <si>
    <r>
      <rPr>
        <rFont val="Poppins, Arial, Helvetica, sans-serif"/>
        <color rgb="FF1155CC"/>
        <sz val="9.0"/>
        <u/>
      </rPr>
      <t>Zay Flowers</t>
    </r>
    <r>
      <rPr>
        <rFont val="Poppins, Arial, Helvetica, sans-serif"/>
        <sz val="9.0"/>
      </rPr>
      <t xml:space="preserve"> (BAL)</t>
    </r>
  </si>
  <si>
    <t>RB-22</t>
  </si>
  <si>
    <t>WR13</t>
  </si>
  <si>
    <t>C. Loveland</t>
  </si>
  <si>
    <t>37 -2</t>
  </si>
  <si>
    <t>TE-3</t>
  </si>
  <si>
    <r>
      <rPr>
        <rFont val="Poppins, Arial, Helvetica, sans-serif"/>
        <color rgb="FF1155CC"/>
        <u/>
      </rPr>
      <t>Bucky Irving</t>
    </r>
    <r>
      <rPr>
        <rFont val="Poppins, Arial, Helvetica, sans-serif"/>
      </rPr>
      <t>TB (10)</t>
    </r>
  </si>
  <si>
    <r>
      <rPr>
        <rFont val="Poppins, Arial, Helvetica, sans-serif"/>
        <color rgb="FF1155CC"/>
        <sz val="9.0"/>
        <u/>
      </rPr>
      <t>Kyren Williams</t>
    </r>
    <r>
      <rPr>
        <rFont val="Poppins, Arial, Helvetica, sans-serif"/>
        <sz val="9.0"/>
      </rPr>
      <t xml:space="preserve"> (LAR)</t>
    </r>
  </si>
  <si>
    <t>T. Etienne Jr.</t>
  </si>
  <si>
    <t>RB-23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</si>
  <si>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eeDee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Lamb</t>
    </r>
    <r>
      <rPr>
        <rFont val="Roboto, sans-serif"/>
      </rPr>
      <t xml:space="preserve">
DALWR5</t>
    </r>
  </si>
  <si>
    <t>RB19</t>
  </si>
  <si>
    <t>45 -9</t>
  </si>
  <si>
    <r>
      <rPr>
        <rFont val="Poppins, Arial, Helvetica, sans-serif"/>
        <color rgb="FF1155CC"/>
        <u/>
      </rPr>
      <t>Cam Skattebo</t>
    </r>
    <r>
      <rPr>
        <rFont val="Poppins, Arial, Helvetica, sans-serif"/>
      </rPr>
      <t>NYG (8)</t>
    </r>
  </si>
  <si>
    <r>
      <rPr>
        <rFont val="Poppins, Arial, Helvetica, sans-serif"/>
        <color rgb="FF1155CC"/>
        <sz val="9.0"/>
        <u/>
      </rPr>
      <t>Tee Higgins</t>
    </r>
    <r>
      <rPr>
        <rFont val="Poppins, Arial, Helvetica, sans-serif"/>
        <sz val="9.0"/>
      </rPr>
      <t xml:space="preserve"> (CIN)</t>
    </r>
  </si>
  <si>
    <t>D. Maye</t>
  </si>
  <si>
    <t>QB-2</t>
  </si>
  <si>
    <t>RB20</t>
  </si>
  <si>
    <t>J. Waddle</t>
  </si>
  <si>
    <t>35 +2</t>
  </si>
  <si>
    <t>DEN</t>
  </si>
  <si>
    <t>WR-23</t>
  </si>
  <si>
    <t>WR14</t>
  </si>
  <si>
    <r>
      <rPr>
        <rFont val="Poppins, Arial, Helvetica, sans-serif"/>
        <color rgb="FF1155CC"/>
        <u/>
      </rPr>
      <t>Luther Burden III</t>
    </r>
    <r>
      <rPr>
        <rFont val="Poppins, Arial, Helvetica, sans-serif"/>
      </rPr>
      <t>CHI (10)</t>
    </r>
  </si>
  <si>
    <r>
      <rPr>
        <rFont val="Poppins, Arial, Helvetica, sans-serif"/>
        <color rgb="FF1155CC"/>
        <sz val="9.0"/>
        <u/>
      </rPr>
      <t>DeVonta Smith</t>
    </r>
    <r>
      <rPr>
        <rFont val="Poppins, Arial, Helvetica, sans-serif"/>
        <sz val="9.0"/>
      </rPr>
      <t xml:space="preserve"> (PHI)</t>
    </r>
  </si>
  <si>
    <t>WR-24</t>
  </si>
  <si>
    <t>56 -18</t>
  </si>
  <si>
    <r>
      <rPr>
        <rFont val="Poppins, Arial, Helvetica, sans-serif"/>
        <color rgb="FF1155CC"/>
        <u/>
      </rPr>
      <t>Tetairoa McMillan</t>
    </r>
    <r>
      <rPr>
        <rFont val="Poppins, Arial, Helvetica, sans-serif"/>
      </rPr>
      <t>CAR (5)</t>
    </r>
  </si>
  <si>
    <t>D. Moore</t>
  </si>
  <si>
    <t>WR-25</t>
  </si>
  <si>
    <t>WR15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</si>
  <si>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Jefferson</t>
    </r>
    <r>
      <rPr>
        <rFont val="Roboto, sans-serif"/>
      </rPr>
      <t xml:space="preserve">
MINWR6</t>
    </r>
  </si>
  <si>
    <r>
      <rPr>
        <rFont val="Poppins, Arial, Helvetica, sans-serif"/>
        <color rgb="FF1155CC"/>
        <sz val="9.0"/>
        <u/>
      </rPr>
      <t>Drake Maye</t>
    </r>
    <r>
      <rPr>
        <rFont val="Poppins, Arial, Helvetica, sans-serif"/>
        <sz val="9.0"/>
      </rPr>
      <t xml:space="preserve"> (NE)</t>
    </r>
  </si>
  <si>
    <t>T. Pollard</t>
  </si>
  <si>
    <t>TEN</t>
  </si>
  <si>
    <t>RB-24</t>
  </si>
  <si>
    <t>Bye: 9</t>
  </si>
  <si>
    <t>40 -1</t>
  </si>
  <si>
    <r>
      <rPr>
        <rFont val="Poppins, Arial, Helvetica, sans-serif"/>
        <color rgb="FF1155CC"/>
        <u/>
      </rPr>
      <t>Tee Higgins</t>
    </r>
    <r>
      <rPr>
        <rFont val="Poppins, Arial, Helvetica, sans-serif"/>
      </rPr>
      <t>CIN (6)</t>
    </r>
  </si>
  <si>
    <t>QB3</t>
  </si>
  <si>
    <t>C. Watson</t>
  </si>
  <si>
    <t>WR-26</t>
  </si>
  <si>
    <r>
      <rPr>
        <rFont val="Poppins, Arial, Helvetica, sans-serif"/>
        <color rgb="FF1155CC"/>
        <sz val="9.0"/>
        <u/>
      </rPr>
      <t>Josh Jacobs</t>
    </r>
    <r>
      <rPr>
        <rFont val="Poppins, Arial, Helvetica, sans-serif"/>
        <sz val="9.0"/>
      </rPr>
      <t xml:space="preserve"> (GB)</t>
    </r>
  </si>
  <si>
    <t>WR16</t>
  </si>
  <si>
    <t>36 +4</t>
  </si>
  <si>
    <t>D. Adams</t>
  </si>
  <si>
    <r>
      <rPr>
        <rFont val="Poppins, Arial, Helvetica, sans-serif"/>
        <color rgb="FF1155CC"/>
        <u/>
      </rPr>
      <t>Garrett Wilson</t>
    </r>
    <r>
      <rPr>
        <rFont val="Poppins, Arial, Helvetica, sans-serif"/>
      </rPr>
      <t>NYJ (13)</t>
    </r>
  </si>
  <si>
    <t>WR-27</t>
  </si>
  <si>
    <r>
      <rPr>
        <rFont val="Poppins, Arial, Helvetica, sans-serif"/>
        <color rgb="FF1155CC"/>
        <sz val="9.0"/>
        <u/>
      </rPr>
      <t>Tetairoa McMillan</t>
    </r>
    <r>
      <rPr>
        <rFont val="Poppins, Arial, Helvetica, sans-serif"/>
        <sz val="9.0"/>
      </rPr>
      <t xml:space="preserve"> (CAR)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</si>
  <si>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aquon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Barkley</t>
    </r>
    <r>
      <rPr>
        <rFont val="Roboto, sans-serif"/>
      </rPr>
      <t xml:space="preserve">
PHIRB7</t>
    </r>
  </si>
  <si>
    <t>WR17</t>
  </si>
  <si>
    <t>P. Washington</t>
  </si>
  <si>
    <t>JAX</t>
  </si>
  <si>
    <t>43 -2</t>
  </si>
  <si>
    <t>WR-28</t>
  </si>
  <si>
    <r>
      <rPr>
        <rFont val="Poppins, Arial, Helvetica, sans-serif"/>
        <color rgb="FF1155CC"/>
        <u/>
      </rPr>
      <t>Quinshon Judkins</t>
    </r>
    <r>
      <rPr>
        <rFont val="Poppins, Arial, Helvetica, sans-serif"/>
      </rPr>
      <t>CLE (11)</t>
    </r>
  </si>
  <si>
    <r>
      <rPr>
        <rFont val="Poppins, Arial, Helvetica, sans-serif"/>
        <color rgb="FF1155CC"/>
        <sz val="9.0"/>
        <u/>
      </rPr>
      <t>Emeka Egbuka</t>
    </r>
    <r>
      <rPr>
        <rFont val="Poppins, Arial, Helvetica, sans-serif"/>
        <sz val="9.0"/>
      </rPr>
      <t xml:space="preserve"> (TB)</t>
    </r>
  </si>
  <si>
    <t>RB21</t>
  </si>
  <si>
    <t>J. Hurts</t>
  </si>
  <si>
    <t>47 -5</t>
  </si>
  <si>
    <t>QB-3</t>
  </si>
  <si>
    <r>
      <rPr>
        <rFont val="Poppins, Arial, Helvetica, sans-serif"/>
        <color rgb="FF1155CC"/>
        <u/>
      </rPr>
      <t>TreVeyon Henderson</t>
    </r>
    <r>
      <rPr>
        <rFont val="Poppins, Arial, Helvetica, sans-serif"/>
      </rPr>
      <t>NE (11)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</si>
  <si>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shton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Jeanty</t>
    </r>
    <r>
      <rPr>
        <rFont val="Roboto, sans-serif"/>
      </rPr>
      <t xml:space="preserve">
LVRRB8</t>
    </r>
  </si>
  <si>
    <t>Tier 5</t>
  </si>
  <si>
    <t>RB22</t>
  </si>
  <si>
    <r>
      <rPr>
        <rFont val="Poppins, Arial, Helvetica, sans-serif"/>
        <color rgb="FF1155CC"/>
        <u/>
      </rPr>
      <t>Customize Tiers</t>
    </r>
  </si>
  <si>
    <t>54 -11</t>
  </si>
  <si>
    <r>
      <rPr>
        <rFont val="Poppins, Arial, Helvetica, sans-serif"/>
        <color rgb="FF1155CC"/>
        <sz val="9.0"/>
        <u/>
      </rPr>
      <t>Javonte Williams</t>
    </r>
    <r>
      <rPr>
        <rFont val="Poppins, Arial, Helvetica, sans-serif"/>
        <sz val="9.0"/>
      </rPr>
      <t xml:space="preserve"> (DAL)</t>
    </r>
  </si>
  <si>
    <t>L. Jackson</t>
  </si>
  <si>
    <r>
      <rPr>
        <rFont val="Poppins, Arial, Helvetica, sans-serif"/>
        <color rgb="FF1155CC"/>
        <u/>
      </rPr>
      <t>Zay Flowers</t>
    </r>
    <r>
      <rPr>
        <rFont val="Poppins, Arial, Helvetica, sans-serif"/>
      </rPr>
      <t>BAL (13)</t>
    </r>
  </si>
  <si>
    <t>QB-4</t>
  </si>
  <si>
    <t>R. Dowdle</t>
  </si>
  <si>
    <t>WR18</t>
  </si>
  <si>
    <t>PIT</t>
  </si>
  <si>
    <r>
      <rPr>
        <rFont val="Poppins, Arial, Helvetica, sans-serif"/>
        <color rgb="FF1155CC"/>
        <sz val="9.0"/>
        <u/>
      </rPr>
      <t>Malik Nabers</t>
    </r>
    <r>
      <rPr>
        <rFont val="Poppins, Arial, Helvetica, sans-serif"/>
        <sz val="9.0"/>
      </rPr>
      <t xml:space="preserve"> (NYG)</t>
    </r>
  </si>
  <si>
    <t>38 +6</t>
  </si>
  <si>
    <t>RB-25</t>
  </si>
  <si>
    <r>
      <rPr>
        <rFont val="Poppins, Arial, Helvetica, sans-serif"/>
        <color rgb="FF1155CC"/>
        <u/>
      </rPr>
      <t>Emeka Egbuka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</si>
  <si>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Collins</t>
    </r>
    <r>
      <rPr>
        <rFont val="Roboto, sans-serif"/>
      </rPr>
      <t xml:space="preserve">
HOUWR7</t>
    </r>
  </si>
  <si>
    <t>R. Odunze</t>
  </si>
  <si>
    <t>WR-29</t>
  </si>
  <si>
    <t>WR19</t>
  </si>
  <si>
    <r>
      <rPr>
        <rFont val="Poppins, Arial, Helvetica, sans-serif"/>
        <color rgb="FF1155CC"/>
        <sz val="9.0"/>
        <u/>
      </rPr>
      <t>Colston Loveland</t>
    </r>
    <r>
      <rPr>
        <rFont val="Poppins, Arial, Helvetica, sans-serif"/>
        <sz val="9.0"/>
      </rPr>
      <t xml:space="preserve"> (CHI)</t>
    </r>
  </si>
  <si>
    <t>42 +3</t>
  </si>
  <si>
    <r>
      <rPr>
        <rFont val="Poppins, Arial, Helvetica, sans-serif"/>
        <color rgb="FF1155CC"/>
        <u/>
      </rPr>
      <t>DeVonta Smith</t>
    </r>
    <r>
      <rPr>
        <rFont val="Poppins, Arial, Helvetica, sans-serif"/>
      </rPr>
      <t>PHI (10)</t>
    </r>
  </si>
  <si>
    <t>J. Daniels</t>
  </si>
  <si>
    <t>WR20</t>
  </si>
  <si>
    <t>TE3</t>
  </si>
  <si>
    <t>32 +14</t>
  </si>
  <si>
    <t>QB-5</t>
  </si>
  <si>
    <r>
      <rPr>
        <rFont val="Poppins, Arial, Helvetica, sans-serif"/>
        <color rgb="FF1155CC"/>
        <u/>
      </rPr>
      <t>Bhayshul Tuten</t>
    </r>
    <r>
      <rPr>
        <rFont val="Poppins, Arial, Helvetica, sans-serif"/>
      </rPr>
      <t>JAC (7)</t>
    </r>
  </si>
  <si>
    <r>
      <rPr>
        <rFont val="Poppins, Arial, Helvetica, sans-serif"/>
        <color rgb="FF1155CC"/>
        <sz val="9.0"/>
        <u/>
      </rPr>
      <t>Breece Hall</t>
    </r>
    <r>
      <rPr>
        <rFont val="Poppins, Arial, Helvetica, sans-serif"/>
        <sz val="9.0"/>
      </rPr>
      <t xml:space="preserve"> (NYJ)</t>
    </r>
  </si>
  <si>
    <t>C. Tate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</si>
  <si>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NEWR8</t>
    </r>
  </si>
  <si>
    <t>WR-30</t>
  </si>
  <si>
    <t>RB23</t>
  </si>
  <si>
    <t>57 -10</t>
  </si>
  <si>
    <r>
      <rPr>
        <rFont val="Poppins, Arial, Helvetica, sans-serif"/>
        <color rgb="FF1155CC"/>
        <u/>
      </rPr>
      <t>Colston Loveland</t>
    </r>
    <r>
      <rPr>
        <rFont val="Poppins, Arial, Helvetica, sans-serif"/>
      </rPr>
      <t>CHI (10)</t>
    </r>
  </si>
  <si>
    <r>
      <rPr>
        <rFont val="Poppins, Arial, Helvetica, sans-serif"/>
        <color rgb="FF1155CC"/>
        <sz val="9.0"/>
        <u/>
      </rPr>
      <t>Jeremiyah Love</t>
    </r>
    <r>
      <rPr>
        <rFont val="Poppins, Arial, Helvetica, sans-serif"/>
        <sz val="9.0"/>
      </rPr>
      <t xml:space="preserve"> (ARI)</t>
    </r>
  </si>
  <si>
    <t>J. Burrow</t>
  </si>
  <si>
    <t>QB-6</t>
  </si>
  <si>
    <t>41 +7</t>
  </si>
  <si>
    <r>
      <rPr>
        <rFont val="Poppins, Arial, Helvetica, sans-serif"/>
        <color rgb="FF1155CC"/>
        <u/>
      </rPr>
      <t>David Montgomery</t>
    </r>
    <r>
      <rPr>
        <rFont val="Poppins, Arial, Helvetica, sans-serif"/>
      </rPr>
      <t>HOU (8)</t>
    </r>
  </si>
  <si>
    <t>R. Stevenson</t>
  </si>
  <si>
    <r>
      <rPr>
        <rFont val="Poppins, Arial, Helvetica, sans-serif"/>
        <color rgb="FF1155CC"/>
        <sz val="9.0"/>
        <u/>
      </rPr>
      <t>Joe Burrow</t>
    </r>
    <r>
      <rPr>
        <rFont val="Poppins, Arial, Helvetica, sans-serif"/>
        <sz val="9.0"/>
      </rPr>
      <t xml:space="preserve"> (CIN)</t>
    </r>
  </si>
  <si>
    <t>RB-26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</si>
  <si>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BUFQB1</t>
    </r>
  </si>
  <si>
    <t>QB4</t>
  </si>
  <si>
    <t>M. Evans</t>
  </si>
  <si>
    <t>RB24</t>
  </si>
  <si>
    <t>WR-31</t>
  </si>
  <si>
    <r>
      <rPr>
        <rFont val="Poppins, Arial, Helvetica, sans-serif"/>
        <color rgb="FF1155CC"/>
        <u/>
      </rPr>
      <t>Ladd McConkey</t>
    </r>
    <r>
      <rPr>
        <rFont val="Poppins, Arial, Helvetica, sans-serif"/>
      </rPr>
      <t>LAC (7)</t>
    </r>
  </si>
  <si>
    <r>
      <rPr>
        <rFont val="Poppins, Arial, Helvetica, sans-serif"/>
        <color rgb="FF1155CC"/>
        <sz val="9.0"/>
        <u/>
      </rPr>
      <t>Davante Adams</t>
    </r>
    <r>
      <rPr>
        <rFont val="Poppins, Arial, Helvetica, sans-serif"/>
        <sz val="9.0"/>
      </rPr>
      <t xml:space="preserve"> (LAR)</t>
    </r>
  </si>
  <si>
    <t>B. Thomas Jr.</t>
  </si>
  <si>
    <t>WR-32</t>
  </si>
  <si>
    <t>WR21</t>
  </si>
  <si>
    <t>44 +6</t>
  </si>
  <si>
    <r>
      <rPr>
        <rFont val="Poppins, Arial, Helvetica, sans-serif"/>
        <color rgb="FF1155CC"/>
        <u/>
      </rPr>
      <t>Jaylen Waddle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</si>
  <si>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London</t>
    </r>
    <r>
      <rPr>
        <rFont val="Roboto, sans-serif"/>
      </rPr>
      <t xml:space="preserve">
ATLWR9</t>
    </r>
  </si>
  <si>
    <r>
      <rPr>
        <rFont val="Poppins, Arial, Helvetica, sans-serif"/>
        <color rgb="FF1155CC"/>
        <sz val="9.0"/>
        <u/>
      </rPr>
      <t>Ladd McConkey</t>
    </r>
    <r>
      <rPr>
        <rFont val="Poppins, Arial, Helvetica, sans-serif"/>
        <sz val="9.0"/>
      </rPr>
      <t xml:space="preserve"> (LAC)</t>
    </r>
  </si>
  <si>
    <t>T. Henderson</t>
  </si>
  <si>
    <t>RB-27</t>
  </si>
  <si>
    <t>WR22</t>
  </si>
  <si>
    <t>D. Metcalf</t>
  </si>
  <si>
    <t>46 +5</t>
  </si>
  <si>
    <t>WR-33</t>
  </si>
  <si>
    <r>
      <rPr>
        <rFont val="Poppins, Arial, Helvetica, sans-serif"/>
        <color rgb="FF1155CC"/>
        <u/>
      </rPr>
      <t>DJ Moore</t>
    </r>
    <r>
      <rPr>
        <rFont val="Poppins, Arial, Helvetica, sans-serif"/>
      </rPr>
      <t>BUF (7)</t>
    </r>
  </si>
  <si>
    <r>
      <rPr>
        <rFont val="Poppins, Arial, Helvetica, sans-serif"/>
        <color rgb="FF1155CC"/>
        <sz val="9.0"/>
        <u/>
      </rPr>
      <t>Terry McLaurin</t>
    </r>
    <r>
      <rPr>
        <rFont val="Poppins, Arial, Helvetica, sans-serif"/>
        <sz val="9.0"/>
      </rPr>
      <t xml:space="preserve"> (WAS)</t>
    </r>
  </si>
  <si>
    <t>B. Tuten</t>
  </si>
  <si>
    <t>RB-28</t>
  </si>
  <si>
    <t>WR23</t>
  </si>
  <si>
    <t>58 -6</t>
  </si>
  <si>
    <r>
      <rPr>
        <rFont val="Poppins, Arial, Helvetica, sans-serif"/>
        <color rgb="FF1155CC"/>
        <u/>
      </rPr>
      <t>D'Andre Swift</t>
    </r>
    <r>
      <rPr>
        <rFont val="Poppins, Arial, Helvetica, sans-serif"/>
      </rPr>
      <t>CHI (10)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</si>
  <si>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Pickens</t>
    </r>
    <r>
      <rPr>
        <rFont val="Roboto, sans-serif"/>
      </rPr>
      <t xml:space="preserve">
DALWR10</t>
    </r>
  </si>
  <si>
    <t>T. Kraft</t>
  </si>
  <si>
    <r>
      <rPr>
        <rFont val="Poppins, Arial, Helvetica, sans-serif"/>
        <color rgb="FF1155CC"/>
        <sz val="9.0"/>
        <u/>
      </rPr>
      <t>Jameson Williams</t>
    </r>
    <r>
      <rPr>
        <rFont val="Poppins, Arial, Helvetica, sans-serif"/>
        <sz val="9.0"/>
      </rPr>
      <t xml:space="preserve"> (DET)</t>
    </r>
  </si>
  <si>
    <t>TE-4</t>
  </si>
  <si>
    <t>RB25</t>
  </si>
  <si>
    <t>48 +5</t>
  </si>
  <si>
    <r>
      <rPr>
        <rFont val="Poppins, Arial, Helvetica, sans-serif"/>
        <color rgb="FF1155CC"/>
        <u/>
      </rPr>
      <t>RJ Harvey</t>
    </r>
    <r>
      <rPr>
        <rFont val="Poppins, Arial, Helvetica, sans-serif"/>
      </rPr>
      <t>DEN (10)</t>
    </r>
  </si>
  <si>
    <t>T. Warren</t>
  </si>
  <si>
    <t>TE-5</t>
  </si>
  <si>
    <r>
      <rPr>
        <rFont val="Poppins, Arial, Helvetica, sans-serif"/>
        <color rgb="FF1155CC"/>
        <sz val="9.0"/>
        <u/>
      </rPr>
      <t>Jaylen Waddle</t>
    </r>
    <r>
      <rPr>
        <rFont val="Poppins, Arial, Helvetica, sans-serif"/>
        <sz val="9.0"/>
      </rPr>
      <t xml:space="preserve"> (DEN)</t>
    </r>
  </si>
  <si>
    <t>RB26</t>
  </si>
  <si>
    <t>J. Warren</t>
  </si>
  <si>
    <t>83 -29</t>
  </si>
  <si>
    <t>RB-29</t>
  </si>
  <si>
    <r>
      <rPr>
        <rFont val="Poppins, Arial, Helvetica, sans-serif"/>
        <color rgb="FF1155CC"/>
        <u/>
      </rPr>
      <t>Drake Maye</t>
    </r>
    <r>
      <rPr>
        <rFont val="Poppins, Arial, Helvetica, sans-serif"/>
      </rPr>
      <t>NE (11)</t>
    </r>
  </si>
  <si>
    <t>S. LaPorta</t>
  </si>
  <si>
    <r>
      <rPr>
        <rFont val="Poppins, Arial, Helvetica, sans-serif"/>
        <color rgb="FF1155CC"/>
        <sz val="9.0"/>
        <u/>
      </rPr>
      <t>Christian Watson</t>
    </r>
    <r>
      <rPr>
        <rFont val="Poppins, Arial, Helvetica, sans-serif"/>
        <sz val="9.0"/>
      </rPr>
      <t xml:space="preserve"> (GB)</t>
    </r>
  </si>
  <si>
    <t>TE-6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</si>
  <si>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Walker III</t>
    </r>
    <r>
      <rPr>
        <rFont val="Roboto, sans-serif"/>
      </rPr>
      <t xml:space="preserve">
KCRB9</t>
    </r>
  </si>
  <si>
    <t>50 +5</t>
  </si>
  <si>
    <r>
      <rPr>
        <rFont val="Poppins, Arial, Helvetica, sans-serif"/>
        <color rgb="FF1155CC"/>
        <u/>
      </rPr>
      <t>Davante Adams</t>
    </r>
    <r>
      <rPr>
        <rFont val="Poppins, Arial, Helvetica, sans-serif"/>
      </rPr>
      <t>LAR (11)</t>
    </r>
  </si>
  <si>
    <t>H. Fannin Jr.</t>
  </si>
  <si>
    <t>WR24</t>
  </si>
  <si>
    <t>TE-7</t>
  </si>
  <si>
    <r>
      <rPr>
        <rFont val="Poppins, Arial, Helvetica, sans-serif"/>
        <color rgb="FF1155CC"/>
        <sz val="9.0"/>
        <u/>
      </rPr>
      <t>Travis Etienne Jr.</t>
    </r>
    <r>
      <rPr>
        <rFont val="Poppins, Arial, Helvetica, sans-serif"/>
        <sz val="9.0"/>
      </rPr>
      <t xml:space="preserve"> (NO)</t>
    </r>
  </si>
  <si>
    <t>51 +5</t>
  </si>
  <si>
    <t>J. Herbert</t>
  </si>
  <si>
    <r>
      <rPr>
        <rFont val="Poppins, Arial, Helvetica, sans-serif"/>
        <color rgb="FF1155CC"/>
        <u/>
      </rPr>
      <t>Jameson Williams</t>
    </r>
    <r>
      <rPr>
        <rFont val="Poppins, Arial, Helvetica, sans-serif"/>
      </rPr>
      <t>DET (6)</t>
    </r>
  </si>
  <si>
    <t>QB-7</t>
  </si>
  <si>
    <r>
      <rPr>
        <rFont val="Poppins, Arial, Helvetica, sans-serif"/>
        <color rgb="FF1155CC"/>
        <sz val="9.0"/>
        <u/>
      </rPr>
      <t>Jayden Daniels</t>
    </r>
    <r>
      <rPr>
        <rFont val="Poppins, Arial, Helvetica, sans-serif"/>
        <sz val="9.0"/>
      </rPr>
      <t xml:space="preserve"> (WAS)</t>
    </r>
  </si>
  <si>
    <t>T. Lawrence</t>
  </si>
  <si>
    <t>WR25</t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</si>
  <si>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Hampton</t>
    </r>
    <r>
      <rPr>
        <rFont val="Roboto, sans-serif"/>
      </rPr>
      <t xml:space="preserve">
LACRB10</t>
    </r>
  </si>
  <si>
    <t>QB-8</t>
  </si>
  <si>
    <t>62 -5</t>
  </si>
  <si>
    <r>
      <rPr>
        <rFont val="Poppins, Arial, Helvetica, sans-serif"/>
        <color rgb="FF1155CC"/>
        <u/>
      </rPr>
      <t>Terry McLaurin</t>
    </r>
    <r>
      <rPr>
        <rFont val="Poppins, Arial, Helvetica, sans-serif"/>
      </rPr>
      <t>WAS (7)</t>
    </r>
  </si>
  <si>
    <t>QB5</t>
  </si>
  <si>
    <t>G. Kittle</t>
  </si>
  <si>
    <t>TE-8</t>
  </si>
  <si>
    <r>
      <rPr>
        <rFont val="Poppins, Arial, Helvetica, sans-serif"/>
        <color rgb="FF1155CC"/>
        <sz val="9.0"/>
        <u/>
      </rPr>
      <t>Garrett Wilson</t>
    </r>
    <r>
      <rPr>
        <rFont val="Poppins, Arial, Helvetica, sans-serif"/>
        <sz val="9.0"/>
      </rPr>
      <t xml:space="preserve"> (NYJ)</t>
    </r>
  </si>
  <si>
    <t>WR26</t>
  </si>
  <si>
    <t>52 +6</t>
  </si>
  <si>
    <r>
      <rPr>
        <rFont val="Poppins, Arial, Helvetica, sans-serif"/>
        <color rgb="FF1155CC"/>
        <u/>
      </rPr>
      <t>Tyler Warren</t>
    </r>
    <r>
      <rPr>
        <rFont val="Poppins, Arial, Helvetica, sans-serif"/>
      </rPr>
      <t>IND (13)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</si>
  <si>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Rice</t>
    </r>
    <r>
      <rPr>
        <rFont val="Roboto, sans-serif"/>
      </rPr>
      <t xml:space="preserve">
KCWR11</t>
    </r>
  </si>
  <si>
    <t>K. Pitts</t>
  </si>
  <si>
    <t>TE-9</t>
  </si>
  <si>
    <r>
      <rPr>
        <rFont val="Poppins, Arial, Helvetica, sans-serif"/>
        <color rgb="FF1155CC"/>
        <sz val="9.0"/>
        <u/>
      </rPr>
      <t>Cam Skattebo</t>
    </r>
    <r>
      <rPr>
        <rFont val="Poppins, Arial, Helvetica, sans-serif"/>
        <sz val="9.0"/>
      </rPr>
      <t xml:space="preserve"> (NYG)</t>
    </r>
  </si>
  <si>
    <t>TE4</t>
  </si>
  <si>
    <t>55 +4</t>
  </si>
  <si>
    <t>J. Tyson</t>
  </si>
  <si>
    <r>
      <rPr>
        <rFont val="Poppins, Arial, Helvetica, sans-serif"/>
        <color rgb="FF1155CC"/>
        <u/>
      </rPr>
      <t>Joe Burrow</t>
    </r>
    <r>
      <rPr>
        <rFont val="Poppins, Arial, Helvetica, sans-serif"/>
      </rPr>
      <t>CIN (6)</t>
    </r>
  </si>
  <si>
    <t>WR-34</t>
  </si>
  <si>
    <t>Tier 6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</si>
  <si>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</si>
  <si>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Mike Evans</t>
    </r>
    <r>
      <rPr>
        <rFont val="Poppins, Arial, Helvetica, sans-serif"/>
        <sz val="9.0"/>
      </rPr>
      <t xml:space="preserve"> (SF)</t>
    </r>
  </si>
  <si>
    <t>A. Pierce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</si>
  <si>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Jacobs</t>
    </r>
    <r>
      <rPr>
        <rFont val="Roboto, sans-serif"/>
      </rPr>
      <t xml:space="preserve">
GBRB11</t>
    </r>
  </si>
  <si>
    <t>WR-35</t>
  </si>
  <si>
    <t>53 +7</t>
  </si>
  <si>
    <r>
      <rPr>
        <rFont val="Poppins, Arial, Helvetica, sans-serif"/>
        <color rgb="FF1155CC"/>
        <u/>
      </rPr>
      <t>Jaylen Warren</t>
    </r>
    <r>
      <rPr>
        <rFont val="Poppins, Arial, Helvetica, sans-serif"/>
      </rPr>
      <t>PIT (9)</t>
    </r>
  </si>
  <si>
    <t>M. Wilson</t>
  </si>
  <si>
    <t>WR-36</t>
  </si>
  <si>
    <t>RB27</t>
  </si>
  <si>
    <r>
      <rPr>
        <rFont val="Poppins, Arial, Helvetica, sans-serif"/>
        <color rgb="FF1155CC"/>
        <sz val="9.0"/>
        <u/>
      </rPr>
      <t>Quinshon Judkins</t>
    </r>
    <r>
      <rPr>
        <rFont val="Poppins, Arial, Helvetica, sans-serif"/>
        <sz val="9.0"/>
      </rPr>
      <t xml:space="preserve"> (CLE)</t>
    </r>
  </si>
  <si>
    <t>67 -6</t>
  </si>
  <si>
    <r>
      <rPr>
        <rFont val="Poppins, Arial, Helvetica, sans-serif"/>
        <color rgb="FF1155CC"/>
        <u/>
      </rPr>
      <t>Mike Evans</t>
    </r>
    <r>
      <rPr>
        <rFont val="Poppins, Arial, Helvetica, sans-serif"/>
      </rPr>
      <t>SF (8)</t>
    </r>
  </si>
  <si>
    <t>J. Price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</si>
  <si>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e'Von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Achane</t>
    </r>
    <r>
      <rPr>
        <rFont val="Roboto, sans-serif"/>
      </rPr>
      <t xml:space="preserve">
MIARB12</t>
    </r>
  </si>
  <si>
    <t>RB-30</t>
  </si>
  <si>
    <t>WR27</t>
  </si>
  <si>
    <t>60 +2</t>
  </si>
  <si>
    <r>
      <rPr>
        <rFont val="Poppins, Arial, Helvetica, sans-serif"/>
        <color rgb="FF1155CC"/>
        <sz val="9.0"/>
        <u/>
      </rPr>
      <t>Luther Burden III</t>
    </r>
    <r>
      <rPr>
        <rFont val="Poppins, Arial, Helvetica, sans-serif"/>
        <sz val="9.0"/>
      </rPr>
      <t xml:space="preserve"> (CHI)</t>
    </r>
  </si>
  <si>
    <r>
      <rPr>
        <rFont val="Poppins, Arial, Helvetica, sans-serif"/>
        <color rgb="FF1155CC"/>
        <u/>
      </rPr>
      <t>Harold Fannin Jr.</t>
    </r>
    <r>
      <rPr>
        <rFont val="Poppins, Arial, Helvetica, sans-serif"/>
      </rPr>
      <t>CLE (11)</t>
    </r>
  </si>
  <si>
    <t>J. Downs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</si>
  <si>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CINWR12</t>
    </r>
  </si>
  <si>
    <t>WR-37</t>
  </si>
  <si>
    <t>TE5</t>
  </si>
  <si>
    <t>68 -5</t>
  </si>
  <si>
    <r>
      <rPr>
        <rFont val="Poppins, Arial, Helvetica, sans-serif"/>
        <color rgb="FF1155CC"/>
        <u/>
      </rPr>
      <t>Jayden Daniels</t>
    </r>
    <r>
      <rPr>
        <rFont val="Poppins, Arial, Helvetica, sans-serif"/>
      </rPr>
      <t>WAS (7)</t>
    </r>
  </si>
  <si>
    <r>
      <rPr>
        <rFont val="Poppins, Arial, Helvetica, sans-serif"/>
        <color rgb="FF1155CC"/>
        <sz val="9.0"/>
        <u/>
      </rPr>
      <t>D'Andre Swift</t>
    </r>
    <r>
      <rPr>
        <rFont val="Poppins, Arial, Helvetica, sans-serif"/>
        <sz val="9.0"/>
      </rPr>
      <t xml:space="preserve"> (CHI)</t>
    </r>
  </si>
  <si>
    <t>B. Purdy</t>
  </si>
  <si>
    <t>QB-9</t>
  </si>
  <si>
    <t>J. Dobbins</t>
  </si>
  <si>
    <r>
      <rPr>
        <rFont val="Poppins, Arial, Helvetica, sans-serif"/>
        <color rgb="FF1155CC"/>
        <sz val="9.0"/>
        <u/>
      </rPr>
      <t>Jalen Hurts</t>
    </r>
    <r>
      <rPr>
        <rFont val="Poppins, Arial, Helvetica, sans-serif"/>
        <sz val="9.0"/>
      </rPr>
      <t xml:space="preserve"> (PHI)</t>
    </r>
  </si>
  <si>
    <t>59 +5</t>
  </si>
  <si>
    <t>RB-31</t>
  </si>
  <si>
    <r>
      <rPr>
        <rFont val="Poppins, Arial, Helvetica, sans-serif"/>
        <color rgb="FF1155CC"/>
        <u/>
      </rPr>
      <t>Rhamondre Stevenson</t>
    </r>
    <r>
      <rPr>
        <rFont val="Poppins, Arial, Helvetica, sans-serif"/>
      </rPr>
      <t>NE (11)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</si>
  <si>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Bowers</t>
    </r>
    <r>
      <rPr>
        <rFont val="Roboto, sans-serif"/>
      </rPr>
      <t xml:space="preserve">
LVRTE1</t>
    </r>
  </si>
  <si>
    <t>QB6</t>
  </si>
  <si>
    <t>M. Harrison Jr.</t>
  </si>
  <si>
    <t>RB28</t>
  </si>
  <si>
    <t>WR-38</t>
  </si>
  <si>
    <t>81 -16</t>
  </si>
  <si>
    <r>
      <rPr>
        <rFont val="Poppins, Arial, Helvetica, sans-serif"/>
        <color rgb="FF1155CC"/>
        <u/>
      </rPr>
      <t>Rome Odunze</t>
    </r>
    <r>
      <rPr>
        <rFont val="Poppins, Arial, Helvetica, sans-serif"/>
      </rPr>
      <t>CHI (10)</t>
    </r>
  </si>
  <si>
    <r>
      <rPr>
        <rFont val="Poppins, Arial, Helvetica, sans-serif"/>
        <color rgb="FF1155CC"/>
        <sz val="9.0"/>
        <u/>
      </rPr>
      <t>Bucky Irving</t>
    </r>
    <r>
      <rPr>
        <rFont val="Poppins, Arial, Helvetica, sans-serif"/>
        <sz val="9.0"/>
      </rPr>
      <t xml:space="preserve"> (TB)</t>
    </r>
  </si>
  <si>
    <t>J. Brooks</t>
  </si>
  <si>
    <t>RB-32</t>
  </si>
  <si>
    <t>WR28</t>
  </si>
  <si>
    <t>65 +1</t>
  </si>
  <si>
    <r>
      <rPr>
        <rFont val="Poppins, Arial, Helvetica, sans-serif"/>
        <color rgb="FF1155CC"/>
        <sz val="9.0"/>
        <u/>
      </rPr>
      <t>Rome Odunze</t>
    </r>
    <r>
      <rPr>
        <rFont val="Poppins, Arial, Helvetica, sans-serif"/>
        <sz val="9.0"/>
      </rPr>
      <t xml:space="preserve"> (CHI)</t>
    </r>
  </si>
  <si>
    <r>
      <rPr>
        <rFont val="Poppins, Arial, Helvetica, sans-serif"/>
        <color rgb="FF1155CC"/>
        <u/>
      </rPr>
      <t>Christian Watson</t>
    </r>
    <r>
      <rPr>
        <rFont val="Poppins, Arial, Helvetica, sans-serif"/>
      </rPr>
      <t>GB (11)</t>
    </r>
  </si>
  <si>
    <t>Q. Johnston</t>
  </si>
  <si>
    <t>WR-39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</si>
  <si>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CINRB13</t>
    </r>
  </si>
  <si>
    <t>WR29</t>
  </si>
  <si>
    <t>64 +3</t>
  </si>
  <si>
    <t>X. Worthy</t>
  </si>
  <si>
    <r>
      <rPr>
        <rFont val="Poppins, Arial, Helvetica, sans-serif"/>
        <color rgb="FF1155CC"/>
        <u/>
      </rPr>
      <t>Rico Dowdle</t>
    </r>
    <r>
      <rPr>
        <rFont val="Poppins, Arial, Helvetica, sans-serif"/>
      </rPr>
      <t>PIT (9)</t>
    </r>
  </si>
  <si>
    <t>WR-40</t>
  </si>
  <si>
    <r>
      <rPr>
        <rFont val="Poppins, Arial, Helvetica, sans-serif"/>
        <color rgb="FF1155CC"/>
        <sz val="9.0"/>
        <u/>
      </rPr>
      <t>David Montgomery</t>
    </r>
    <r>
      <rPr>
        <rFont val="Poppins, Arial, Helvetica, sans-serif"/>
        <sz val="9.0"/>
      </rPr>
      <t xml:space="preserve"> (HOU)</t>
    </r>
  </si>
  <si>
    <t>J. Mason</t>
  </si>
  <si>
    <t>RB-33</t>
  </si>
  <si>
    <t>RB29</t>
  </si>
  <si>
    <t>74 -6</t>
  </si>
  <si>
    <r>
      <rPr>
        <rFont val="Poppins, Arial, Helvetica, sans-serif"/>
        <color rgb="FF1155CC"/>
        <u/>
      </rPr>
      <t>Jalen Hurts</t>
    </r>
    <r>
      <rPr>
        <rFont val="Poppins, Arial, Helvetica, sans-serif"/>
      </rPr>
      <t>PHI (10)</t>
    </r>
  </si>
  <si>
    <r>
      <rPr>
        <rFont val="Poppins, Arial, Helvetica, sans-serif"/>
        <color rgb="FF1155CC"/>
        <sz val="9.0"/>
        <u/>
      </rPr>
      <t>TreVeyon Henderson</t>
    </r>
    <r>
      <rPr>
        <rFont val="Poppins, Arial, Helvetica, sans-serif"/>
        <sz val="9.0"/>
      </rPr>
      <t xml:space="preserve"> (NE)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</si>
  <si>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Watson</t>
    </r>
    <r>
      <rPr>
        <rFont val="Roboto, sans-serif"/>
      </rPr>
      <t xml:space="preserve">
GBWR13</t>
    </r>
  </si>
  <si>
    <t>C. Rodriguez Jr.</t>
  </si>
  <si>
    <t>RB-34</t>
  </si>
  <si>
    <t>63 +6</t>
  </si>
  <si>
    <r>
      <rPr>
        <rFont val="Poppins, Arial, Helvetica, sans-serif"/>
        <color rgb="FF1155CC"/>
        <u/>
      </rPr>
      <t>Tony Pollard</t>
    </r>
    <r>
      <rPr>
        <rFont val="Poppins, Arial, Helvetica, sans-serif"/>
      </rPr>
      <t>TEN (9)</t>
    </r>
  </si>
  <si>
    <t>WR33</t>
  </si>
  <si>
    <r>
      <rPr>
        <rFont val="Poppins, Arial, Helvetica, sans-serif"/>
        <color rgb="FF1155CC"/>
        <sz val="9.0"/>
        <u/>
      </rPr>
      <t>Tucker Kraft</t>
    </r>
    <r>
      <rPr>
        <rFont val="Poppins, Arial, Helvetica, sans-serif"/>
        <sz val="9.0"/>
      </rPr>
      <t xml:space="preserve"> (GB)</t>
    </r>
  </si>
  <si>
    <t>M. Lemon</t>
  </si>
  <si>
    <t>WR-41</t>
  </si>
  <si>
    <t>RB30</t>
  </si>
  <si>
    <t>C. Hubbard</t>
  </si>
  <si>
    <t>75 -5</t>
  </si>
  <si>
    <t>RB-35</t>
  </si>
  <si>
    <r>
      <rPr>
        <rFont val="Poppins, Arial, Helvetica, sans-serif"/>
        <color rgb="FF1155CC"/>
        <u/>
      </rPr>
      <t>Carnell Tate</t>
    </r>
    <r>
      <rPr>
        <rFont val="Poppins, Arial, Helvetica, sans-serif"/>
      </rPr>
      <t>TEN (9)</t>
    </r>
  </si>
  <si>
    <r>
      <rPr>
        <rFont val="Poppins, Arial, Helvetica, sans-serif"/>
        <color rgb="FF1155CC"/>
        <sz val="9.0"/>
        <u/>
      </rPr>
      <t>DJ Moore</t>
    </r>
    <r>
      <rPr>
        <rFont val="Poppins, Arial, Helvetica, sans-serif"/>
        <sz val="9.0"/>
      </rPr>
      <t xml:space="preserve"> (BUF)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</si>
  <si>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Nabers</t>
    </r>
    <r>
      <rPr>
        <rFont val="Roboto, sans-serif"/>
      </rPr>
      <t xml:space="preserve">
NYGWR14</t>
    </r>
  </si>
  <si>
    <t>C. Williams</t>
  </si>
  <si>
    <t>QB-10</t>
  </si>
  <si>
    <t>WR30</t>
  </si>
  <si>
    <t>70 +1</t>
  </si>
  <si>
    <r>
      <rPr>
        <rFont val="Poppins, Arial, Helvetica, sans-serif"/>
        <color rgb="FF1155CC"/>
        <u/>
      </rPr>
      <t>Kyle Monangai</t>
    </r>
    <r>
      <rPr>
        <rFont val="Poppins, Arial, Helvetica, sans-serif"/>
      </rPr>
      <t>CHI (10)</t>
    </r>
  </si>
  <si>
    <r>
      <rPr>
        <rFont val="Poppins, Arial, Helvetica, sans-serif"/>
        <color rgb="FF1155CC"/>
        <sz val="9.0"/>
        <u/>
      </rPr>
      <t>Bhayshul Tuten</t>
    </r>
    <r>
      <rPr>
        <rFont val="Poppins, Arial, Helvetica, sans-serif"/>
        <sz val="9.0"/>
      </rPr>
      <t xml:space="preserve"> (JAC)</t>
    </r>
  </si>
  <si>
    <t>B. Corum</t>
  </si>
  <si>
    <t>RB-36</t>
  </si>
  <si>
    <t>RB31</t>
  </si>
  <si>
    <t>88 -16</t>
  </si>
  <si>
    <r>
      <rPr>
        <rFont val="Poppins, Arial, Helvetica, sans-serif"/>
        <color rgb="FF1155CC"/>
        <u/>
      </rPr>
      <t>Michael Wilson</t>
    </r>
    <r>
      <rPr>
        <rFont val="Poppins, Arial, Helvetica, sans-serif"/>
      </rPr>
      <t>ARI (14)</t>
    </r>
  </si>
  <si>
    <r>
      <rPr>
        <rFont val="Poppins, Arial, Helvetica, sans-serif"/>
        <color rgb="FF1155CC"/>
        <sz val="9.0"/>
        <u/>
      </rPr>
      <t>Tyler Warren</t>
    </r>
    <r>
      <rPr>
        <rFont val="Poppins, Arial, Helvetica, sans-serif"/>
        <sz val="9.0"/>
      </rPr>
      <t xml:space="preserve"> (IND)</t>
    </r>
  </si>
  <si>
    <t>T. Kelce</t>
  </si>
  <si>
    <t>TE-10</t>
  </si>
  <si>
    <t>WR31</t>
  </si>
  <si>
    <t>94 -21</t>
  </si>
  <si>
    <t>D. Kincaid</t>
  </si>
  <si>
    <r>
      <rPr>
        <rFont val="Poppins, Arial, Helvetica, sans-serif"/>
        <color rgb="FF1155CC"/>
        <sz val="9.0"/>
        <u/>
      </rPr>
      <t>Jadarian Price</t>
    </r>
    <r>
      <rPr>
        <rFont val="Poppins, Arial, Helvetica, sans-serif"/>
        <sz val="9.0"/>
      </rPr>
      <t xml:space="preserve"> (SEA)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</si>
  <si>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olston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Loveland</t>
    </r>
    <r>
      <rPr>
        <rFont val="Roboto, sans-serif"/>
      </rPr>
      <t xml:space="preserve">
CHITE2</t>
    </r>
  </si>
  <si>
    <r>
      <rPr>
        <rFont val="Poppins, Arial, Helvetica, sans-serif"/>
        <color rgb="FF1155CC"/>
        <u/>
      </rPr>
      <t>Brian Thomas Jr.</t>
    </r>
    <r>
      <rPr>
        <rFont val="Poppins, Arial, Helvetica, sans-serif"/>
      </rPr>
      <t>JAC (7)</t>
    </r>
  </si>
  <si>
    <t>TE-11</t>
  </si>
  <si>
    <t>C. Sutton</t>
  </si>
  <si>
    <t>WR32</t>
  </si>
  <si>
    <t>WR-42</t>
  </si>
  <si>
    <t>76 -2</t>
  </si>
  <si>
    <r>
      <rPr>
        <rFont val="Poppins, Arial, Helvetica, sans-serif"/>
        <color rgb="FF1155CC"/>
        <sz val="9.0"/>
        <u/>
      </rPr>
      <t>Caleb Williams</t>
    </r>
    <r>
      <rPr>
        <rFont val="Poppins, Arial, Helvetica, sans-serif"/>
        <sz val="9.0"/>
      </rPr>
      <t xml:space="preserve"> (CHI)</t>
    </r>
  </si>
  <si>
    <r>
      <rPr>
        <rFont val="Poppins, Arial, Helvetica, sans-serif"/>
        <color rgb="FF1155CC"/>
        <u/>
      </rPr>
      <t>Kyle Pitts Sr.</t>
    </r>
    <r>
      <rPr>
        <rFont val="Poppins, Arial, Helvetica, sans-serif"/>
      </rPr>
      <t>ATL (11)</t>
    </r>
  </si>
  <si>
    <t>D. Prescott</t>
  </si>
  <si>
    <t>QB-11</t>
  </si>
  <si>
    <t>QB7</t>
  </si>
  <si>
    <t>TE6</t>
  </si>
  <si>
    <t>73 +2</t>
  </si>
  <si>
    <r>
      <rPr>
        <rFont val="Poppins, Arial, Helvetica, sans-serif"/>
        <color rgb="FF1155CC"/>
        <sz val="9.0"/>
        <u/>
      </rPr>
      <t>Justin Herbert</t>
    </r>
    <r>
      <rPr>
        <rFont val="Poppins, Arial, Helvetica, sans-serif"/>
        <sz val="9.0"/>
      </rPr>
      <t xml:space="preserve"> (LAC)</t>
    </r>
  </si>
  <si>
    <r>
      <rPr>
        <rFont val="Poppins, Arial, Helvetica, sans-serif"/>
        <color rgb="FF1155CC"/>
        <u/>
      </rPr>
      <t>Tucker Kraft</t>
    </r>
    <r>
      <rPr>
        <rFont val="Poppins, Arial, Helvetica, sans-serif"/>
      </rPr>
      <t>GB (11)</t>
    </r>
  </si>
  <si>
    <t>M. Pittman Jr.</t>
  </si>
  <si>
    <t>WR-43</t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</si>
  <si>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Flowers</t>
    </r>
    <r>
      <rPr>
        <rFont val="Roboto, sans-serif"/>
      </rPr>
      <t xml:space="preserve">
BALWR15</t>
    </r>
  </si>
  <si>
    <t>QB8</t>
  </si>
  <si>
    <t>TE7</t>
  </si>
  <si>
    <t>66 +10</t>
  </si>
  <si>
    <r>
      <rPr>
        <rFont val="Poppins, Arial, Helvetica, sans-serif"/>
        <color rgb="FF1155CC"/>
        <u/>
      </rPr>
      <t>Courtland Sutton</t>
    </r>
    <r>
      <rPr>
        <rFont val="Poppins, Arial, Helvetica, sans-serif"/>
      </rPr>
      <t>DEN (10)</t>
    </r>
  </si>
  <si>
    <t>M. Andrews</t>
  </si>
  <si>
    <t>Tier 7</t>
  </si>
  <si>
    <t>TE-12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</si>
  <si>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</si>
  <si>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Brian Thomas Jr.</t>
    </r>
    <r>
      <rPr>
        <rFont val="Poppins, Arial, Helvetica, sans-serif"/>
        <sz val="9.0"/>
      </rPr>
      <t xml:space="preserve"> (JAC)</t>
    </r>
  </si>
  <si>
    <t>85 -8</t>
  </si>
  <si>
    <t>K. Gainwell</t>
  </si>
  <si>
    <r>
      <rPr>
        <rFont val="Poppins, Arial, Helvetica, sans-serif"/>
        <color rgb="FF1155CC"/>
        <u/>
      </rPr>
      <t>Chuba Hubbard</t>
    </r>
    <r>
      <rPr>
        <rFont val="Poppins, Arial, Helvetica, sans-serif"/>
      </rPr>
      <t>CAR (5)</t>
    </r>
  </si>
  <si>
    <t>RB-37</t>
  </si>
  <si>
    <r>
      <rPr>
        <rFont val="Poppins, Arial, Helvetica, sans-serif"/>
        <color rgb="FF1155CC"/>
        <sz val="9.0"/>
        <u/>
      </rPr>
      <t>Marvin Harrison Jr.</t>
    </r>
    <r>
      <rPr>
        <rFont val="Poppins, Arial, Helvetica, sans-serif"/>
        <sz val="9.0"/>
      </rPr>
      <t xml:space="preserve"> (ARI)</t>
    </r>
  </si>
  <si>
    <t>W. Robinson</t>
  </si>
  <si>
    <t>RB32</t>
  </si>
  <si>
    <t>WR-44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</si>
  <si>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avonte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DALRB14</t>
    </r>
  </si>
  <si>
    <t>69 +9</t>
  </si>
  <si>
    <r>
      <rPr>
        <rFont val="Poppins, Arial, Helvetica, sans-serif"/>
        <color rgb="FF1155CC"/>
        <u/>
      </rPr>
      <t>Jadarian Price</t>
    </r>
    <r>
      <rPr>
        <rFont val="Poppins, Arial, Helvetica, sans-serif"/>
      </rPr>
      <t>SEA (11)</t>
    </r>
  </si>
  <si>
    <t>A. Jones</t>
  </si>
  <si>
    <t>RB-38</t>
  </si>
  <si>
    <r>
      <rPr>
        <rFont val="Poppins, Arial, Helvetica, sans-serif"/>
        <color rgb="FF1155CC"/>
        <sz val="9.0"/>
        <u/>
      </rPr>
      <t>Trevor Lawrence</t>
    </r>
    <r>
      <rPr>
        <rFont val="Poppins, Arial, Helvetica, sans-serif"/>
        <sz val="9.0"/>
      </rPr>
      <t xml:space="preserve"> (JAC)</t>
    </r>
  </si>
  <si>
    <t>RB33</t>
  </si>
  <si>
    <t>61 +18</t>
  </si>
  <si>
    <r>
      <rPr>
        <rFont val="Poppins, Arial, Helvetica, sans-serif"/>
        <color rgb="FF1155CC"/>
        <u/>
      </rPr>
      <t>J.K. Dobbins</t>
    </r>
    <r>
      <rPr>
        <rFont val="Poppins, Arial, Helvetica, sans-serif"/>
      </rPr>
      <t>DEN (10)</t>
    </r>
  </si>
  <si>
    <t>I. Likely</t>
  </si>
  <si>
    <t>TE-13</t>
  </si>
  <si>
    <t>QB9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</si>
  <si>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Olave</t>
    </r>
    <r>
      <rPr>
        <rFont val="Roboto, sans-serif"/>
      </rPr>
      <t xml:space="preserve">
NOWR16</t>
    </r>
  </si>
  <si>
    <r>
      <rPr>
        <rFont val="Poppins, Arial, Helvetica, sans-serif"/>
        <color rgb="FF1155CC"/>
        <sz val="9.0"/>
        <u/>
      </rPr>
      <t>Tony Pollard</t>
    </r>
    <r>
      <rPr>
        <rFont val="Poppins, Arial, Helvetica, sans-serif"/>
        <sz val="9.0"/>
      </rPr>
      <t xml:space="preserve"> (TEN)</t>
    </r>
  </si>
  <si>
    <t>C. Godwin</t>
  </si>
  <si>
    <t>RB34</t>
  </si>
  <si>
    <t>WR-45</t>
  </si>
  <si>
    <t>89 -9</t>
  </si>
  <si>
    <r>
      <rPr>
        <rFont val="Poppins, Arial, Helvetica, sans-serif"/>
        <color rgb="FF1155CC"/>
        <u/>
      </rPr>
      <t>Blake Corum</t>
    </r>
    <r>
      <rPr>
        <rFont val="Poppins, Arial, Helvetica, sans-serif"/>
      </rPr>
      <t>LAR (11)</t>
    </r>
  </si>
  <si>
    <t>R. Harvey</t>
  </si>
  <si>
    <r>
      <rPr>
        <rFont val="Poppins, Arial, Helvetica, sans-serif"/>
        <color rgb="FF1155CC"/>
        <sz val="9.0"/>
        <u/>
      </rPr>
      <t>Jaylen Warren</t>
    </r>
    <r>
      <rPr>
        <rFont val="Poppins, Arial, Helvetica, sans-serif"/>
        <sz val="9.0"/>
      </rPr>
      <t xml:space="preserve"> (PIT)</t>
    </r>
  </si>
  <si>
    <t>RB-39</t>
  </si>
  <si>
    <t>RB35</t>
  </si>
  <si>
    <t>92 -11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</si>
  <si>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eremiyah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ARIRB15</t>
    </r>
  </si>
  <si>
    <r>
      <rPr>
        <rFont val="Poppins, Arial, Helvetica, sans-serif"/>
        <color rgb="FF1155CC"/>
        <u/>
      </rPr>
      <t>Marvin Harrison Jr.</t>
    </r>
    <r>
      <rPr>
        <rFont val="Poppins, Arial, Helvetica, sans-serif"/>
      </rPr>
      <t>ARI (14)</t>
    </r>
  </si>
  <si>
    <t>J. Meyers</t>
  </si>
  <si>
    <t>WR-46</t>
  </si>
  <si>
    <r>
      <rPr>
        <rFont val="Poppins, Arial, Helvetica, sans-serif"/>
        <color rgb="FF1155CC"/>
        <sz val="9.0"/>
        <u/>
      </rPr>
      <t>Carnell Tate</t>
    </r>
    <r>
      <rPr>
        <rFont val="Poppins, Arial, Helvetica, sans-serif"/>
        <sz val="9.0"/>
      </rPr>
      <t xml:space="preserve"> (TEN)</t>
    </r>
  </si>
  <si>
    <t>WR34</t>
  </si>
  <si>
    <t>72 +10</t>
  </si>
  <si>
    <t>K. Monangai</t>
  </si>
  <si>
    <r>
      <rPr>
        <rFont val="Poppins, Arial, Helvetica, sans-serif"/>
        <color rgb="FF1155CC"/>
        <u/>
      </rPr>
      <t>DK Metcalf</t>
    </r>
    <r>
      <rPr>
        <rFont val="Poppins, Arial, Helvetica, sans-serif"/>
      </rPr>
      <t>PIT (9)</t>
    </r>
  </si>
  <si>
    <t>RB-40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</si>
  <si>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McBride</t>
    </r>
    <r>
      <rPr>
        <rFont val="Roboto, sans-serif"/>
      </rPr>
      <t xml:space="preserve">
ARITE3</t>
    </r>
  </si>
  <si>
    <r>
      <rPr>
        <rFont val="Poppins, Arial, Helvetica, sans-serif"/>
        <color rgb="FF1155CC"/>
        <sz val="9.0"/>
        <u/>
      </rPr>
      <t>Alec Pierce</t>
    </r>
    <r>
      <rPr>
        <rFont val="Poppins, Arial, Helvetica, sans-serif"/>
        <sz val="9.0"/>
      </rPr>
      <t xml:space="preserve"> (IND)</t>
    </r>
  </si>
  <si>
    <t>K. Murray</t>
  </si>
  <si>
    <t>QB-12</t>
  </si>
  <si>
    <t>WR35</t>
  </si>
  <si>
    <t>82 +1</t>
  </si>
  <si>
    <r>
      <rPr>
        <rFont val="Poppins, Arial, Helvetica, sans-serif"/>
        <color rgb="FF1155CC"/>
        <u/>
      </rPr>
      <t>Caleb Williams</t>
    </r>
    <r>
      <rPr>
        <rFont val="Poppins, Arial, Helvetica, sans-serif"/>
      </rPr>
      <t>CHI (10)</t>
    </r>
  </si>
  <si>
    <t>B. Nix</t>
  </si>
  <si>
    <t>QB-13</t>
  </si>
  <si>
    <r>
      <rPr>
        <rFont val="Poppins, Arial, Helvetica, sans-serif"/>
        <color rgb="FF1155CC"/>
        <sz val="9.0"/>
        <u/>
      </rPr>
      <t>DK Metcalf</t>
    </r>
    <r>
      <rPr>
        <rFont val="Poppins, Arial, Helvetica, sans-serif"/>
        <sz val="9.0"/>
      </rPr>
      <t xml:space="preserve"> (PIT)</t>
    </r>
  </si>
  <si>
    <t>J. Dart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</si>
  <si>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yren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LARRB16</t>
    </r>
  </si>
  <si>
    <t>QB-14</t>
  </si>
  <si>
    <t>R. White</t>
  </si>
  <si>
    <t>RB-41</t>
  </si>
  <si>
    <r>
      <rPr>
        <rFont val="Poppins, Arial, Helvetica, sans-serif"/>
        <color rgb="FF1155CC"/>
        <sz val="9.0"/>
        <u/>
      </rPr>
      <t>Dak Prescott</t>
    </r>
    <r>
      <rPr>
        <rFont val="Poppins, Arial, Helvetica, sans-serif"/>
        <sz val="9.0"/>
      </rPr>
      <t xml:space="preserve"> (DAL)</t>
    </r>
  </si>
  <si>
    <t>77 +7</t>
  </si>
  <si>
    <r>
      <rPr>
        <rFont val="Poppins, Arial, Helvetica, sans-serif"/>
        <color rgb="FF1155CC"/>
        <u/>
      </rPr>
      <t>Jordyn Tyson</t>
    </r>
    <r>
      <rPr>
        <rFont val="Poppins, Arial, Helvetica, sans-serif"/>
      </rPr>
      <t>NO (8)</t>
    </r>
  </si>
  <si>
    <t>J. Croskey-Merritt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</si>
  <si>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eVonta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PHIWR17</t>
    </r>
  </si>
  <si>
    <t>RB-42</t>
  </si>
  <si>
    <t>QB10</t>
  </si>
  <si>
    <t>WR36</t>
  </si>
  <si>
    <t>84 +1</t>
  </si>
  <si>
    <r>
      <rPr>
        <rFont val="Poppins, Arial, Helvetica, sans-serif"/>
        <color rgb="FF1155CC"/>
        <sz val="9.0"/>
        <u/>
      </rPr>
      <t>Sam LaPorta</t>
    </r>
    <r>
      <rPr>
        <rFont val="Poppins, Arial, Helvetica, sans-serif"/>
        <sz val="9.0"/>
      </rPr>
      <t xml:space="preserve"> (DET)</t>
    </r>
  </si>
  <si>
    <r>
      <rPr>
        <rFont val="Poppins, Arial, Helvetica, sans-serif"/>
        <color rgb="FF1155CC"/>
        <u/>
      </rPr>
      <t>Parker Washington</t>
    </r>
    <r>
      <rPr>
        <rFont val="Poppins, Arial, Helvetica, sans-serif"/>
      </rPr>
      <t>JAC (7)</t>
    </r>
  </si>
  <si>
    <t>P. Mahomes</t>
  </si>
  <si>
    <t>QB-15</t>
  </si>
  <si>
    <t>WR37</t>
  </si>
  <si>
    <t>M. Stafford</t>
  </si>
  <si>
    <t>90 -4</t>
  </si>
  <si>
    <t>QB-16</t>
  </si>
  <si>
    <r>
      <rPr>
        <rFont val="Poppins, Arial, Helvetica, sans-serif"/>
        <color rgb="FF1155CC"/>
        <u/>
      </rPr>
      <t>Sam LaPorta</t>
    </r>
    <r>
      <rPr>
        <rFont val="Poppins, Arial, Helvetica, sans-serif"/>
      </rPr>
      <t>DET (6)</t>
    </r>
  </si>
  <si>
    <r>
      <rPr>
        <rFont val="Poppins, Arial, Helvetica, sans-serif"/>
        <color rgb="FF1155CC"/>
        <sz val="9.0"/>
        <u/>
      </rPr>
      <t>Rhamondre Stevenson</t>
    </r>
    <r>
      <rPr>
        <rFont val="Poppins, Arial, Helvetica, sans-serif"/>
        <sz val="9.0"/>
      </rPr>
      <t xml:space="preserve"> (NE)</t>
    </r>
  </si>
  <si>
    <t>Z. Charbonnet</t>
  </si>
  <si>
    <t>RB-43</t>
  </si>
  <si>
    <t>TE8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</si>
  <si>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avante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Adams</t>
    </r>
    <r>
      <rPr>
        <rFont val="Roboto, sans-serif"/>
      </rPr>
      <t xml:space="preserve">
LARWR18</t>
    </r>
  </si>
  <si>
    <t>71 +16</t>
  </si>
  <si>
    <r>
      <rPr>
        <rFont val="Poppins, Arial, Helvetica, sans-serif"/>
        <color rgb="FF1155CC"/>
        <sz val="9.0"/>
        <u/>
      </rPr>
      <t>Chuba Hubbard</t>
    </r>
    <r>
      <rPr>
        <rFont val="Poppins, Arial, Helvetica, sans-serif"/>
        <sz val="9.0"/>
      </rPr>
      <t xml:space="preserve"> (CAR)</t>
    </r>
  </si>
  <si>
    <r>
      <rPr>
        <rFont val="Poppins, Arial, Helvetica, sans-serif"/>
        <color rgb="FF1155CC"/>
        <u/>
      </rPr>
      <t>Trevor Lawrence</t>
    </r>
    <r>
      <rPr>
        <rFont val="Poppins, Arial, Helvetica, sans-serif"/>
      </rPr>
      <t>JAC (7)</t>
    </r>
  </si>
  <si>
    <t>C. Okonkwo</t>
  </si>
  <si>
    <t>TE-14</t>
  </si>
  <si>
    <t>87 +1</t>
  </si>
  <si>
    <r>
      <rPr>
        <rFont val="Poppins, Arial, Helvetica, sans-serif"/>
        <color rgb="FF1155CC"/>
        <sz val="9.0"/>
        <u/>
      </rPr>
      <t>Parker Washington</t>
    </r>
    <r>
      <rPr>
        <rFont val="Poppins, Arial, Helvetica, sans-serif"/>
        <sz val="9.0"/>
      </rPr>
      <t xml:space="preserve"> (JAC)</t>
    </r>
  </si>
  <si>
    <r>
      <rPr>
        <rFont val="Poppins, Arial, Helvetica, sans-serif"/>
        <color rgb="FF1155CC"/>
        <u/>
      </rPr>
      <t>Chris Godwin Jr.</t>
    </r>
    <r>
      <rPr>
        <rFont val="Poppins, Arial, Helvetica, sans-serif"/>
      </rPr>
      <t>TB (10)</t>
    </r>
  </si>
  <si>
    <t>J. Reed</t>
  </si>
  <si>
    <t>WR-47</t>
  </si>
  <si>
    <t>J. Higgins</t>
  </si>
  <si>
    <t>WR38</t>
  </si>
  <si>
    <t>91 -2</t>
  </si>
  <si>
    <t>WR-48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</si>
  <si>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Waddle</t>
    </r>
    <r>
      <rPr>
        <rFont val="Roboto, sans-serif"/>
      </rPr>
      <t xml:space="preserve">
DENWR19</t>
    </r>
  </si>
  <si>
    <r>
      <rPr>
        <rFont val="Poppins, Arial, Helvetica, sans-serif"/>
        <color rgb="FF1155CC"/>
        <u/>
      </rPr>
      <t>Justin Herbert</t>
    </r>
    <r>
      <rPr>
        <rFont val="Poppins, Arial, Helvetica, sans-serif"/>
      </rPr>
      <t>LAC (7)</t>
    </r>
  </si>
  <si>
    <r>
      <rPr>
        <rFont val="Poppins, Arial, Helvetica, sans-serif"/>
        <color rgb="FF1155CC"/>
        <sz val="9.0"/>
        <u/>
      </rPr>
      <t>Courtland Sutton</t>
    </r>
    <r>
      <rPr>
        <rFont val="Poppins, Arial, Helvetica, sans-serif"/>
        <sz val="9.0"/>
      </rPr>
      <t xml:space="preserve"> (DEN)</t>
    </r>
  </si>
  <si>
    <t>K. Mitchell</t>
  </si>
  <si>
    <t>RB-44</t>
  </si>
  <si>
    <t>80 +10</t>
  </si>
  <si>
    <r>
      <rPr>
        <rFont val="Poppins, Arial, Helvetica, sans-serif"/>
        <color rgb="FF1155CC"/>
        <u/>
      </rPr>
      <t>Dak Prescott</t>
    </r>
    <r>
      <rPr>
        <rFont val="Poppins, Arial, Helvetica, sans-serif"/>
      </rPr>
      <t>DAL (14)</t>
    </r>
  </si>
  <si>
    <r>
      <rPr>
        <rFont val="Poppins, Arial, Helvetica, sans-serif"/>
        <color rgb="FF1155CC"/>
        <sz val="9.0"/>
        <u/>
      </rPr>
      <t>Rico Dowdle</t>
    </r>
    <r>
      <rPr>
        <rFont val="Poppins, Arial, Helvetica, sans-serif"/>
        <sz val="9.0"/>
      </rPr>
      <t xml:space="preserve"> (PIT)</t>
    </r>
  </si>
  <si>
    <t>J. Goff</t>
  </si>
  <si>
    <t>QB-17</t>
  </si>
  <si>
    <t>78 +13</t>
  </si>
  <si>
    <t>J. Ferguson</t>
  </si>
  <si>
    <r>
      <rPr>
        <rFont val="Poppins, Arial, Helvetica, sans-serif"/>
        <color rgb="FF1155CC"/>
        <sz val="9.0"/>
        <u/>
      </rPr>
      <t>J.K. Dobbins</t>
    </r>
    <r>
      <rPr>
        <rFont val="Poppins, Arial, Helvetica, sans-serif"/>
        <sz val="9.0"/>
      </rPr>
      <t xml:space="preserve"> (DEN)</t>
    </r>
  </si>
  <si>
    <r>
      <rPr>
        <rFont val="Poppins, Arial, Helvetica, sans-serif"/>
        <color rgb="FF1155CC"/>
        <u/>
      </rPr>
      <t>Jaxson Dart</t>
    </r>
    <r>
      <rPr>
        <rFont val="Poppins, Arial, Helvetica, sans-serif"/>
      </rPr>
      <t>NYG (8)</t>
    </r>
  </si>
  <si>
    <t>TE-15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</si>
  <si>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Etienne</t>
    </r>
    <r>
      <rPr>
        <rFont val="Roboto, sans-serif"/>
      </rPr>
      <t xml:space="preserve">
NORB17</t>
    </r>
  </si>
  <si>
    <t>K. Concepcion</t>
  </si>
  <si>
    <r>
      <rPr>
        <rFont val="Poppins, Arial, Helvetica, sans-serif"/>
        <color rgb="FF1155CC"/>
        <sz val="9.0"/>
        <u/>
      </rPr>
      <t>Harold Fannin Jr.</t>
    </r>
    <r>
      <rPr>
        <rFont val="Poppins, Arial, Helvetica, sans-serif"/>
        <sz val="9.0"/>
      </rPr>
      <t xml:space="preserve"> (CLE)</t>
    </r>
  </si>
  <si>
    <t>QB11</t>
  </si>
  <si>
    <t>86 +6</t>
  </si>
  <si>
    <t>WR-49</t>
  </si>
  <si>
    <r>
      <rPr>
        <rFont val="Poppins, Arial, Helvetica, sans-serif"/>
        <color rgb="FF1155CC"/>
        <u/>
      </rPr>
      <t>Jakobi Meyers</t>
    </r>
    <r>
      <rPr>
        <rFont val="Poppins, Arial, Helvetica, sans-serif"/>
      </rPr>
      <t>JAC (7)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</si>
  <si>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INDTE4</t>
    </r>
  </si>
  <si>
    <r>
      <rPr>
        <rFont val="Poppins, Arial, Helvetica, sans-serif"/>
        <color rgb="FF1155CC"/>
        <sz val="9.0"/>
        <u/>
      </rPr>
      <t>Kyle Pitts Sr.</t>
    </r>
    <r>
      <rPr>
        <rFont val="Poppins, Arial, Helvetica, sans-serif"/>
        <sz val="9.0"/>
      </rPr>
      <t xml:space="preserve"> (ATL)</t>
    </r>
  </si>
  <si>
    <t>T. Allgeier</t>
  </si>
  <si>
    <t>RB-45</t>
  </si>
  <si>
    <t>WR39</t>
  </si>
  <si>
    <t>111 -18</t>
  </si>
  <si>
    <r>
      <rPr>
        <rFont val="Poppins, Arial, Helvetica, sans-serif"/>
        <color rgb="FF1155CC"/>
        <u/>
      </rPr>
      <t>Wan'Dale Robinson</t>
    </r>
    <r>
      <rPr>
        <rFont val="Poppins, Arial, Helvetica, sans-serif"/>
      </rPr>
      <t>TEN (9)</t>
    </r>
  </si>
  <si>
    <t>B. Strange</t>
  </si>
  <si>
    <r>
      <rPr>
        <rFont val="Poppins, Arial, Helvetica, sans-serif"/>
        <color rgb="FF1155CC"/>
        <sz val="9.0"/>
        <u/>
      </rPr>
      <t>Blake Corum</t>
    </r>
    <r>
      <rPr>
        <rFont val="Poppins, Arial, Helvetica, sans-serif"/>
        <sz val="9.0"/>
      </rPr>
      <t xml:space="preserve"> (LAR)</t>
    </r>
  </si>
  <si>
    <t>TE-16</t>
  </si>
  <si>
    <t>R. Shaheed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</si>
  <si>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Evans</t>
    </r>
    <r>
      <rPr>
        <rFont val="Roboto, sans-serif"/>
      </rPr>
      <t xml:space="preserve">
SFWR20</t>
    </r>
  </si>
  <si>
    <t>WR-50</t>
  </si>
  <si>
    <r>
      <rPr>
        <rFont val="Poppins, Arial, Helvetica, sans-serif"/>
        <color rgb="FF1155CC"/>
        <sz val="9.0"/>
        <u/>
      </rPr>
      <t>Quentin Johnston</t>
    </r>
    <r>
      <rPr>
        <rFont val="Poppins, Arial, Helvetica, sans-serif"/>
        <sz val="9.0"/>
      </rPr>
      <t xml:space="preserve"> (LAC)</t>
    </r>
  </si>
  <si>
    <t>WR40</t>
  </si>
  <si>
    <t>120 -26</t>
  </si>
  <si>
    <t>T. Tracy</t>
  </si>
  <si>
    <r>
      <rPr>
        <rFont val="Poppins, Arial, Helvetica, sans-serif"/>
        <color rgb="FF1155CC"/>
        <u/>
      </rPr>
      <t>Makai Lemon</t>
    </r>
    <r>
      <rPr>
        <rFont val="Poppins, Arial, Helvetica, sans-serif"/>
      </rPr>
      <t>PHI (10)</t>
    </r>
  </si>
  <si>
    <t>RB-46</t>
  </si>
  <si>
    <r>
      <rPr>
        <rFont val="Poppins, Arial, Helvetica, sans-serif"/>
        <color rgb="FF1155CC"/>
        <sz val="9.0"/>
        <u/>
      </rPr>
      <t>Jaxson Dart</t>
    </r>
    <r>
      <rPr>
        <rFont val="Poppins, Arial, Helvetica, sans-serif"/>
        <sz val="9.0"/>
      </rPr>
      <t xml:space="preserve"> (NYG)</t>
    </r>
  </si>
  <si>
    <t>D. Goedert</t>
  </si>
  <si>
    <t>TE-17</t>
  </si>
  <si>
    <t>WR41</t>
  </si>
  <si>
    <t>RB-47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</si>
  <si>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DETWR21</t>
    </r>
  </si>
  <si>
    <r>
      <rPr>
        <rFont val="Poppins, Arial, Helvetica, sans-serif"/>
        <color rgb="FF1155CC"/>
        <u/>
      </rPr>
      <t>Kenny Gainwell</t>
    </r>
    <r>
      <rPr>
        <rFont val="Poppins, Arial, Helvetica, sans-serif"/>
      </rPr>
      <t>TB (10)</t>
    </r>
  </si>
  <si>
    <r>
      <rPr>
        <rFont val="Poppins, Arial, Helvetica, sans-serif"/>
        <color rgb="FF1155CC"/>
        <sz val="9.0"/>
        <u/>
      </rPr>
      <t>Kyle Monangai</t>
    </r>
    <r>
      <rPr>
        <rFont val="Poppins, Arial, Helvetica, sans-serif"/>
        <sz val="9.0"/>
      </rPr>
      <t xml:space="preserve"> (CHI)</t>
    </r>
  </si>
  <si>
    <t>H. Henry</t>
  </si>
  <si>
    <t>TE-18</t>
  </si>
  <si>
    <t>RB36</t>
  </si>
  <si>
    <t>D. Sampson</t>
  </si>
  <si>
    <r>
      <rPr>
        <rFont val="Poppins, Arial, Helvetica, sans-serif"/>
        <color rgb="FF1155CC"/>
        <u/>
      </rPr>
      <t>Alec Pierce</t>
    </r>
    <r>
      <rPr>
        <rFont val="Poppins, Arial, Helvetica, sans-serif"/>
      </rPr>
      <t>IND (13)</t>
    </r>
  </si>
  <si>
    <r>
      <rPr>
        <rFont val="Poppins, Arial, Helvetica, sans-serif"/>
        <color rgb="FF1155CC"/>
        <sz val="9.0"/>
        <u/>
      </rPr>
      <t>Brock Purdy</t>
    </r>
    <r>
      <rPr>
        <rFont val="Poppins, Arial, Helvetica, sans-serif"/>
        <sz val="9.0"/>
      </rPr>
      <t xml:space="preserve"> (SF)</t>
    </r>
  </si>
  <si>
    <t>RB-48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</si>
  <si>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NYJWR22</t>
    </r>
  </si>
  <si>
    <t>W. Marks</t>
  </si>
  <si>
    <t>QB12</t>
  </si>
  <si>
    <t>RB-49</t>
  </si>
  <si>
    <t>WR42</t>
  </si>
  <si>
    <t>79 +18</t>
  </si>
  <si>
    <r>
      <rPr>
        <rFont val="Poppins, Arial, Helvetica, sans-serif"/>
        <color rgb="FF1155CC"/>
        <u/>
      </rPr>
      <t>Dalton Kincaid</t>
    </r>
    <r>
      <rPr>
        <rFont val="Poppins, Arial, Helvetica, sans-serif"/>
      </rPr>
      <t>BUF (7)</t>
    </r>
  </si>
  <si>
    <r>
      <rPr>
        <rFont val="Poppins, Arial, Helvetica, sans-serif"/>
        <color rgb="FF1155CC"/>
        <sz val="9.0"/>
        <u/>
      </rPr>
      <t>Chris Godwin Jr.</t>
    </r>
    <r>
      <rPr>
        <rFont val="Poppins, Arial, Helvetica, sans-serif"/>
        <sz val="9.0"/>
      </rPr>
      <t xml:space="preserve"> (TB)</t>
    </r>
  </si>
  <si>
    <t>I. Pacheco</t>
  </si>
  <si>
    <t>TE9</t>
  </si>
  <si>
    <t>RB-50</t>
  </si>
  <si>
    <t>108 -10</t>
  </si>
  <si>
    <r>
      <rPr>
        <rFont val="Poppins, Arial, Helvetica, sans-serif"/>
        <color rgb="FF1155CC"/>
        <sz val="9.0"/>
        <u/>
      </rPr>
      <t>Jordyn Tyson</t>
    </r>
    <r>
      <rPr>
        <rFont val="Poppins, Arial, Helvetica, sans-serif"/>
        <sz val="9.0"/>
      </rPr>
      <t xml:space="preserve"> (NO)</t>
    </r>
  </si>
  <si>
    <r>
      <rPr>
        <rFont val="Poppins, Arial, Helvetica, sans-serif"/>
        <color rgb="FF1155CC"/>
        <u/>
      </rPr>
      <t>Jacory Croskey-Merritt</t>
    </r>
    <r>
      <rPr>
        <rFont val="Poppins, Arial, Helvetica, sans-serif"/>
      </rPr>
      <t>WAS (7)</t>
    </r>
  </si>
  <si>
    <t>B. Mayfield</t>
  </si>
  <si>
    <t>QB-18</t>
  </si>
  <si>
    <r>
      <rPr>
        <rFont val="Poppins, Arial, Helvetica, sans-serif"/>
        <color rgb="FF1155CC"/>
        <sz val="9.0"/>
        <u/>
      </rPr>
      <t>Jordan Addison</t>
    </r>
    <r>
      <rPr>
        <rFont val="Poppins, Arial, Helvetica, sans-serif"/>
        <sz val="9.0"/>
      </rPr>
      <t xml:space="preserve"> (MIN)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</si>
  <si>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reece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Hall</t>
    </r>
    <r>
      <rPr>
        <rFont val="Roboto, sans-serif"/>
      </rPr>
      <t xml:space="preserve">
NYJRB18</t>
    </r>
  </si>
  <si>
    <t>RB37</t>
  </si>
  <si>
    <t>D. Samuel</t>
  </si>
  <si>
    <t>109 -10</t>
  </si>
  <si>
    <t>WR-51</t>
  </si>
  <si>
    <r>
      <rPr>
        <rFont val="Poppins, Arial, Helvetica, sans-serif"/>
        <color rgb="FF1155CC"/>
        <u/>
      </rPr>
      <t>Aaron Jones Sr.</t>
    </r>
    <r>
      <rPr>
        <rFont val="Poppins, Arial, Helvetica, sans-serif"/>
      </rPr>
      <t>MIN (6)</t>
    </r>
  </si>
  <si>
    <t>QB-19</t>
  </si>
  <si>
    <r>
      <rPr>
        <rFont val="Poppins, Arial, Helvetica, sans-serif"/>
        <color rgb="FF1155CC"/>
        <sz val="9.0"/>
        <u/>
      </rPr>
      <t>George Kittle</t>
    </r>
    <r>
      <rPr>
        <rFont val="Poppins, Arial, Helvetica, sans-serif"/>
        <sz val="9.0"/>
      </rPr>
      <t xml:space="preserve"> (SF)</t>
    </r>
  </si>
  <si>
    <t>RB38</t>
  </si>
  <si>
    <t>113 -13</t>
  </si>
  <si>
    <t>T. Bigsby</t>
  </si>
  <si>
    <t>RB-51</t>
  </si>
  <si>
    <r>
      <rPr>
        <rFont val="Poppins, Arial, Helvetica, sans-serif"/>
        <color rgb="FF1155CC"/>
        <u/>
      </rPr>
      <t>Isaiah Likely</t>
    </r>
    <r>
      <rPr>
        <rFont val="Poppins, Arial, Helvetica, sans-serif"/>
      </rPr>
      <t>NYG (8)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</si>
  <si>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etairoa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CARWR23</t>
    </r>
  </si>
  <si>
    <t>M. Willis</t>
  </si>
  <si>
    <t>QB-20</t>
  </si>
  <si>
    <r>
      <rPr>
        <rFont val="Poppins, Arial, Helvetica, sans-serif"/>
        <color rgb="FF1155CC"/>
        <sz val="9.0"/>
        <u/>
      </rPr>
      <t>Bo Nix</t>
    </r>
    <r>
      <rPr>
        <rFont val="Poppins, Arial, Helvetica, sans-serif"/>
        <sz val="9.0"/>
      </rPr>
      <t xml:space="preserve"> (DEN)</t>
    </r>
  </si>
  <si>
    <t>T. Spears</t>
  </si>
  <si>
    <t>TE10</t>
  </si>
  <si>
    <t>RB-52</t>
  </si>
  <si>
    <t>QB13</t>
  </si>
  <si>
    <r>
      <rPr>
        <rFont val="Poppins, Arial, Helvetica, sans-serif"/>
        <color rgb="FF1155CC"/>
        <u/>
      </rPr>
      <t>Travis Kelce</t>
    </r>
    <r>
      <rPr>
        <rFont val="Poppins, Arial, Helvetica, sans-serif"/>
      </rPr>
      <t>KC (5)</t>
    </r>
  </si>
  <si>
    <t>Tier 8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</si>
  <si>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Jackson</t>
    </r>
    <r>
      <rPr>
        <rFont val="Roboto, sans-serif"/>
      </rPr>
      <t xml:space="preserve">
BALQB2</t>
    </r>
  </si>
  <si>
    <r>
      <rPr>
        <rFont val="Poppins, Arial, Helvetica, sans-serif"/>
        <color rgb="FF1155CC"/>
        <u/>
      </rPr>
      <t>Customize Tiers</t>
    </r>
  </si>
  <si>
    <t>J. Addison</t>
  </si>
  <si>
    <r>
      <rPr>
        <rFont val="Poppins, Arial, Helvetica, sans-serif"/>
        <color rgb="FF1155CC"/>
        <sz val="9.0"/>
        <u/>
      </rPr>
      <t>RJ Harvey</t>
    </r>
    <r>
      <rPr>
        <rFont val="Poppins, Arial, Helvetica, sans-serif"/>
        <sz val="9.0"/>
      </rPr>
      <t xml:space="preserve"> (DEN)</t>
    </r>
  </si>
  <si>
    <t>WR-52</t>
  </si>
  <si>
    <t>TE11</t>
  </si>
  <si>
    <t>K. Black</t>
  </si>
  <si>
    <t>103 -1</t>
  </si>
  <si>
    <t>RB-53</t>
  </si>
  <si>
    <r>
      <rPr>
        <rFont val="Poppins, Arial, Helvetica, sans-serif"/>
        <color rgb="FF1155CC"/>
        <u/>
      </rPr>
      <t>Jordan Mason</t>
    </r>
    <r>
      <rPr>
        <rFont val="Poppins, Arial, Helvetica, sans-serif"/>
      </rPr>
      <t>MIN (6)</t>
    </r>
  </si>
  <si>
    <r>
      <rPr>
        <rFont val="Poppins, Arial, Helvetica, sans-serif"/>
        <color rgb="FF1155CC"/>
        <sz val="9.0"/>
        <u/>
      </rPr>
      <t>Patrick Mahomes II</t>
    </r>
    <r>
      <rPr>
        <rFont val="Poppins, Arial, Helvetica, sans-serif"/>
        <sz val="9.0"/>
      </rPr>
      <t xml:space="preserve"> (KC)</t>
    </r>
  </si>
  <si>
    <t>M. Golden</t>
  </si>
  <si>
    <t>WR-53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</si>
  <si>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meka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Egbuka</t>
    </r>
    <r>
      <rPr>
        <rFont val="Roboto, sans-serif"/>
      </rPr>
      <t xml:space="preserve">
TBWR24</t>
    </r>
  </si>
  <si>
    <t>RB39</t>
  </si>
  <si>
    <t>104 -1</t>
  </si>
  <si>
    <t>QB14</t>
  </si>
  <si>
    <r>
      <rPr>
        <rFont val="Poppins, Arial, Helvetica, sans-serif"/>
        <color rgb="FF1155CC"/>
        <u/>
      </rPr>
      <t>Michael Pittman Jr.</t>
    </r>
    <r>
      <rPr>
        <rFont val="Poppins, Arial, Helvetica, sans-serif"/>
      </rPr>
      <t>PIT (9)</t>
    </r>
  </si>
  <si>
    <t>K. Shakir</t>
  </si>
  <si>
    <t>WR-54</t>
  </si>
  <si>
    <r>
      <rPr>
        <rFont val="Poppins, Arial, Helvetica, sans-serif"/>
        <color rgb="FF1155CC"/>
        <sz val="9.0"/>
        <u/>
      </rPr>
      <t>Michael Wilson</t>
    </r>
    <r>
      <rPr>
        <rFont val="Poppins, Arial, Helvetica, sans-serif"/>
        <sz val="9.0"/>
      </rPr>
      <t xml:space="preserve"> (ARI)</t>
    </r>
  </si>
  <si>
    <t>T. Shough</t>
  </si>
  <si>
    <t>QB-21</t>
  </si>
  <si>
    <t>WR43</t>
  </si>
  <si>
    <t>110 -6</t>
  </si>
  <si>
    <r>
      <rPr>
        <rFont val="Poppins, Arial, Helvetica, sans-serif"/>
        <color rgb="FF1155CC"/>
        <sz val="9.0"/>
        <u/>
      </rPr>
      <t>Matthew Stafford</t>
    </r>
    <r>
      <rPr>
        <rFont val="Poppins, Arial, Helvetica, sans-serif"/>
        <sz val="9.0"/>
      </rPr>
      <t xml:space="preserve"> (LAR)</t>
    </r>
  </si>
  <si>
    <r>
      <rPr>
        <rFont val="Poppins, Arial, Helvetica, sans-serif"/>
        <color rgb="FF1155CC"/>
        <u/>
      </rPr>
      <t>Jake Ferguson</t>
    </r>
    <r>
      <rPr>
        <rFont val="Poppins, Arial, Helvetica, sans-serif"/>
      </rPr>
      <t>DAL (14)</t>
    </r>
  </si>
  <si>
    <t>G. Dulcich</t>
  </si>
  <si>
    <t>TE-19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</si>
  <si>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McLaurin</t>
    </r>
    <r>
      <rPr>
        <rFont val="Roboto, sans-serif"/>
      </rPr>
      <t xml:space="preserve">
WASWR25</t>
    </r>
  </si>
  <si>
    <t>QB15</t>
  </si>
  <si>
    <t>K. Sadiq</t>
  </si>
  <si>
    <r>
      <rPr>
        <rFont val="Poppins, Arial, Helvetica, sans-serif"/>
        <color rgb="FF1155CC"/>
        <sz val="9.0"/>
        <u/>
      </rPr>
      <t>Jacory Croskey-Merritt</t>
    </r>
    <r>
      <rPr>
        <rFont val="Poppins, Arial, Helvetica, sans-serif"/>
        <sz val="9.0"/>
      </rPr>
      <t xml:space="preserve"> (WAS)</t>
    </r>
  </si>
  <si>
    <t>TE-20</t>
  </si>
  <si>
    <t>TE12</t>
  </si>
  <si>
    <t>117 -12</t>
  </si>
  <si>
    <r>
      <rPr>
        <rFont val="Poppins, Arial, Helvetica, sans-serif"/>
        <color rgb="FF1155CC"/>
        <u/>
      </rPr>
      <t>Patrick Mahomes II</t>
    </r>
    <r>
      <rPr>
        <rFont val="Poppins, Arial, Helvetica, sans-serif"/>
      </rPr>
      <t>KC (5)</t>
    </r>
  </si>
  <si>
    <t>R. Doubs</t>
  </si>
  <si>
    <t>WR-55</t>
  </si>
  <si>
    <r>
      <rPr>
        <rFont val="Poppins, Arial, Helvetica, sans-serif"/>
        <color rgb="FF1155CC"/>
        <sz val="9.0"/>
        <u/>
      </rPr>
      <t>Makai Lemon</t>
    </r>
    <r>
      <rPr>
        <rFont val="Poppins, Arial, Helvetica, sans-serif"/>
        <sz val="9.0"/>
      </rPr>
      <t xml:space="preserve"> (PHI)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</si>
  <si>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uther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Burden III</t>
    </r>
    <r>
      <rPr>
        <rFont val="Roboto, sans-serif"/>
      </rPr>
      <t xml:space="preserve">
CHIWR26</t>
    </r>
  </si>
  <si>
    <t>J. Johnson</t>
  </si>
  <si>
    <t>TE-21</t>
  </si>
  <si>
    <t>99 +7</t>
  </si>
  <si>
    <r>
      <rPr>
        <rFont val="Poppins, Arial, Helvetica, sans-serif"/>
        <color rgb="FF1155CC"/>
        <sz val="9.0"/>
        <u/>
      </rPr>
      <t>Dalton Kincaid</t>
    </r>
    <r>
      <rPr>
        <rFont val="Poppins, Arial, Helvetica, sans-serif"/>
        <sz val="9.0"/>
      </rPr>
      <t xml:space="preserve"> (BUF)</t>
    </r>
  </si>
  <si>
    <r>
      <rPr>
        <rFont val="Poppins, Arial, Helvetica, sans-serif"/>
        <color rgb="FF1155CC"/>
        <u/>
      </rPr>
      <t>Jordan Addison</t>
    </r>
    <r>
      <rPr>
        <rFont val="Poppins, Arial, Helvetica, sans-serif"/>
      </rPr>
      <t>MIN (6)</t>
    </r>
  </si>
  <si>
    <t>J. Jennings</t>
  </si>
  <si>
    <t>WR-56</t>
  </si>
  <si>
    <r>
      <rPr>
        <rFont val="Poppins, Arial, Helvetica, sans-serif"/>
        <color rgb="FF1155CC"/>
        <sz val="9.0"/>
        <u/>
      </rPr>
      <t>Travis Kelce</t>
    </r>
    <r>
      <rPr>
        <rFont val="Poppins, Arial, Helvetica, sans-serif"/>
        <sz val="9.0"/>
      </rPr>
      <t xml:space="preserve"> (KC)</t>
    </r>
  </si>
  <si>
    <t>T. Hockenson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</si>
  <si>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ucker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Kraft</t>
    </r>
    <r>
      <rPr>
        <rFont val="Roboto, sans-serif"/>
      </rPr>
      <t xml:space="preserve">
GBTE5</t>
    </r>
  </si>
  <si>
    <t>WR44</t>
  </si>
  <si>
    <t>TE-22</t>
  </si>
  <si>
    <t>114 -7</t>
  </si>
  <si>
    <r>
      <rPr>
        <rFont val="Poppins, Arial, Helvetica, sans-serif"/>
        <color rgb="FF1155CC"/>
        <u/>
      </rPr>
      <t>Mark Andrews</t>
    </r>
    <r>
      <rPr>
        <rFont val="Poppins, Arial, Helvetica, sans-serif"/>
      </rPr>
      <t>BAL (13)</t>
    </r>
  </si>
  <si>
    <t>D. Boston</t>
  </si>
  <si>
    <r>
      <rPr>
        <rFont val="Poppins, Arial, Helvetica, sans-serif"/>
        <color rgb="FF1155CC"/>
        <sz val="9.0"/>
        <u/>
      </rPr>
      <t>Jayden Reed</t>
    </r>
    <r>
      <rPr>
        <rFont val="Poppins, Arial, Helvetica, sans-serif"/>
        <sz val="9.0"/>
      </rPr>
      <t xml:space="preserve"> (GB)</t>
    </r>
  </si>
  <si>
    <t>WR-57</t>
  </si>
  <si>
    <t>D. Schultz</t>
  </si>
  <si>
    <t>TE-23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</si>
  <si>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add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McConkey</t>
    </r>
    <r>
      <rPr>
        <rFont val="Roboto, sans-serif"/>
      </rPr>
      <t xml:space="preserve">
LACWR27</t>
    </r>
  </si>
  <si>
    <r>
      <rPr>
        <rFont val="Poppins, Arial, Helvetica, sans-serif"/>
        <color rgb="FF1155CC"/>
        <sz val="9.0"/>
        <u/>
      </rPr>
      <t>Jonathon Brooks</t>
    </r>
    <r>
      <rPr>
        <rFont val="Poppins, Arial, Helvetica, sans-serif"/>
        <sz val="9.0"/>
      </rPr>
      <t xml:space="preserve"> (CAR)</t>
    </r>
  </si>
  <si>
    <t>TE13</t>
  </si>
  <si>
    <t>119 -11</t>
  </si>
  <si>
    <t>R. Davis</t>
  </si>
  <si>
    <r>
      <rPr>
        <rFont val="Poppins, Arial, Helvetica, sans-serif"/>
        <color rgb="FF1155CC"/>
        <u/>
      </rPr>
      <t>George Kittle</t>
    </r>
    <r>
      <rPr>
        <rFont val="Poppins, Arial, Helvetica, sans-serif"/>
      </rPr>
      <t>SF (8)</t>
    </r>
  </si>
  <si>
    <t>RB-54</t>
  </si>
  <si>
    <t>A. Kamara</t>
  </si>
  <si>
    <r>
      <rPr>
        <rFont val="Poppins, Arial, Helvetica, sans-serif"/>
        <color rgb="FF1155CC"/>
        <sz val="9.0"/>
        <u/>
      </rPr>
      <t>Rachaad White</t>
    </r>
    <r>
      <rPr>
        <rFont val="Poppins, Arial, Helvetica, sans-serif"/>
        <sz val="9.0"/>
      </rPr>
      <t xml:space="preserve"> (WAS)</t>
    </r>
  </si>
  <si>
    <t>RB-55</t>
  </si>
  <si>
    <t>TE14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</si>
  <si>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Odunze</t>
    </r>
    <r>
      <rPr>
        <rFont val="Roboto, sans-serif"/>
      </rPr>
      <t xml:space="preserve">
CHIWR28</t>
    </r>
  </si>
  <si>
    <t>93 +16</t>
  </si>
  <si>
    <r>
      <rPr>
        <rFont val="Poppins, Arial, Helvetica, sans-serif"/>
        <color rgb="FF1155CC"/>
        <u/>
      </rPr>
      <t>Brock Purdy</t>
    </r>
    <r>
      <rPr>
        <rFont val="Poppins, Arial, Helvetica, sans-serif"/>
      </rPr>
      <t>SF (8)</t>
    </r>
  </si>
  <si>
    <t>S. Darnold</t>
  </si>
  <si>
    <t>QB-22</t>
  </si>
  <si>
    <r>
      <rPr>
        <rFont val="Poppins, Arial, Helvetica, sans-serif"/>
        <color rgb="FF1155CC"/>
        <sz val="9.0"/>
        <u/>
      </rPr>
      <t>Jordan Mason</t>
    </r>
    <r>
      <rPr>
        <rFont val="Poppins, Arial, Helvetica, sans-serif"/>
        <sz val="9.0"/>
      </rPr>
      <t xml:space="preserve"> (MIN)</t>
    </r>
  </si>
  <si>
    <t>A. Mitchell</t>
  </si>
  <si>
    <t>WR-58</t>
  </si>
  <si>
    <t>102 +8</t>
  </si>
  <si>
    <r>
      <rPr>
        <rFont val="Poppins, Arial, Helvetica, sans-serif"/>
        <color rgb="FF1155CC"/>
        <u/>
      </rPr>
      <t>Tyler Allgeier</t>
    </r>
    <r>
      <rPr>
        <rFont val="Poppins, Arial, Helvetica, sans-serif"/>
      </rPr>
      <t>ARI (14)</t>
    </r>
  </si>
  <si>
    <r>
      <rPr>
        <rFont val="Poppins, Arial, Helvetica, sans-serif"/>
        <color rgb="FF1155CC"/>
        <sz val="9.0"/>
        <u/>
      </rPr>
      <t>Jared Goff</t>
    </r>
    <r>
      <rPr>
        <rFont val="Poppins, Arial, Helvetica, sans-serif"/>
        <sz val="9.0"/>
      </rPr>
      <t xml:space="preserve"> (DET)</t>
    </r>
  </si>
  <si>
    <t>O. Gadsden II</t>
  </si>
  <si>
    <t>TE-24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</si>
  <si>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'Andre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Swift</t>
    </r>
    <r>
      <rPr>
        <rFont val="Roboto, sans-serif"/>
      </rPr>
      <t xml:space="preserve">
CHIRB19</t>
    </r>
  </si>
  <si>
    <t>QB16</t>
  </si>
  <si>
    <t>RB40</t>
  </si>
  <si>
    <t>J. Coker</t>
  </si>
  <si>
    <t>133 -22</t>
  </si>
  <si>
    <t>WR-59</t>
  </si>
  <si>
    <r>
      <rPr>
        <rFont val="Poppins, Arial, Helvetica, sans-serif"/>
        <color rgb="FF1155CC"/>
        <u/>
      </rPr>
      <t>Woody Marks</t>
    </r>
    <r>
      <rPr>
        <rFont val="Poppins, Arial, Helvetica, sans-serif"/>
      </rPr>
      <t>HOU (8)</t>
    </r>
  </si>
  <si>
    <r>
      <rPr>
        <rFont val="Poppins, Arial, Helvetica, sans-serif"/>
        <color rgb="FF1155CC"/>
        <sz val="9.0"/>
        <u/>
      </rPr>
      <t>Michael Pittman Jr.</t>
    </r>
    <r>
      <rPr>
        <rFont val="Poppins, Arial, Helvetica, sans-serif"/>
        <sz val="9.0"/>
      </rPr>
      <t xml:space="preserve"> (PIT)</t>
    </r>
  </si>
  <si>
    <t>J. McMillan</t>
  </si>
  <si>
    <t>WR-60</t>
  </si>
  <si>
    <r>
      <rPr>
        <rFont val="Poppins, Arial, Helvetica, sans-serif"/>
        <color rgb="FF1155CC"/>
        <sz val="9.0"/>
        <u/>
      </rPr>
      <t>Aaron Jones Sr.</t>
    </r>
    <r>
      <rPr>
        <rFont val="Poppins, Arial, Helvetica, sans-serif"/>
        <sz val="9.0"/>
      </rPr>
      <t xml:space="preserve"> (MIN)</t>
    </r>
  </si>
  <si>
    <t>RB41</t>
  </si>
  <si>
    <t>136 -24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</si>
  <si>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Maye</t>
    </r>
    <r>
      <rPr>
        <rFont val="Roboto, sans-serif"/>
      </rPr>
      <t xml:space="preserve">
NEQB3</t>
    </r>
  </si>
  <si>
    <t>J. Blue</t>
  </si>
  <si>
    <r>
      <rPr>
        <rFont val="Poppins, Arial, Helvetica, sans-serif"/>
        <color rgb="FF1155CC"/>
        <u/>
      </rPr>
      <t>Zach Charbonnet</t>
    </r>
    <r>
      <rPr>
        <rFont val="Poppins, Arial, Helvetica, sans-serif"/>
      </rPr>
      <t>SEA (11)</t>
    </r>
  </si>
  <si>
    <t>RB-56</t>
  </si>
  <si>
    <r>
      <rPr>
        <rFont val="Poppins, Arial, Helvetica, sans-serif"/>
        <color rgb="FF1155CC"/>
        <sz val="9.0"/>
        <u/>
      </rPr>
      <t>Mark Andrews</t>
    </r>
    <r>
      <rPr>
        <rFont val="Poppins, Arial, Helvetica, sans-serif"/>
        <sz val="9.0"/>
      </rPr>
      <t xml:space="preserve"> (BAL)</t>
    </r>
  </si>
  <si>
    <t>C. Stroud</t>
  </si>
  <si>
    <t>QB-23</t>
  </si>
  <si>
    <t>RB42</t>
  </si>
  <si>
    <t>131 -18</t>
  </si>
  <si>
    <r>
      <rPr>
        <rFont val="Poppins, Arial, Helvetica, sans-serif"/>
        <color rgb="FF1155CC"/>
        <u/>
      </rPr>
      <t>Quentin Johnston</t>
    </r>
    <r>
      <rPr>
        <rFont val="Poppins, Arial, Helvetica, sans-serif"/>
      </rPr>
      <t>LAC (7)</t>
    </r>
  </si>
  <si>
    <t>J. Nailor</t>
  </si>
  <si>
    <r>
      <rPr>
        <rFont val="Poppins, Arial, Helvetica, sans-serif"/>
        <color rgb="FF1155CC"/>
        <sz val="9.0"/>
        <u/>
      </rPr>
      <t>Kenny Gainwell</t>
    </r>
    <r>
      <rPr>
        <rFont val="Poppins, Arial, Helvetica, sans-serif"/>
        <sz val="9.0"/>
      </rPr>
      <t xml:space="preserve"> (TB)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</si>
  <si>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LaPorta</t>
    </r>
    <r>
      <rPr>
        <rFont val="Roboto, sans-serif"/>
      </rPr>
      <t xml:space="preserve">
DETTE6</t>
    </r>
  </si>
  <si>
    <t>WR-61</t>
  </si>
  <si>
    <t>T. Tucker</t>
  </si>
  <si>
    <t>WR-62</t>
  </si>
  <si>
    <t>WR45</t>
  </si>
  <si>
    <t>97 +17</t>
  </si>
  <si>
    <r>
      <rPr>
        <rFont val="Poppins, Arial, Helvetica, sans-serif"/>
        <color rgb="FF1155CC"/>
        <u/>
      </rPr>
      <t>Brian Robinson Jr.</t>
    </r>
    <r>
      <rPr>
        <rFont val="Poppins, Arial, Helvetica, sans-serif"/>
      </rPr>
      <t>ATL (11)</t>
    </r>
  </si>
  <si>
    <t>M. Washington Jr.</t>
  </si>
  <si>
    <r>
      <rPr>
        <rFont val="Poppins, Arial, Helvetica, sans-serif"/>
        <color rgb="FF1155CC"/>
        <sz val="9.0"/>
        <u/>
      </rPr>
      <t>Kyler Murray</t>
    </r>
    <r>
      <rPr>
        <rFont val="Poppins, Arial, Helvetica, sans-serif"/>
        <sz val="9.0"/>
      </rPr>
      <t xml:space="preserve"> (MIN)</t>
    </r>
  </si>
  <si>
    <t>RB-57</t>
  </si>
  <si>
    <t>J. Jeudy</t>
  </si>
  <si>
    <t>WR-63</t>
  </si>
  <si>
    <t>RB43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</si>
  <si>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Daniels</t>
    </r>
    <r>
      <rPr>
        <rFont val="Roboto, sans-serif"/>
      </rPr>
      <t xml:space="preserve">
WASQB4</t>
    </r>
  </si>
  <si>
    <t>154 -39</t>
  </si>
  <si>
    <t>QB17</t>
  </si>
  <si>
    <r>
      <rPr>
        <rFont val="Poppins, Arial, Helvetica, sans-serif"/>
        <color rgb="FF1155CC"/>
        <u/>
      </rPr>
      <t>Dallas Goedert</t>
    </r>
    <r>
      <rPr>
        <rFont val="Poppins, Arial, Helvetica, sans-serif"/>
      </rPr>
      <t>PHI (10)</t>
    </r>
  </si>
  <si>
    <t>B. Allen</t>
  </si>
  <si>
    <t>RB-58</t>
  </si>
  <si>
    <r>
      <rPr>
        <rFont val="Poppins, Arial, Helvetica, sans-serif"/>
        <color rgb="FF1155CC"/>
        <sz val="9.0"/>
        <u/>
      </rPr>
      <t>Jakobi Meyers</t>
    </r>
    <r>
      <rPr>
        <rFont val="Poppins, Arial, Helvetica, sans-serif"/>
        <sz val="9.0"/>
      </rPr>
      <t xml:space="preserve"> (JAC)</t>
    </r>
  </si>
  <si>
    <t>T. Harris</t>
  </si>
  <si>
    <t>WR-64</t>
  </si>
  <si>
    <t>TE15</t>
  </si>
  <si>
    <t>112 +4</t>
  </si>
  <si>
    <r>
      <rPr>
        <rFont val="Poppins, Arial, Helvetica, sans-serif"/>
        <color rgb="FF1155CC"/>
        <u/>
      </rPr>
      <t>Rachaad White</t>
    </r>
    <r>
      <rPr>
        <rFont val="Poppins, Arial, Helvetica, sans-serif"/>
      </rPr>
      <t>WAS (7)</t>
    </r>
  </si>
  <si>
    <r>
      <rPr>
        <rFont val="Poppins, Arial, Helvetica, sans-serif"/>
        <color rgb="FF1155CC"/>
        <sz val="9.0"/>
        <u/>
      </rPr>
      <t>Xavier Worthy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</si>
  <si>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Skattebo</t>
    </r>
    <r>
      <rPr>
        <rFont val="Roboto, sans-serif"/>
      </rPr>
      <t xml:space="preserve">
NYGRB20</t>
    </r>
  </si>
  <si>
    <t>A. Barner</t>
  </si>
  <si>
    <t>TE-25</t>
  </si>
  <si>
    <t>RB44</t>
  </si>
  <si>
    <t>WR46</t>
  </si>
  <si>
    <t>M. Lloyd</t>
  </si>
  <si>
    <t>100 +17</t>
  </si>
  <si>
    <t>RB-59</t>
  </si>
  <si>
    <r>
      <rPr>
        <rFont val="Poppins, Arial, Helvetica, sans-serif"/>
        <color rgb="FF1155CC"/>
        <u/>
      </rPr>
      <t>Matthew Stafford</t>
    </r>
    <r>
      <rPr>
        <rFont val="Poppins, Arial, Helvetica, sans-serif"/>
      </rPr>
      <t>LAR (11)</t>
    </r>
  </si>
  <si>
    <r>
      <rPr>
        <rFont val="Poppins, Arial, Helvetica, sans-serif"/>
        <color rgb="FF1155CC"/>
        <sz val="9.0"/>
        <u/>
      </rPr>
      <t>Dallas Goedert</t>
    </r>
    <r>
      <rPr>
        <rFont val="Poppins, Arial, Helvetica, sans-serif"/>
        <sz val="9.0"/>
      </rPr>
      <t xml:space="preserve"> (PHI)</t>
    </r>
  </si>
  <si>
    <t>P. Freiermuth</t>
  </si>
  <si>
    <t>TE-26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</si>
  <si>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Montgomery</t>
    </r>
    <r>
      <rPr>
        <rFont val="Roboto, sans-serif"/>
      </rPr>
      <t xml:space="preserve">
HOURB21</t>
    </r>
  </si>
  <si>
    <r>
      <rPr>
        <rFont val="Poppins, Arial, Helvetica, sans-serif"/>
        <color rgb="FF1155CC"/>
        <sz val="9.0"/>
        <u/>
      </rPr>
      <t>Josh Downs</t>
    </r>
    <r>
      <rPr>
        <rFont val="Poppins, Arial, Helvetica, sans-serif"/>
        <sz val="9.0"/>
      </rPr>
      <t xml:space="preserve"> (IND)</t>
    </r>
  </si>
  <si>
    <t>116 +2</t>
  </si>
  <si>
    <t>G. Holani</t>
  </si>
  <si>
    <t>RB-60</t>
  </si>
  <si>
    <r>
      <rPr>
        <rFont val="Poppins, Arial, Helvetica, sans-serif"/>
        <color rgb="FF1155CC"/>
        <u/>
      </rPr>
      <t>Bo Nix</t>
    </r>
    <r>
      <rPr>
        <rFont val="Poppins, Arial, Helvetica, sans-serif"/>
      </rPr>
      <t>DEN (10)</t>
    </r>
  </si>
  <si>
    <t>WR47</t>
  </si>
  <si>
    <t>D. Stribling</t>
  </si>
  <si>
    <t>WR-65</t>
  </si>
  <si>
    <r>
      <rPr>
        <rFont val="Poppins, Arial, Helvetica, sans-serif"/>
        <color rgb="FF1155CC"/>
        <sz val="9.0"/>
        <u/>
      </rPr>
      <t>Baker Mayfield</t>
    </r>
    <r>
      <rPr>
        <rFont val="Poppins, Arial, Helvetica, sans-serif"/>
        <sz val="9.0"/>
      </rPr>
      <t xml:space="preserve"> (TB)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</si>
  <si>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Moore</t>
    </r>
    <r>
      <rPr>
        <rFont val="Roboto, sans-serif"/>
      </rPr>
      <t xml:space="preserve">
BUFWR29</t>
    </r>
  </si>
  <si>
    <t>106 +13</t>
  </si>
  <si>
    <t>R. Flournoy</t>
  </si>
  <si>
    <r>
      <rPr>
        <rFont val="Poppins, Arial, Helvetica, sans-serif"/>
        <color rgb="FF1155CC"/>
        <u/>
      </rPr>
      <t>Juwan Johnson</t>
    </r>
    <r>
      <rPr>
        <rFont val="Poppins, Arial, Helvetica, sans-serif"/>
      </rPr>
      <t>NO (8)</t>
    </r>
  </si>
  <si>
    <t>QB18</t>
  </si>
  <si>
    <t>WR-66</t>
  </si>
  <si>
    <r>
      <rPr>
        <rFont val="Poppins, Arial, Helvetica, sans-serif"/>
        <color rgb="FF1155CC"/>
        <sz val="9.0"/>
        <u/>
      </rPr>
      <t>Isaiah Likely</t>
    </r>
    <r>
      <rPr>
        <rFont val="Poppins, Arial, Helvetica, sans-serif"/>
        <sz val="9.0"/>
      </rPr>
      <t xml:space="preserve"> (NYG)</t>
    </r>
  </si>
  <si>
    <t>K. Allen</t>
  </si>
  <si>
    <t>RB-61</t>
  </si>
  <si>
    <t>TE16</t>
  </si>
  <si>
    <t>157 -37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</si>
  <si>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Burrow</t>
    </r>
    <r>
      <rPr>
        <rFont val="Roboto, sans-serif"/>
      </rPr>
      <t xml:space="preserve">
CINQB5</t>
    </r>
  </si>
  <si>
    <r>
      <rPr>
        <rFont val="Poppins, Arial, Helvetica, sans-serif"/>
        <color rgb="FF1155CC"/>
        <sz val="9.0"/>
        <u/>
      </rPr>
      <t>Jordan Love</t>
    </r>
    <r>
      <rPr>
        <rFont val="Poppins, Arial, Helvetica, sans-serif"/>
        <sz val="9.0"/>
      </rPr>
      <t xml:space="preserve"> (GB)</t>
    </r>
  </si>
  <si>
    <r>
      <rPr>
        <rFont val="Poppins, Arial, Helvetica, sans-serif"/>
        <color rgb="FF1155CC"/>
        <u/>
      </rPr>
      <t>Tyrone Tracy Jr.</t>
    </r>
    <r>
      <rPr>
        <rFont val="Poppins, Arial, Helvetica, sans-serif"/>
      </rPr>
      <t>NYG (8)</t>
    </r>
  </si>
  <si>
    <t>I. TeSlaa</t>
  </si>
  <si>
    <t>WR-67</t>
  </si>
  <si>
    <t>J. James</t>
  </si>
  <si>
    <t>RB-62</t>
  </si>
  <si>
    <t>QB19</t>
  </si>
  <si>
    <t>RB45</t>
  </si>
  <si>
    <t>128 -7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</si>
  <si>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Hurts</t>
    </r>
    <r>
      <rPr>
        <rFont val="Roboto, sans-serif"/>
      </rPr>
      <t xml:space="preserve">
PHIQB6</t>
    </r>
  </si>
  <si>
    <r>
      <rPr>
        <rFont val="Poppins, Arial, Helvetica, sans-serif"/>
        <color rgb="FF1155CC"/>
        <u/>
      </rPr>
      <t>Jayden Reed</t>
    </r>
    <r>
      <rPr>
        <rFont val="Poppins, Arial, Helvetica, sans-serif"/>
      </rPr>
      <t>GB (11)</t>
    </r>
  </si>
  <si>
    <t>O. Cooper Jr.</t>
  </si>
  <si>
    <t>WR-68</t>
  </si>
  <si>
    <t>C. Ridley</t>
  </si>
  <si>
    <t>WR-69</t>
  </si>
  <si>
    <r>
      <rPr>
        <rFont val="Poppins, Arial, Helvetica, sans-serif"/>
        <color rgb="FF1155CC"/>
        <sz val="9.0"/>
        <u/>
      </rPr>
      <t>Chris Rodriguez Jr.</t>
    </r>
    <r>
      <rPr>
        <rFont val="Poppins, Arial, Helvetica, sans-serif"/>
        <sz val="9.0"/>
      </rPr>
      <t xml:space="preserve"> (JAC)</t>
    </r>
  </si>
  <si>
    <t>115 +7</t>
  </si>
  <si>
    <r>
      <rPr>
        <rFont val="Poppins, Arial, Helvetica, sans-serif"/>
        <color rgb="FF1155CC"/>
        <u/>
      </rPr>
      <t>Hunter Henry</t>
    </r>
    <r>
      <rPr>
        <rFont val="Poppins, Arial, Helvetica, sans-serif"/>
      </rPr>
      <t>NE (11)</t>
    </r>
  </si>
  <si>
    <t>J. Coleman</t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</si>
  <si>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uinshon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Judkins</t>
    </r>
    <r>
      <rPr>
        <rFont val="Roboto, sans-serif"/>
      </rPr>
      <t xml:space="preserve">
CLERB22</t>
    </r>
  </si>
  <si>
    <t>RB-63</t>
  </si>
  <si>
    <t>D. Jones</t>
  </si>
  <si>
    <t>QB-24</t>
  </si>
  <si>
    <t>TE17</t>
  </si>
  <si>
    <t>162 -39</t>
  </si>
  <si>
    <r>
      <rPr>
        <rFont val="Poppins, Arial, Helvetica, sans-serif"/>
        <color rgb="FF1155CC"/>
        <u/>
      </rPr>
      <t>Romeo Doubs</t>
    </r>
    <r>
      <rPr>
        <rFont val="Poppins, Arial, Helvetica, sans-serif"/>
      </rPr>
      <t>NE (11)</t>
    </r>
  </si>
  <si>
    <r>
      <rPr>
        <rFont val="Poppins, Arial, Helvetica, sans-serif"/>
        <color rgb="FF1155CC"/>
        <sz val="9.0"/>
        <u/>
      </rPr>
      <t>Wan'Dale Robinson</t>
    </r>
    <r>
      <rPr>
        <rFont val="Poppins, Arial, Helvetica, sans-serif"/>
        <sz val="9.0"/>
      </rPr>
      <t xml:space="preserve"> (TEN)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</si>
  <si>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lec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Pierce</t>
    </r>
    <r>
      <rPr>
        <rFont val="Roboto, sans-serif"/>
      </rPr>
      <t xml:space="preserve">
INDWR30</t>
    </r>
  </si>
  <si>
    <t>T. Hunter</t>
  </si>
  <si>
    <t>WR-70</t>
  </si>
  <si>
    <t>A. Williams</t>
  </si>
  <si>
    <t>WR48</t>
  </si>
  <si>
    <t>127 -3</t>
  </si>
  <si>
    <t>WR-71</t>
  </si>
  <si>
    <r>
      <rPr>
        <rFont val="Poppins, Arial, Helvetica, sans-serif"/>
        <color rgb="FF1155CC"/>
        <u/>
      </rPr>
      <t>Jonathon Brooks</t>
    </r>
    <r>
      <rPr>
        <rFont val="Poppins, Arial, Helvetica, sans-serif"/>
      </rPr>
      <t>CAR (5)</t>
    </r>
  </si>
  <si>
    <r>
      <rPr>
        <rFont val="Poppins, Arial, Helvetica, sans-serif"/>
        <color rgb="FF1155CC"/>
        <sz val="9.0"/>
        <u/>
      </rPr>
      <t>Tyler Shough</t>
    </r>
    <r>
      <rPr>
        <rFont val="Poppins, Arial, Helvetica, sans-serif"/>
        <sz val="9.0"/>
      </rPr>
      <t xml:space="preserve"> (NO)</t>
    </r>
  </si>
  <si>
    <t>D. Mooney</t>
  </si>
  <si>
    <t>WR-72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</si>
  <si>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arker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JACWR31</t>
    </r>
  </si>
  <si>
    <t>RB46</t>
  </si>
  <si>
    <t>QB20</t>
  </si>
  <si>
    <t>98 +27</t>
  </si>
  <si>
    <t>D. Wicks</t>
  </si>
  <si>
    <r>
      <rPr>
        <rFont val="Poppins, Arial, Helvetica, sans-serif"/>
        <color rgb="FF1155CC"/>
        <u/>
      </rPr>
      <t>Jared Goff</t>
    </r>
    <r>
      <rPr>
        <rFont val="Poppins, Arial, Helvetica, sans-serif"/>
      </rPr>
      <t>DET (6)</t>
    </r>
  </si>
  <si>
    <t>WR-73</t>
  </si>
  <si>
    <r>
      <rPr>
        <rFont val="Poppins, Arial, Helvetica, sans-serif"/>
        <color rgb="FF1155CC"/>
        <sz val="9.0"/>
        <u/>
      </rPr>
      <t>Jayden Higgins</t>
    </r>
    <r>
      <rPr>
        <rFont val="Poppins, Arial, Helvetica, sans-serif"/>
        <sz val="9.0"/>
      </rPr>
      <t xml:space="preserve"> (HOU)</t>
    </r>
  </si>
  <si>
    <t>S. Diggs</t>
  </si>
  <si>
    <t>WR-74</t>
  </si>
  <si>
    <t>124 +2</t>
  </si>
  <si>
    <r>
      <rPr>
        <rFont val="Poppins, Arial, Helvetica, sans-serif"/>
        <color rgb="FF1155CC"/>
        <u/>
      </rPr>
      <t>Xavier Worthy</t>
    </r>
    <r>
      <rPr>
        <rFont val="Poppins, Arial, Helvetica, sans-serif"/>
      </rPr>
      <t>KC (5)</t>
    </r>
  </si>
  <si>
    <t>WR49</t>
  </si>
  <si>
    <t>J. Tolbert</t>
  </si>
  <si>
    <t>WR-75</t>
  </si>
  <si>
    <r>
      <rPr>
        <rFont val="Poppins, Arial, Helvetica, sans-serif"/>
        <color rgb="FF1155CC"/>
        <sz val="9.0"/>
        <u/>
      </rPr>
      <t>Jake Ferguson</t>
    </r>
    <r>
      <rPr>
        <rFont val="Poppins, Arial, Helvetica, sans-serif"/>
        <sz val="9.0"/>
      </rPr>
      <t xml:space="preserve"> (DAL)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</si>
  <si>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Metcalf</t>
    </r>
    <r>
      <rPr>
        <rFont val="Roboto, sans-serif"/>
      </rPr>
      <t xml:space="preserve">
PITWR32</t>
    </r>
  </si>
  <si>
    <t>T. Hurst</t>
  </si>
  <si>
    <t>WR-76</t>
  </si>
  <si>
    <t>122 +5</t>
  </si>
  <si>
    <r>
      <rPr>
        <rFont val="Poppins, Arial, Helvetica, sans-serif"/>
        <color rgb="FF1155CC"/>
        <u/>
      </rPr>
      <t>Brandon Aubrey</t>
    </r>
    <r>
      <rPr>
        <rFont val="Poppins, Arial, Helvetica, sans-serif"/>
      </rPr>
      <t>DAL (14)</t>
    </r>
  </si>
  <si>
    <t>R. Bateman</t>
  </si>
  <si>
    <t>WR-77</t>
  </si>
  <si>
    <r>
      <rPr>
        <rFont val="Poppins, Arial, Helvetica, sans-serif"/>
        <color rgb="FF1155CC"/>
        <sz val="9.0"/>
        <u/>
      </rPr>
      <t>Romeo Doubs</t>
    </r>
    <r>
      <rPr>
        <rFont val="Poppins, Arial, Helvetica, sans-serif"/>
        <sz val="9.0"/>
      </rPr>
      <t xml:space="preserve"> (NE)</t>
    </r>
  </si>
  <si>
    <t>K1</t>
  </si>
  <si>
    <t>M. Washington</t>
  </si>
  <si>
    <t>107 +21</t>
  </si>
  <si>
    <t>WR-78</t>
  </si>
  <si>
    <t>WR50</t>
  </si>
  <si>
    <r>
      <rPr>
        <rFont val="Poppins, Arial, Helvetica, sans-serif"/>
        <color rgb="FF1155CC"/>
        <u/>
      </rPr>
      <t>Alvin Kamara</t>
    </r>
    <r>
      <rPr>
        <rFont val="Poppins, Arial, Helvetica, sans-serif"/>
      </rPr>
      <t>NO (8)</t>
    </r>
  </si>
  <si>
    <r>
      <rPr>
        <rFont val="Poppins, Arial, Helvetica, sans-serif"/>
        <color rgb="FF1155CC"/>
        <sz val="9.0"/>
        <u/>
      </rPr>
      <t>Tyrone Tracy Jr.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</si>
  <si>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reVeyon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Henderson</t>
    </r>
    <r>
      <rPr>
        <rFont val="Roboto, sans-serif"/>
      </rPr>
      <t xml:space="preserve">
NERB23</t>
    </r>
  </si>
  <si>
    <t>B. Aubrey</t>
  </si>
  <si>
    <t>K-1</t>
  </si>
  <si>
    <t>RB47</t>
  </si>
  <si>
    <t>139 -10</t>
  </si>
  <si>
    <t>J. Noel</t>
  </si>
  <si>
    <r>
      <rPr>
        <rFont val="Poppins, Arial, Helvetica, sans-serif"/>
        <color rgb="FF1155CC"/>
        <u/>
      </rPr>
      <t>Josh Downs</t>
    </r>
    <r>
      <rPr>
        <rFont val="Poppins, Arial, Helvetica, sans-serif"/>
      </rPr>
      <t>IND (13)</t>
    </r>
  </si>
  <si>
    <t>WR-79</t>
  </si>
  <si>
    <r>
      <rPr>
        <rFont val="Poppins, Arial, Helvetica, sans-serif"/>
        <color rgb="FF1155CC"/>
        <sz val="9.0"/>
        <u/>
      </rPr>
      <t>Tyler Allgeier</t>
    </r>
    <r>
      <rPr>
        <rFont val="Poppins, Arial, Helvetica, sans-serif"/>
        <sz val="9.0"/>
      </rPr>
      <t xml:space="preserve"> (ARI)</t>
    </r>
  </si>
  <si>
    <t>Los Angeles Rams DST</t>
  </si>
  <si>
    <t>DST-1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</si>
  <si>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ucky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Irving</t>
    </r>
    <r>
      <rPr>
        <rFont val="Roboto, sans-serif"/>
      </rPr>
      <t xml:space="preserve">
TBRB24</t>
    </r>
  </si>
  <si>
    <t>105 +25</t>
  </si>
  <si>
    <t>Seattle Seahawks DST</t>
  </si>
  <si>
    <r>
      <rPr>
        <rFont val="Poppins, Arial, Helvetica, sans-serif"/>
        <color rgb="FF1155CC"/>
        <u/>
      </rPr>
      <t>Oronde Gadsden II</t>
    </r>
    <r>
      <rPr>
        <rFont val="Poppins, Arial, Helvetica, sans-serif"/>
      </rPr>
      <t>LAC (7)</t>
    </r>
  </si>
  <si>
    <t>DST-2</t>
  </si>
  <si>
    <r>
      <rPr>
        <rFont val="Poppins, Arial, Helvetica, sans-serif"/>
        <color rgb="FF1155CC"/>
        <sz val="9.0"/>
        <u/>
      </rPr>
      <t>Woody Marks</t>
    </r>
    <r>
      <rPr>
        <rFont val="Poppins, Arial, Helvetica, sans-serif"/>
        <sz val="9.0"/>
      </rPr>
      <t xml:space="preserve"> (HOU)</t>
    </r>
  </si>
  <si>
    <t>Houston Texans DST</t>
  </si>
  <si>
    <t>DST-3</t>
  </si>
  <si>
    <t>TE18</t>
  </si>
  <si>
    <t>146 -15</t>
  </si>
  <si>
    <t>Denver Broncos DST</t>
  </si>
  <si>
    <t>Tier 9</t>
  </si>
  <si>
    <t>DST-4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</si>
  <si>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Harrison Jr.</t>
    </r>
    <r>
      <rPr>
        <rFont val="Roboto, sans-serif"/>
      </rPr>
      <t xml:space="preserve">
ARIWR33</t>
    </r>
  </si>
  <si>
    <r>
      <rPr>
        <rFont val="Poppins, Arial, Helvetica, sans-serif"/>
        <color rgb="FF1155CC"/>
        <u/>
      </rPr>
      <t>Tyjae Spears</t>
    </r>
    <r>
      <rPr>
        <rFont val="Poppins, Arial, Helvetica, sans-serif"/>
      </rPr>
      <t>TEN (9)</t>
    </r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</si>
  <si>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</si>
  <si>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Zach Charbonnet</t>
    </r>
    <r>
      <rPr>
        <rFont val="Poppins, Arial, Helvetica, sans-serif"/>
        <sz val="9.0"/>
      </rPr>
      <t xml:space="preserve"> (SEA)</t>
    </r>
  </si>
  <si>
    <t>Philadelphia Eagles DST</t>
  </si>
  <si>
    <t>DST-5</t>
  </si>
  <si>
    <t>RB48</t>
  </si>
  <si>
    <t>145 -13</t>
  </si>
  <si>
    <t>Baltimore Ravens DST</t>
  </si>
  <si>
    <t>DST-6</t>
  </si>
  <si>
    <r>
      <rPr>
        <rFont val="Poppins, Arial, Helvetica, sans-serif"/>
        <color rgb="FF1155CC"/>
        <u/>
      </rPr>
      <t>Brenton Strange</t>
    </r>
    <r>
      <rPr>
        <rFont val="Poppins, Arial, Helvetica, sans-serif"/>
      </rPr>
      <t>JAC (7)</t>
    </r>
  </si>
  <si>
    <r>
      <rPr>
        <rFont val="Poppins, Arial, Helvetica, sans-serif"/>
        <color rgb="FF1155CC"/>
        <sz val="9.0"/>
        <u/>
      </rPr>
      <t>Malik Willis</t>
    </r>
    <r>
      <rPr>
        <rFont val="Poppins, Arial, Helvetica, sans-serif"/>
        <sz val="9.0"/>
      </rPr>
      <t xml:space="preserve"> (MIA)</t>
    </r>
  </si>
  <si>
    <t>C. Dicker</t>
  </si>
  <si>
    <t>K-2</t>
  </si>
  <si>
    <t>TE19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</si>
  <si>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arold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Fannin Jr.</t>
    </r>
    <r>
      <rPr>
        <rFont val="Roboto, sans-serif"/>
      </rPr>
      <t xml:space="preserve">
CLETE7</t>
    </r>
  </si>
  <si>
    <t>141 -8</t>
  </si>
  <si>
    <t>Pittsburgh Steelers DST</t>
  </si>
  <si>
    <r>
      <rPr>
        <rFont val="Poppins, Arial, Helvetica, sans-serif"/>
        <color rgb="FF1155CC"/>
        <u/>
      </rPr>
      <t>Stefon Diggs</t>
    </r>
    <r>
      <rPr>
        <rFont val="Poppins, Arial, Helvetica, sans-serif"/>
      </rPr>
      <t>WAS (7)</t>
    </r>
  </si>
  <si>
    <t>DST-7</t>
  </si>
  <si>
    <t>QB21</t>
  </si>
  <si>
    <t>J. Myers</t>
  </si>
  <si>
    <t>K-3</t>
  </si>
  <si>
    <r>
      <rPr>
        <rFont val="Poppins, Arial, Helvetica, sans-serif"/>
        <color rgb="FF1155CC"/>
        <sz val="9.0"/>
        <u/>
      </rPr>
      <t>Jalen Coker</t>
    </r>
    <r>
      <rPr>
        <rFont val="Poppins, Arial, Helvetica, sans-serif"/>
        <sz val="9.0"/>
      </rPr>
      <t xml:space="preserve"> (CAR)</t>
    </r>
  </si>
  <si>
    <t>147 -13</t>
  </si>
  <si>
    <r>
      <rPr>
        <rFont val="Poppins, Arial, Helvetica, sans-serif"/>
        <color rgb="FF1155CC"/>
        <u/>
      </rPr>
      <t>Jonah Coleman</t>
    </r>
    <r>
      <rPr>
        <rFont val="Poppins, Arial, Helvetica, sans-serif"/>
      </rPr>
      <t>DEN (10)</t>
    </r>
  </si>
  <si>
    <t>T. Loop</t>
  </si>
  <si>
    <t>K-4</t>
  </si>
  <si>
    <t>WR51</t>
  </si>
  <si>
    <t>H. Mevis</t>
  </si>
  <si>
    <t>K-5</t>
  </si>
  <si>
    <t>RB49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</si>
  <si>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hayshul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Tuten</t>
    </r>
    <r>
      <rPr>
        <rFont val="Roboto, sans-serif"/>
      </rPr>
      <t xml:space="preserve">
JACRB25</t>
    </r>
  </si>
  <si>
    <t>164 -29</t>
  </si>
  <si>
    <r>
      <rPr>
        <rFont val="Poppins, Arial, Helvetica, sans-serif"/>
        <color rgb="FF1155CC"/>
        <sz val="9.0"/>
        <u/>
      </rPr>
      <t>Matthew Golden</t>
    </r>
    <r>
      <rPr>
        <rFont val="Poppins, Arial, Helvetica, sans-serif"/>
        <sz val="9.0"/>
      </rPr>
      <t xml:space="preserve"> (GB)</t>
    </r>
  </si>
  <si>
    <r>
      <rPr>
        <rFont val="Poppins, Arial, Helvetica, sans-serif"/>
        <color rgb="FF1155CC"/>
        <u/>
      </rPr>
      <t>Houston Texans DST</t>
    </r>
    <r>
      <rPr>
        <rFont val="Poppins, Arial, Helvetica, sans-serif"/>
      </rPr>
      <t>(8)</t>
    </r>
  </si>
  <si>
    <t>C. McLaughlin</t>
  </si>
  <si>
    <t>K-6</t>
  </si>
  <si>
    <t>WR52</t>
  </si>
  <si>
    <t>C. Little</t>
  </si>
  <si>
    <t>DST1</t>
  </si>
  <si>
    <t>K-7</t>
  </si>
  <si>
    <t>121 +15</t>
  </si>
  <si>
    <r>
      <rPr>
        <rFont val="Poppins, Arial, Helvetica, sans-serif"/>
        <color rgb="FF1155CC"/>
        <u/>
      </rPr>
      <t>Khalil Shakir</t>
    </r>
    <r>
      <rPr>
        <rFont val="Poppins, Arial, Helvetica, sans-serif"/>
      </rPr>
      <t>BUF (7)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</si>
  <si>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Thomas Jr.</t>
    </r>
    <r>
      <rPr>
        <rFont val="Roboto, sans-serif"/>
      </rPr>
      <t xml:space="preserve">
JACWR34</t>
    </r>
  </si>
  <si>
    <r>
      <rPr>
        <rFont val="Poppins, Arial, Helvetica, sans-serif"/>
        <color rgb="FF1155CC"/>
        <sz val="9.0"/>
        <u/>
      </rPr>
      <t>Rashid Shaheed</t>
    </r>
    <r>
      <rPr>
        <rFont val="Poppins, Arial, Helvetica, sans-serif"/>
        <sz val="9.0"/>
      </rPr>
      <t xml:space="preserve"> (SEA)</t>
    </r>
  </si>
  <si>
    <t>E. McPherson</t>
  </si>
  <si>
    <t>K-8</t>
  </si>
  <si>
    <t>WR53</t>
  </si>
  <si>
    <t>E. Pineiro</t>
  </si>
  <si>
    <t>140 -3</t>
  </si>
  <si>
    <t>K-9</t>
  </si>
  <si>
    <r>
      <rPr>
        <rFont val="Poppins, Arial, Helvetica, sans-serif"/>
        <color rgb="FF1155CC"/>
        <u/>
      </rPr>
      <t>KC Concepcion</t>
    </r>
    <r>
      <rPr>
        <rFont val="Poppins, Arial, Helvetica, sans-serif"/>
      </rPr>
      <t>CLE (11)</t>
    </r>
  </si>
  <si>
    <r>
      <rPr>
        <rFont val="Poppins, Arial, Helvetica, sans-serif"/>
        <color rgb="FF1155CC"/>
        <sz val="9.0"/>
        <u/>
      </rPr>
      <t>Khalil Shakir</t>
    </r>
    <r>
      <rPr>
        <rFont val="Poppins, Arial, Helvetica, sans-serif"/>
        <sz val="9.0"/>
      </rPr>
      <t xml:space="preserve"> (BUF)</t>
    </r>
  </si>
  <si>
    <t>K. Fairbairn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</si>
  <si>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revor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Lawrence</t>
    </r>
    <r>
      <rPr>
        <rFont val="Roboto, sans-serif"/>
      </rPr>
      <t xml:space="preserve">
JACQB7</t>
    </r>
  </si>
  <si>
    <t>K-10</t>
  </si>
  <si>
    <t>132 +6</t>
  </si>
  <si>
    <r>
      <rPr>
        <rFont val="Poppins, Arial, Helvetica, sans-serif"/>
        <color rgb="FF1155CC"/>
        <u/>
      </rPr>
      <t>Jordan Love</t>
    </r>
    <r>
      <rPr>
        <rFont val="Poppins, Arial, Helvetica, sans-serif"/>
      </rPr>
      <t>GB (11)</t>
    </r>
  </si>
  <si>
    <t>WR54</t>
  </si>
  <si>
    <t>C. Santos</t>
  </si>
  <si>
    <t>K-11</t>
  </si>
  <si>
    <r>
      <rPr>
        <rFont val="Poppins, Arial, Helvetica, sans-serif"/>
        <color rgb="FF1155CC"/>
        <sz val="9.0"/>
        <u/>
      </rPr>
      <t>KC Concepcion</t>
    </r>
    <r>
      <rPr>
        <rFont val="Poppins, Arial, Helvetica, sans-serif"/>
        <sz val="9.0"/>
      </rPr>
      <t xml:space="preserve"> (CLE)</t>
    </r>
  </si>
  <si>
    <t>C. Boswell</t>
  </si>
  <si>
    <t>K-12</t>
  </si>
  <si>
    <t>156 -17</t>
  </si>
  <si>
    <t>WR55</t>
  </si>
  <si>
    <r>
      <rPr>
        <rFont val="Poppins, Arial, Helvetica, sans-serif"/>
        <color rgb="FF1155CC"/>
        <u/>
      </rPr>
      <t>Kenyon Sadiq</t>
    </r>
    <r>
      <rPr>
        <rFont val="Poppins, Arial, Helvetica, sans-serif"/>
      </rPr>
      <t>NYJ (13)</t>
    </r>
  </si>
  <si>
    <r>
      <rPr>
        <rFont val="Poppins, Arial, Helvetica, sans-serif"/>
        <color rgb="FF1155CC"/>
        <sz val="9.0"/>
        <u/>
      </rPr>
      <t>Isiah Pacheco</t>
    </r>
    <r>
      <rPr>
        <rFont val="Poppins, Arial, Helvetica, sans-serif"/>
        <sz val="9.0"/>
      </rPr>
      <t xml:space="preserve"> (DET)</t>
    </r>
  </si>
  <si>
    <t>Los Angeles Chargers DST</t>
  </si>
  <si>
    <t>DST-8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</si>
  <si>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adarian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Price</t>
    </r>
    <r>
      <rPr>
        <rFont val="Roboto, sans-serif"/>
      </rPr>
      <t xml:space="preserve">
SEARB26</t>
    </r>
  </si>
  <si>
    <t>TE20</t>
  </si>
  <si>
    <t>New England Patriots DST</t>
  </si>
  <si>
    <t>167 -27</t>
  </si>
  <si>
    <t>DST-9</t>
  </si>
  <si>
    <r>
      <rPr>
        <rFont val="Poppins, Arial, Helvetica, sans-serif"/>
        <color rgb="FF1155CC"/>
        <u/>
      </rPr>
      <t>Los Angeles Rams DST</t>
    </r>
    <r>
      <rPr>
        <rFont val="Poppins, Arial, Helvetica, sans-serif"/>
      </rPr>
      <t>(11)</t>
    </r>
  </si>
  <si>
    <r>
      <rPr>
        <rFont val="Poppins, Arial, Helvetica, sans-serif"/>
        <color rgb="FF1155CC"/>
        <sz val="9.0"/>
        <u/>
      </rPr>
      <t>C.J. Stroud</t>
    </r>
    <r>
      <rPr>
        <rFont val="Poppins, Arial, Helvetica, sans-serif"/>
        <sz val="9.0"/>
      </rPr>
      <t xml:space="preserve"> (HOU)</t>
    </r>
  </si>
  <si>
    <t>Chicago Bears DST</t>
  </si>
  <si>
    <t>DST-10</t>
  </si>
  <si>
    <t>QB22</t>
  </si>
  <si>
    <t>DST2</t>
  </si>
  <si>
    <t>Green Bay Packers DST</t>
  </si>
  <si>
    <t>123 +18</t>
  </si>
  <si>
    <t>DST-11</t>
  </si>
  <si>
    <r>
      <rPr>
        <rFont val="Poppins, Arial, Helvetica, sans-serif"/>
        <color rgb="FF1155CC"/>
        <u/>
      </rPr>
      <t>Baker Mayfield</t>
    </r>
    <r>
      <rPr>
        <rFont val="Poppins, Arial, Helvetica, sans-serif"/>
      </rPr>
      <t>TB (10)</t>
    </r>
  </si>
  <si>
    <r>
      <rPr>
        <rFont val="Poppins, Arial, Helvetica, sans-serif"/>
        <color rgb="FF1155CC"/>
        <sz val="9.0"/>
        <u/>
      </rPr>
      <t>Tank Bigsby</t>
    </r>
    <r>
      <rPr>
        <rFont val="Poppins, Arial, Helvetica, sans-serif"/>
        <sz val="9.0"/>
      </rPr>
      <t xml:space="preserve"> (PHI)</t>
    </r>
  </si>
  <si>
    <t>Jacksonville Jaguars DST</t>
  </si>
  <si>
    <t>DST-12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</si>
  <si>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Herbert</t>
    </r>
    <r>
      <rPr>
        <rFont val="Roboto, sans-serif"/>
      </rPr>
      <t xml:space="preserve">
LACQB8</t>
    </r>
  </si>
  <si>
    <t>T. Ferguson</t>
  </si>
  <si>
    <t>TE-27</t>
  </si>
  <si>
    <r>
      <rPr>
        <rFont val="Poppins, Arial, Helvetica, sans-serif"/>
        <color rgb="FF1155CC"/>
        <u/>
      </rPr>
      <t>Jayden Higgins</t>
    </r>
    <r>
      <rPr>
        <rFont val="Poppins, Arial, Helvetica, sans-serif"/>
      </rPr>
      <t>HOU (8)</t>
    </r>
  </si>
  <si>
    <r>
      <rPr>
        <rFont val="Poppins, Arial, Helvetica, sans-serif"/>
        <color rgb="FF1155CC"/>
        <sz val="9.0"/>
        <u/>
      </rPr>
      <t>Sam Darnold</t>
    </r>
    <r>
      <rPr>
        <rFont val="Poppins, Arial, Helvetica, sans-serif"/>
        <sz val="9.0"/>
      </rPr>
      <t xml:space="preserve"> (SEA)</t>
    </r>
  </si>
  <si>
    <t>S. Perine</t>
  </si>
  <si>
    <t>RB-64</t>
  </si>
  <si>
    <t>J. Conner</t>
  </si>
  <si>
    <t>137 +6</t>
  </si>
  <si>
    <t>RB-65</t>
  </si>
  <si>
    <t>QB23</t>
  </si>
  <si>
    <r>
      <rPr>
        <rFont val="Poppins, Arial, Helvetica, sans-serif"/>
        <color rgb="FF1155CC"/>
        <u/>
      </rPr>
      <t>Dalton Schultz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</si>
  <si>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Purdy</t>
    </r>
    <r>
      <rPr>
        <rFont val="Roboto, sans-serif"/>
      </rPr>
      <t xml:space="preserve">
SFQB9</t>
    </r>
  </si>
  <si>
    <r>
      <rPr>
        <rFont val="Poppins, Arial, Helvetica, sans-serif"/>
        <color rgb="FF1155CC"/>
        <sz val="9.0"/>
        <u/>
      </rPr>
      <t>Keaton Mitchell</t>
    </r>
    <r>
      <rPr>
        <rFont val="Poppins, Arial, Helvetica, sans-serif"/>
        <sz val="9.0"/>
      </rPr>
      <t xml:space="preserve"> (LAC)</t>
    </r>
  </si>
  <si>
    <t>J. Brissett</t>
  </si>
  <si>
    <t>QB-25</t>
  </si>
  <si>
    <t>TE21</t>
  </si>
  <si>
    <t>193 -49</t>
  </si>
  <si>
    <t>C. Ward</t>
  </si>
  <si>
    <r>
      <rPr>
        <rFont val="Poppins, Arial, Helvetica, sans-serif"/>
        <color rgb="FF1155CC"/>
        <u/>
      </rPr>
      <t>Jalen Coker</t>
    </r>
    <r>
      <rPr>
        <rFont val="Poppins, Arial, Helvetica, sans-serif"/>
      </rPr>
      <t>CAR (5)</t>
    </r>
  </si>
  <si>
    <t>QB-26</t>
  </si>
  <si>
    <t>G. Helm</t>
  </si>
  <si>
    <r>
      <rPr>
        <rFont val="Poppins, Arial, Helvetica, sans-serif"/>
        <color rgb="FF1155CC"/>
        <sz val="9.0"/>
        <u/>
      </rPr>
      <t>Brian Robinson Jr.</t>
    </r>
    <r>
      <rPr>
        <rFont val="Poppins, Arial, Helvetica, sans-serif"/>
        <sz val="9.0"/>
      </rPr>
      <t xml:space="preserve"> (ATL)</t>
    </r>
  </si>
  <si>
    <t>TE-28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</si>
  <si>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CHIQB10</t>
    </r>
  </si>
  <si>
    <t>151 -6</t>
  </si>
  <si>
    <t>C. Otton</t>
  </si>
  <si>
    <r>
      <rPr>
        <rFont val="Poppins, Arial, Helvetica, sans-serif"/>
        <color rgb="FF1155CC"/>
        <u/>
      </rPr>
      <t>Chig Okonkwo</t>
    </r>
    <r>
      <rPr>
        <rFont val="Poppins, Arial, Helvetica, sans-serif"/>
      </rPr>
      <t>WAS (7)</t>
    </r>
  </si>
  <si>
    <t>TE-29</t>
  </si>
  <si>
    <t>RB50</t>
  </si>
  <si>
    <t>J. Dotson</t>
  </si>
  <si>
    <r>
      <rPr>
        <rFont val="Poppins, Arial, Helvetica, sans-serif"/>
        <color rgb="FF1155CC"/>
        <sz val="9.0"/>
        <u/>
      </rPr>
      <t>Alvin Kamara</t>
    </r>
    <r>
      <rPr>
        <rFont val="Poppins, Arial, Helvetica, sans-serif"/>
        <sz val="9.0"/>
      </rPr>
      <t xml:space="preserve"> (NO)</t>
    </r>
  </si>
  <si>
    <t>WR-80</t>
  </si>
  <si>
    <t>TE22</t>
  </si>
  <si>
    <t>C. Douglas</t>
  </si>
  <si>
    <t>152 -6</t>
  </si>
  <si>
    <t>WR-81</t>
  </si>
  <si>
    <r>
      <rPr>
        <rFont val="Poppins, Arial, Helvetica, sans-serif"/>
        <color rgb="FF1155CC"/>
        <u/>
      </rPr>
      <t>Tyler Shough</t>
    </r>
    <r>
      <rPr>
        <rFont val="Poppins, Arial, Helvetica, sans-serif"/>
      </rPr>
      <t>NO (8)</t>
    </r>
  </si>
  <si>
    <t>RB51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</si>
  <si>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ourtland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Sutton</t>
    </r>
    <r>
      <rPr>
        <rFont val="Roboto, sans-serif"/>
      </rPr>
      <t xml:space="preserve">
DENWR35</t>
    </r>
  </si>
  <si>
    <r>
      <rPr>
        <rFont val="Poppins, Arial, Helvetica, sans-serif"/>
        <color rgb="FF1155CC"/>
        <sz val="9.0"/>
        <u/>
      </rPr>
      <t>Hunter Henry</t>
    </r>
    <r>
      <rPr>
        <rFont val="Poppins, Arial, Helvetica, sans-serif"/>
        <sz val="9.0"/>
      </rPr>
      <t xml:space="preserve"> (NE)</t>
    </r>
  </si>
  <si>
    <t>G. Bernard</t>
  </si>
  <si>
    <t>WR-82</t>
  </si>
  <si>
    <t>150 -3</t>
  </si>
  <si>
    <t>D. Giddens</t>
  </si>
  <si>
    <t>RB-66</t>
  </si>
  <si>
    <r>
      <rPr>
        <rFont val="Poppins, Arial, Helvetica, sans-serif"/>
        <color rgb="FF1155CC"/>
        <u/>
      </rPr>
      <t>Seattle Seahawks DST</t>
    </r>
    <r>
      <rPr>
        <rFont val="Poppins, Arial, Helvetica, sans-serif"/>
      </rPr>
      <t>(11)</t>
    </r>
  </si>
  <si>
    <r>
      <rPr>
        <rFont val="Poppins, Arial, Helvetica, sans-serif"/>
        <color rgb="FF1155CC"/>
        <sz val="9.0"/>
        <u/>
      </rPr>
      <t>Brenton Strange</t>
    </r>
    <r>
      <rPr>
        <rFont val="Poppins, Arial, Helvetica, sans-serif"/>
        <sz val="9.0"/>
      </rPr>
      <t xml:space="preserve"> (JAC)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</si>
  <si>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Tate</t>
    </r>
    <r>
      <rPr>
        <rFont val="Roboto, sans-serif"/>
      </rPr>
      <t xml:space="preserve">
TENWR36</t>
    </r>
  </si>
  <si>
    <t>D. Vele</t>
  </si>
  <si>
    <t>WR-83</t>
  </si>
  <si>
    <t>DST3</t>
  </si>
  <si>
    <t>Z. Branch</t>
  </si>
  <si>
    <t>129 +19</t>
  </si>
  <si>
    <t>WR-84</t>
  </si>
  <si>
    <r>
      <rPr>
        <rFont val="Poppins, Arial, Helvetica, sans-serif"/>
        <color rgb="FF1155CC"/>
        <u/>
      </rPr>
      <t>Chris Rodriguez Jr.</t>
    </r>
    <r>
      <rPr>
        <rFont val="Poppins, Arial, Helvetica, sans-serif"/>
      </rPr>
      <t>JAC (7)</t>
    </r>
  </si>
  <si>
    <r>
      <rPr>
        <rFont val="Poppins, Arial, Helvetica, sans-serif"/>
        <color rgb="FF1155CC"/>
        <sz val="9.0"/>
        <u/>
      </rPr>
      <t>Juwan Johnson</t>
    </r>
    <r>
      <rPr>
        <rFont val="Poppins, Arial, Helvetica, sans-serif"/>
        <sz val="9.0"/>
      </rPr>
      <t xml:space="preserve"> (NO)</t>
    </r>
  </si>
  <si>
    <t>K. Boutte</t>
  </si>
  <si>
    <t>WR-85</t>
  </si>
  <si>
    <t>C. Bell</t>
  </si>
  <si>
    <t>134 +15</t>
  </si>
  <si>
    <t>WR-86</t>
  </si>
  <si>
    <r>
      <rPr>
        <rFont val="Poppins, Arial, Helvetica, sans-serif"/>
        <color rgb="FF1155CC"/>
        <u/>
      </rPr>
      <t>T.J. Hockenson</t>
    </r>
    <r>
      <rPr>
        <rFont val="Poppins, Arial, Helvetica, sans-serif"/>
      </rPr>
      <t>MIN (6)</t>
    </r>
  </si>
  <si>
    <r>
      <rPr>
        <rFont val="Poppins, Arial, Helvetica, sans-serif"/>
        <color rgb="FF1155CC"/>
        <sz val="9.0"/>
        <u/>
      </rPr>
      <t>Tyjae Spears</t>
    </r>
    <r>
      <rPr>
        <rFont val="Poppins, Arial, Helvetica, sans-serif"/>
        <sz val="9.0"/>
      </rPr>
      <t xml:space="preserve"> (TEN)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</si>
  <si>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Prescott</t>
    </r>
    <r>
      <rPr>
        <rFont val="Roboto, sans-serif"/>
      </rPr>
      <t xml:space="preserve">
DALQB11</t>
    </r>
  </si>
  <si>
    <t>Minnesota Vikings DST</t>
  </si>
  <si>
    <t>DST-13</t>
  </si>
  <si>
    <t>M. Gesicki</t>
  </si>
  <si>
    <t>TE23</t>
  </si>
  <si>
    <t>RB52</t>
  </si>
  <si>
    <t>171 -21</t>
  </si>
  <si>
    <t>TE-30</t>
  </si>
  <si>
    <r>
      <rPr>
        <rFont val="Poppins, Arial, Helvetica, sans-serif"/>
        <color rgb="FF1155CC"/>
        <u/>
      </rPr>
      <t>Malik Willis</t>
    </r>
    <r>
      <rPr>
        <rFont val="Poppins, Arial, Helvetica, sans-serif"/>
      </rPr>
      <t>MIA (6)</t>
    </r>
  </si>
  <si>
    <r>
      <rPr>
        <rFont val="Poppins, Arial, Helvetica, sans-serif"/>
        <color rgb="FF1155CC"/>
        <sz val="9.0"/>
        <u/>
      </rPr>
      <t>Oronde Gadsden II</t>
    </r>
    <r>
      <rPr>
        <rFont val="Poppins, Arial, Helvetica, sans-serif"/>
        <sz val="9.0"/>
      </rPr>
      <t xml:space="preserve"> (LAC)</t>
    </r>
  </si>
  <si>
    <t>Detroit Lions DST</t>
  </si>
  <si>
    <t>DST-14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</si>
  <si>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Murray</t>
    </r>
    <r>
      <rPr>
        <rFont val="Roboto, sans-serif"/>
      </rPr>
      <t xml:space="preserve">
MINQB12</t>
    </r>
  </si>
  <si>
    <t>J. Bates</t>
  </si>
  <si>
    <t>K-13</t>
  </si>
  <si>
    <t>161 -10</t>
  </si>
  <si>
    <r>
      <rPr>
        <rFont val="Poppins, Arial, Helvetica, sans-serif"/>
        <color rgb="FF1155CC"/>
        <sz val="9.0"/>
        <u/>
      </rPr>
      <t>Dylan Sampson</t>
    </r>
    <r>
      <rPr>
        <rFont val="Poppins, Arial, Helvetica, sans-serif"/>
        <sz val="9.0"/>
      </rPr>
      <t xml:space="preserve"> (CLE)</t>
    </r>
  </si>
  <si>
    <r>
      <rPr>
        <rFont val="Poppins, Arial, Helvetica, sans-serif"/>
        <color rgb="FF1155CC"/>
        <u/>
      </rPr>
      <t>Dylan Sampson</t>
    </r>
    <r>
      <rPr>
        <rFont val="Poppins, Arial, Helvetica, sans-serif"/>
      </rPr>
      <t>CLE (11)</t>
    </r>
  </si>
  <si>
    <t>W. Reichard</t>
  </si>
  <si>
    <t>K-14</t>
  </si>
  <si>
    <t>RB53</t>
  </si>
  <si>
    <t>Atlanta Falcons DST</t>
  </si>
  <si>
    <t>DST-15</t>
  </si>
  <si>
    <t>163 -11</t>
  </si>
  <si>
    <r>
      <rPr>
        <rFont val="Poppins, Arial, Helvetica, sans-serif"/>
        <color rgb="FF1155CC"/>
        <u/>
      </rPr>
      <t>Jauan Jennings</t>
    </r>
    <r>
      <rPr>
        <rFont val="Poppins, Arial, Helvetica, sans-serif"/>
      </rPr>
      <t>MIN (6)</t>
    </r>
  </si>
  <si>
    <r>
      <rPr>
        <rFont val="Poppins, Arial, Helvetica, sans-serif"/>
        <color rgb="FF1155CC"/>
        <sz val="9.0"/>
        <u/>
      </rPr>
      <t>Cam Ward</t>
    </r>
    <r>
      <rPr>
        <rFont val="Poppins, Arial, Helvetica, sans-serif"/>
        <sz val="9.0"/>
      </rPr>
      <t xml:space="preserve"> (TEN)</t>
    </r>
  </si>
  <si>
    <t>Cleveland Browns DST</t>
  </si>
  <si>
    <t>DST-16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</si>
  <si>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Reed</t>
    </r>
    <r>
      <rPr>
        <rFont val="Roboto, sans-serif"/>
      </rPr>
      <t xml:space="preserve">
GBWR37</t>
    </r>
  </si>
  <si>
    <t>K. Vidal</t>
  </si>
  <si>
    <t>RB-67</t>
  </si>
  <si>
    <t>QB24</t>
  </si>
  <si>
    <t>169 -16</t>
  </si>
  <si>
    <r>
      <rPr>
        <rFont val="Poppins, Arial, Helvetica, sans-serif"/>
        <color rgb="FF1155CC"/>
        <u/>
      </rPr>
      <t>James Conner</t>
    </r>
    <r>
      <rPr>
        <rFont val="Poppins, Arial, Helvetica, sans-serif"/>
      </rPr>
      <t>ARI (14)</t>
    </r>
  </si>
  <si>
    <t>T. Bass</t>
  </si>
  <si>
    <t>WR58</t>
  </si>
  <si>
    <r>
      <rPr>
        <rFont val="Poppins, Arial, Helvetica, sans-serif"/>
        <color rgb="FF1155CC"/>
        <sz val="9.0"/>
        <u/>
      </rPr>
      <t>Jauan Jennings</t>
    </r>
    <r>
      <rPr>
        <rFont val="Poppins, Arial, Helvetica, sans-serif"/>
        <sz val="9.0"/>
      </rPr>
      <t xml:space="preserve"> (MIN)</t>
    </r>
  </si>
  <si>
    <t>K-15</t>
  </si>
  <si>
    <t>A. Borregales</t>
  </si>
  <si>
    <t>K-16</t>
  </si>
  <si>
    <t>217 -63</t>
  </si>
  <si>
    <t>WR56</t>
  </si>
  <si>
    <r>
      <rPr>
        <rFont val="Poppins, Arial, Helvetica, sans-serif"/>
        <color rgb="FF1155CC"/>
        <u/>
      </rPr>
      <t>Keaton Mitchell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</si>
  <si>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uentin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Johnston</t>
    </r>
    <r>
      <rPr>
        <rFont val="Roboto, sans-serif"/>
      </rPr>
      <t xml:space="preserve">
LACWR38</t>
    </r>
  </si>
  <si>
    <t>T. Dell</t>
  </si>
  <si>
    <t>WR-87</t>
  </si>
  <si>
    <r>
      <rPr>
        <rFont val="Poppins, Arial, Helvetica, sans-serif"/>
        <color rgb="FF1155CC"/>
        <sz val="9.0"/>
        <u/>
      </rPr>
      <t>Chig Okonkwo</t>
    </r>
    <r>
      <rPr>
        <rFont val="Poppins, Arial, Helvetica, sans-serif"/>
        <sz val="9.0"/>
      </rPr>
      <t xml:space="preserve"> (WAS)</t>
    </r>
  </si>
  <si>
    <t>D. Claiborne</t>
  </si>
  <si>
    <t>RB-68</t>
  </si>
  <si>
    <t>148 +7</t>
  </si>
  <si>
    <r>
      <rPr>
        <rFont val="Poppins, Arial, Helvetica, sans-serif"/>
        <color rgb="FF1155CC"/>
        <u/>
      </rPr>
      <t>David Njoku</t>
    </r>
    <r>
      <rPr>
        <rFont val="Poppins, Arial, Helvetica, sans-serif"/>
      </rPr>
      <t>LAC (7)</t>
    </r>
  </si>
  <si>
    <t>E. Demercado</t>
  </si>
  <si>
    <r>
      <rPr>
        <rFont val="Poppins, Arial, Helvetica, sans-serif"/>
        <color rgb="FF1155CC"/>
        <sz val="9.0"/>
        <u/>
      </rPr>
      <t>Daniel Jones</t>
    </r>
    <r>
      <rPr>
        <rFont val="Poppins, Arial, Helvetica, sans-serif"/>
        <sz val="9.0"/>
      </rPr>
      <t xml:space="preserve"> (IND)</t>
    </r>
  </si>
  <si>
    <t>RB-69</t>
  </si>
  <si>
    <t>F. Mendoza</t>
  </si>
  <si>
    <t>QB-27</t>
  </si>
  <si>
    <t>TE24</t>
  </si>
  <si>
    <t>QB25</t>
  </si>
  <si>
    <t>203 -47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</si>
  <si>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ordyn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Tyson</t>
    </r>
    <r>
      <rPr>
        <rFont val="Roboto, sans-serif"/>
      </rPr>
      <t xml:space="preserve">
NOWR39</t>
    </r>
  </si>
  <si>
    <r>
      <rPr>
        <rFont val="Poppins, Arial, Helvetica, sans-serif"/>
        <color rgb="FF1155CC"/>
        <u/>
      </rPr>
      <t>Kyler Murray</t>
    </r>
    <r>
      <rPr>
        <rFont val="Poppins, Arial, Helvetica, sans-serif"/>
      </rPr>
      <t>MIN (6)</t>
    </r>
  </si>
  <si>
    <t>E. Engram</t>
  </si>
  <si>
    <r>
      <rPr>
        <rFont val="Poppins, Arial, Helvetica, sans-serif"/>
        <color rgb="FF1155CC"/>
        <sz val="9.0"/>
        <u/>
      </rPr>
      <t>Jonah Coleman</t>
    </r>
    <r>
      <rPr>
        <rFont val="Poppins, Arial, Helvetica, sans-serif"/>
        <sz val="9.0"/>
      </rPr>
      <t xml:space="preserve"> (DEN)</t>
    </r>
  </si>
  <si>
    <t>TE-31</t>
  </si>
  <si>
    <t>O. Gordon II</t>
  </si>
  <si>
    <t>RB-70</t>
  </si>
  <si>
    <t>RB54</t>
  </si>
  <si>
    <t>125 +32</t>
  </si>
  <si>
    <r>
      <rPr>
        <rFont val="Poppins, Arial, Helvetica, sans-serif"/>
        <color rgb="FF1155CC"/>
        <sz val="9.0"/>
        <u/>
      </rPr>
      <t>Houston Texans</t>
    </r>
    <r>
      <rPr>
        <rFont val="Poppins, Arial, Helvetica, sans-serif"/>
        <sz val="9.0"/>
      </rPr>
      <t xml:space="preserve"> (HOU)</t>
    </r>
  </si>
  <si>
    <r>
      <rPr>
        <rFont val="Poppins, Arial, Helvetica, sans-serif"/>
        <color rgb="FF1155CC"/>
        <u/>
      </rPr>
      <t>Isiah Pacheco</t>
    </r>
    <r>
      <rPr>
        <rFont val="Poppins, Arial, Helvetica, sans-serif"/>
      </rPr>
      <t>DET (6)</t>
    </r>
  </si>
  <si>
    <t>E. Johnson</t>
  </si>
  <si>
    <t>RB-71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</si>
  <si>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Pollard</t>
    </r>
    <r>
      <rPr>
        <rFont val="Roboto, sans-serif"/>
      </rPr>
      <t xml:space="preserve">
TENRB27</t>
    </r>
  </si>
  <si>
    <t>D. Slayton</t>
  </si>
  <si>
    <r>
      <rPr>
        <rFont val="Poppins, Arial, Helvetica, sans-serif"/>
        <color rgb="FF1155CC"/>
        <sz val="9.0"/>
        <u/>
      </rPr>
      <t>Jerry Jeudy</t>
    </r>
    <r>
      <rPr>
        <rFont val="Poppins, Arial, Helvetica, sans-serif"/>
        <sz val="9.0"/>
      </rPr>
      <t xml:space="preserve"> (CLE)</t>
    </r>
  </si>
  <si>
    <t>138 +20</t>
  </si>
  <si>
    <t>WR-88</t>
  </si>
  <si>
    <r>
      <rPr>
        <rFont val="Poppins, Arial, Helvetica, sans-serif"/>
        <color rgb="FF1155CC"/>
        <u/>
      </rPr>
      <t>Emmett Johnson</t>
    </r>
    <r>
      <rPr>
        <rFont val="Poppins, Arial, Helvetica, sans-serif"/>
      </rPr>
      <t>KC (5)</t>
    </r>
  </si>
  <si>
    <t>C. Kupp</t>
  </si>
  <si>
    <t>WR-89</t>
  </si>
  <si>
    <t>RB55</t>
  </si>
  <si>
    <t>WR57</t>
  </si>
  <si>
    <t>189 -30</t>
  </si>
  <si>
    <r>
      <rPr>
        <rFont val="Poppins, Arial, Helvetica, sans-serif"/>
        <color rgb="FF1155CC"/>
        <u/>
      </rPr>
      <t>Denver Broncos DST</t>
    </r>
    <r>
      <rPr>
        <rFont val="Poppins, Arial, Helvetica, sans-serif"/>
      </rPr>
      <t>(10)</t>
    </r>
  </si>
  <si>
    <r>
      <rPr>
        <rFont val="Poppins, Arial, Helvetica, sans-serif"/>
        <color rgb="FF1155CC"/>
        <sz val="9.0"/>
        <u/>
      </rPr>
      <t>Deebo Samuel Sr.</t>
    </r>
    <r>
      <rPr>
        <rFont val="Poppins, Arial, Helvetica, sans-serif"/>
        <sz val="9.0"/>
      </rPr>
      <t xml:space="preserve"> (SF)</t>
    </r>
  </si>
  <si>
    <t>T. Thornton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</si>
  <si>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Dobbins</t>
    </r>
    <r>
      <rPr>
        <rFont val="Roboto, sans-serif"/>
      </rPr>
      <t xml:space="preserve">
DENRB28</t>
    </r>
  </si>
  <si>
    <t>WR-90</t>
  </si>
  <si>
    <t>DST4</t>
  </si>
  <si>
    <t>126 +34</t>
  </si>
  <si>
    <t>J. Wright</t>
  </si>
  <si>
    <r>
      <rPr>
        <rFont val="Poppins, Arial, Helvetica, sans-serif"/>
        <color rgb="FF1155CC"/>
        <u/>
      </rPr>
      <t>Rashid Shaheed</t>
    </r>
    <r>
      <rPr>
        <rFont val="Poppins, Arial, Helvetica, sans-serif"/>
      </rPr>
      <t>SEA (11)</t>
    </r>
  </si>
  <si>
    <t>RB-72</t>
  </si>
  <si>
    <r>
      <rPr>
        <rFont val="Poppins, Arial, Helvetica, sans-serif"/>
        <color rgb="FF1155CC"/>
        <sz val="9.0"/>
        <u/>
      </rPr>
      <t>Jalen McMillan</t>
    </r>
    <r>
      <rPr>
        <rFont val="Poppins, Arial, Helvetica, sans-serif"/>
        <sz val="9.0"/>
      </rPr>
      <t xml:space="preserve"> (TB)</t>
    </r>
  </si>
  <si>
    <t>P. Bryant</t>
  </si>
  <si>
    <t>WR-91</t>
  </si>
  <si>
    <t>135 +26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</si>
  <si>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Addison</t>
    </r>
    <r>
      <rPr>
        <rFont val="Roboto, sans-serif"/>
      </rPr>
      <t xml:space="preserve">
MINWR40</t>
    </r>
  </si>
  <si>
    <r>
      <rPr>
        <rFont val="Poppins, Arial, Helvetica, sans-serif"/>
        <color rgb="FF1155CC"/>
        <u/>
      </rPr>
      <t>Cameron Dicker</t>
    </r>
    <r>
      <rPr>
        <rFont val="Poppins, Arial, Helvetica, sans-serif"/>
      </rPr>
      <t>LAC (7)</t>
    </r>
  </si>
  <si>
    <t>WR59</t>
  </si>
  <si>
    <r>
      <rPr>
        <rFont val="Poppins, Arial, Helvetica, sans-serif"/>
        <color rgb="FF1155CC"/>
        <sz val="9.0"/>
        <u/>
      </rPr>
      <t>Adonai Mitchell</t>
    </r>
    <r>
      <rPr>
        <rFont val="Poppins, Arial, Helvetica, sans-serif"/>
        <sz val="9.0"/>
      </rPr>
      <t xml:space="preserve"> (NYJ)</t>
    </r>
  </si>
  <si>
    <t>J. Hill</t>
  </si>
  <si>
    <t>RB-73</t>
  </si>
  <si>
    <t>K2</t>
  </si>
  <si>
    <t>144 +18</t>
  </si>
  <si>
    <r>
      <rPr>
        <rFont val="Poppins, Arial, Helvetica, sans-serif"/>
        <color rgb="FF1155CC"/>
        <u/>
      </rPr>
      <t>Philadelphia Eagles DST</t>
    </r>
    <r>
      <rPr>
        <rFont val="Poppins, Arial, Helvetica, sans-serif"/>
      </rPr>
      <t>(10)</t>
    </r>
  </si>
  <si>
    <t>A. Randall</t>
  </si>
  <si>
    <t>WR60</t>
  </si>
  <si>
    <t>RB-74</t>
  </si>
  <si>
    <r>
      <rPr>
        <rFont val="Poppins, Arial, Helvetica, sans-serif"/>
        <color rgb="FF1155CC"/>
        <sz val="9.0"/>
        <u/>
      </rPr>
      <t>Braelon Allen</t>
    </r>
    <r>
      <rPr>
        <rFont val="Poppins, Arial, Helvetica, sans-serif"/>
        <sz val="9.0"/>
      </rPr>
      <t xml:space="preserve"> (NYJ)</t>
    </r>
  </si>
  <si>
    <t>DST5</t>
  </si>
  <si>
    <t>159 +4</t>
  </si>
  <si>
    <t>B. Young</t>
  </si>
  <si>
    <r>
      <rPr>
        <rFont val="Poppins, Arial, Helvetica, sans-serif"/>
        <color rgb="FF1155CC"/>
        <u/>
      </rPr>
      <t>Deebo Samuel Sr.</t>
    </r>
    <r>
      <rPr>
        <rFont val="Poppins, Arial, Helvetica, sans-serif"/>
      </rPr>
      <t>SF (8)</t>
    </r>
  </si>
  <si>
    <t>QB-28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</si>
  <si>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Dart</t>
    </r>
    <r>
      <rPr>
        <rFont val="Roboto, sans-serif"/>
      </rPr>
      <t xml:space="preserve">
NYGQB13</t>
    </r>
  </si>
  <si>
    <t>M. Mayer</t>
  </si>
  <si>
    <r>
      <rPr>
        <rFont val="Poppins, Arial, Helvetica, sans-serif"/>
        <color rgb="FF1155CC"/>
        <sz val="9.0"/>
        <u/>
      </rPr>
      <t>Denzel Boston</t>
    </r>
    <r>
      <rPr>
        <rFont val="Poppins, Arial, Helvetica, sans-serif"/>
        <sz val="9.0"/>
      </rPr>
      <t xml:space="preserve"> (CLE)</t>
    </r>
  </si>
  <si>
    <t>TE-32</t>
  </si>
  <si>
    <t>155 +9</t>
  </si>
  <si>
    <r>
      <rPr>
        <rFont val="Poppins, Arial, Helvetica, sans-serif"/>
        <color rgb="FF1155CC"/>
        <u/>
      </rPr>
      <t>Matthew Golden</t>
    </r>
    <r>
      <rPr>
        <rFont val="Poppins, Arial, Helvetica, sans-serif"/>
      </rPr>
      <t>GB (11)</t>
    </r>
  </si>
  <si>
    <t>C. Brooks</t>
  </si>
  <si>
    <t>WR61</t>
  </si>
  <si>
    <t>RB-75</t>
  </si>
  <si>
    <r>
      <rPr>
        <rFont val="Poppins, Arial, Helvetica, sans-serif"/>
        <color rgb="FF1155CC"/>
        <sz val="9.0"/>
        <u/>
      </rPr>
      <t>Omar Cooper Jr.</t>
    </r>
    <r>
      <rPr>
        <rFont val="Poppins, Arial, Helvetica, sans-serif"/>
        <sz val="9.0"/>
      </rPr>
      <t xml:space="preserve"> (NYJ)</t>
    </r>
  </si>
  <si>
    <t>130 +35</t>
  </si>
  <si>
    <r>
      <rPr>
        <rFont val="Poppins, Arial, Helvetica, sans-serif"/>
        <color rgb="FF1155CC"/>
        <u/>
      </rPr>
      <t>Tank Bigsby</t>
    </r>
    <r>
      <rPr>
        <rFont val="Poppins, Arial, Helvetica, sans-serif"/>
      </rPr>
      <t>PHI (10)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</si>
  <si>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hamondre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Stevenson</t>
    </r>
    <r>
      <rPr>
        <rFont val="Roboto, sans-serif"/>
      </rPr>
      <t xml:space="preserve">
NERB29</t>
    </r>
  </si>
  <si>
    <t>J. Bech</t>
  </si>
  <si>
    <t>WR-92</t>
  </si>
  <si>
    <t>WR62</t>
  </si>
  <si>
    <t>RB56</t>
  </si>
  <si>
    <t>Tier 10</t>
  </si>
  <si>
    <t>149 +17</t>
  </si>
  <si>
    <r>
      <rPr>
        <rFont val="Poppins, Arial, Helvetica, sans-serif"/>
        <color rgb="FF1155CC"/>
        <u/>
      </rPr>
      <t>Jason Myers</t>
    </r>
    <r>
      <rPr>
        <rFont val="Poppins, Arial, Helvetica, sans-serif"/>
      </rPr>
      <t>SEA (11)</t>
    </r>
  </si>
  <si>
    <r>
      <rPr>
        <rFont val="Poppins, Arial, Helvetica, sans-serif"/>
        <color rgb="FF1155CC"/>
        <u/>
      </rPr>
      <t>Customize Tiers</t>
    </r>
  </si>
  <si>
    <t>N. Singleton</t>
  </si>
  <si>
    <r>
      <rPr>
        <rFont val="Poppins, Arial, Helvetica, sans-serif"/>
        <color rgb="FF1155CC"/>
        <sz val="9.0"/>
        <u/>
      </rPr>
      <t>Tre Tucker</t>
    </r>
    <r>
      <rPr>
        <rFont val="Poppins, Arial, Helvetica, sans-serif"/>
        <sz val="9.0"/>
      </rPr>
      <t xml:space="preserve"> (LV)</t>
    </r>
  </si>
  <si>
    <t>RB-76</t>
  </si>
  <si>
    <t>K3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</si>
  <si>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Mason</t>
    </r>
    <r>
      <rPr>
        <rFont val="Roboto, sans-serif"/>
      </rPr>
      <t xml:space="preserve">
MINRB30</t>
    </r>
  </si>
  <si>
    <t>153 +14</t>
  </si>
  <si>
    <t>WR63</t>
  </si>
  <si>
    <t>C. Kirk</t>
  </si>
  <si>
    <r>
      <rPr>
        <rFont val="Poppins, Arial, Helvetica, sans-serif"/>
        <color rgb="FF1155CC"/>
        <u/>
      </rPr>
      <t>Braelon Allen</t>
    </r>
    <r>
      <rPr>
        <rFont val="Poppins, Arial, Helvetica, sans-serif"/>
      </rPr>
      <t>NYJ (13)</t>
    </r>
  </si>
  <si>
    <t>WR-93</t>
  </si>
  <si>
    <r>
      <rPr>
        <rFont val="Poppins, Arial, Helvetica, sans-serif"/>
        <color rgb="FF1155CC"/>
        <sz val="9.0"/>
        <u/>
      </rPr>
      <t>Bryce Young</t>
    </r>
    <r>
      <rPr>
        <rFont val="Poppins, Arial, Helvetica, sans-serif"/>
        <sz val="9.0"/>
      </rPr>
      <t xml:space="preserve"> (CAR)</t>
    </r>
  </si>
  <si>
    <t>X. Legette</t>
  </si>
  <si>
    <t>RB57</t>
  </si>
  <si>
    <t>WR-94</t>
  </si>
  <si>
    <t>180 -12</t>
  </si>
  <si>
    <t>QB26</t>
  </si>
  <si>
    <r>
      <rPr>
        <rFont val="Poppins, Arial, Helvetica, sans-serif"/>
        <color rgb="FF1155CC"/>
        <u/>
      </rPr>
      <t>Mike Washington Jr.</t>
    </r>
    <r>
      <rPr>
        <rFont val="Poppins, Arial, Helvetica, sans-serif"/>
      </rPr>
      <t>LV (13)</t>
    </r>
  </si>
  <si>
    <r>
      <rPr>
        <rFont val="Poppins, Arial, Helvetica, sans-serif"/>
        <color rgb="FF1155CC"/>
        <sz val="9.0"/>
        <u/>
      </rPr>
      <t>Stefon Diggs</t>
    </r>
    <r>
      <rPr>
        <rFont val="Poppins, Arial, Helvetica, sans-serif"/>
        <sz val="9.0"/>
      </rPr>
      <t xml:space="preserve"> (WAS)</t>
    </r>
  </si>
  <si>
    <t>M. Davis</t>
  </si>
  <si>
    <t>RB-77</t>
  </si>
  <si>
    <t>RB58</t>
  </si>
  <si>
    <t>183 -14</t>
  </si>
  <si>
    <r>
      <rPr>
        <rFont val="Poppins, Arial, Helvetica, sans-serif"/>
        <color rgb="FF1155CC"/>
        <u/>
      </rPr>
      <t>Omar Cooper Jr.</t>
    </r>
    <r>
      <rPr>
        <rFont val="Poppins, Arial, Helvetica, sans-serif"/>
      </rPr>
      <t>NYJ (13)</t>
    </r>
  </si>
  <si>
    <t>WR64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</si>
  <si>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Kittle</t>
    </r>
    <r>
      <rPr>
        <rFont val="Roboto, sans-serif"/>
      </rPr>
      <t xml:space="preserve">
SFTE8</t>
    </r>
  </si>
  <si>
    <r>
      <rPr>
        <rFont val="Poppins, Arial, Helvetica, sans-serif"/>
        <color rgb="FF1155CC"/>
        <sz val="9.0"/>
        <u/>
      </rPr>
      <t>Denver Broncos</t>
    </r>
    <r>
      <rPr>
        <rFont val="Poppins, Arial, Helvetica, sans-serif"/>
        <sz val="9.0"/>
      </rPr>
      <t xml:space="preserve"> (DEN)</t>
    </r>
  </si>
  <si>
    <t>T. Franklin</t>
  </si>
  <si>
    <t>WR-95</t>
  </si>
  <si>
    <t>173 -3</t>
  </si>
  <si>
    <r>
      <rPr>
        <rFont val="Poppins, Arial, Helvetica, sans-serif"/>
        <color rgb="FF1155CC"/>
        <u/>
      </rPr>
      <t>Sam Darnold</t>
    </r>
    <r>
      <rPr>
        <rFont val="Poppins, Arial, Helvetica, sans-serif"/>
      </rPr>
      <t>SEA (11)</t>
    </r>
  </si>
  <si>
    <r>
      <rPr>
        <rFont val="Poppins, Arial, Helvetica, sans-serif"/>
        <color rgb="FF1155CC"/>
        <sz val="9.0"/>
        <u/>
      </rPr>
      <t>Travis Hunter</t>
    </r>
    <r>
      <rPr>
        <rFont val="Poppins, Arial, Helvetica, sans-serif"/>
        <sz val="9.0"/>
      </rPr>
      <t xml:space="preserve"> (JAC)</t>
    </r>
  </si>
  <si>
    <t>L. Allen</t>
  </si>
  <si>
    <t>RB-78</t>
  </si>
  <si>
    <t>172 -1</t>
  </si>
  <si>
    <t>WR65</t>
  </si>
  <si>
    <t>A. Rodgers</t>
  </si>
  <si>
    <r>
      <rPr>
        <rFont val="Poppins, Arial, Helvetica, sans-serif"/>
        <color rgb="FF1155CC"/>
        <u/>
      </rPr>
      <t>C.J. Stroud</t>
    </r>
    <r>
      <rPr>
        <rFont val="Poppins, Arial, Helvetica, sans-serif"/>
      </rPr>
      <t>HOU (8)</t>
    </r>
  </si>
  <si>
    <t>QB-29</t>
  </si>
  <si>
    <r>
      <rPr>
        <rFont val="Poppins, Arial, Helvetica, sans-serif"/>
        <color rgb="FF1155CC"/>
        <sz val="9.0"/>
        <u/>
      </rPr>
      <t>Seattle Seahawks</t>
    </r>
    <r>
      <rPr>
        <rFont val="Poppins, Arial, Helvetica, sans-serif"/>
        <sz val="9.0"/>
      </rPr>
      <t xml:space="preserve"> (SEA)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</si>
  <si>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huba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Hubbard</t>
    </r>
    <r>
      <rPr>
        <rFont val="Roboto, sans-serif"/>
      </rPr>
      <t xml:space="preserve">
CARRB31</t>
    </r>
  </si>
  <si>
    <t>D. Washington</t>
  </si>
  <si>
    <t>190 -18</t>
  </si>
  <si>
    <t>TE-33</t>
  </si>
  <si>
    <r>
      <rPr>
        <rFont val="Poppins, Arial, Helvetica, sans-serif"/>
        <color rgb="FF1155CC"/>
        <u/>
      </rPr>
      <t>Jerry Jeudy</t>
    </r>
    <r>
      <rPr>
        <rFont val="Poppins, Arial, Helvetica, sans-serif"/>
      </rPr>
      <t>CLE (11)</t>
    </r>
  </si>
  <si>
    <r>
      <rPr>
        <rFont val="Poppins, Arial, Helvetica, sans-serif"/>
        <color rgb="FF1155CC"/>
        <sz val="9.0"/>
        <u/>
      </rPr>
      <t>Los Angeles Rams</t>
    </r>
    <r>
      <rPr>
        <rFont val="Poppins, Arial, Helvetica, sans-serif"/>
        <sz val="9.0"/>
      </rPr>
      <t xml:space="preserve"> (LAR)</t>
    </r>
  </si>
  <si>
    <t>S. McGowan</t>
  </si>
  <si>
    <t>RB-79</t>
  </si>
  <si>
    <t>174 -1</t>
  </si>
  <si>
    <r>
      <rPr>
        <rFont val="Poppins, Arial, Helvetica, sans-serif"/>
        <color rgb="FF1155CC"/>
        <u/>
      </rPr>
      <t>Cam Little</t>
    </r>
    <r>
      <rPr>
        <rFont val="Poppins, Arial, Helvetica, sans-serif"/>
      </rPr>
      <t>JAC (7)</t>
    </r>
  </si>
  <si>
    <r>
      <rPr>
        <rFont val="Poppins, Arial, Helvetica, sans-serif"/>
        <color rgb="FF1155CC"/>
        <sz val="9.0"/>
        <u/>
      </rPr>
      <t>Philadelphia Eagles</t>
    </r>
    <r>
      <rPr>
        <rFont val="Poppins, Arial, Helvetica, sans-serif"/>
        <sz val="9.0"/>
      </rPr>
      <t xml:space="preserve"> (PHI)</t>
    </r>
  </si>
  <si>
    <t>R. Wilson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</si>
  <si>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Dowdle</t>
    </r>
    <r>
      <rPr>
        <rFont val="Roboto, sans-serif"/>
      </rPr>
      <t xml:space="preserve">
PITRB32</t>
    </r>
  </si>
  <si>
    <t>WR-96</t>
  </si>
  <si>
    <t>K4</t>
  </si>
  <si>
    <t>158 +16</t>
  </si>
  <si>
    <r>
      <rPr>
        <rFont val="Poppins, Arial, Helvetica, sans-serif"/>
        <color rgb="FF1155CC"/>
        <u/>
      </rPr>
      <t>Denzel Boston</t>
    </r>
    <r>
      <rPr>
        <rFont val="Poppins, Arial, Helvetica, sans-serif"/>
      </rPr>
      <t>CLE (11)</t>
    </r>
  </si>
  <si>
    <r>
      <rPr>
        <rFont val="Poppins, Arial, Helvetica, sans-serif"/>
        <color rgb="FF1155CC"/>
        <sz val="9.0"/>
        <u/>
      </rPr>
      <t>Kayshon Boutte</t>
    </r>
    <r>
      <rPr>
        <rFont val="Poppins, Arial, Helvetica, sans-serif"/>
        <sz val="9.0"/>
      </rPr>
      <t xml:space="preserve"> (NE)</t>
    </r>
  </si>
  <si>
    <t>T. Brooks</t>
  </si>
  <si>
    <t>RB-80</t>
  </si>
  <si>
    <t>WR66</t>
  </si>
  <si>
    <t>176 -1</t>
  </si>
  <si>
    <t>A. Iosivas</t>
  </si>
  <si>
    <r>
      <rPr>
        <rFont val="Poppins, Arial, Helvetica, sans-serif"/>
        <color rgb="FF1155CC"/>
        <u/>
      </rPr>
      <t>Kayshon Boutte</t>
    </r>
    <r>
      <rPr>
        <rFont val="Poppins, Arial, Helvetica, sans-serif"/>
      </rPr>
      <t>NE (11)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</si>
  <si>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Nix</t>
    </r>
    <r>
      <rPr>
        <rFont val="Roboto, sans-serif"/>
      </rPr>
      <t xml:space="preserve">
DENQB14</t>
    </r>
  </si>
  <si>
    <t>WR-97</t>
  </si>
  <si>
    <r>
      <rPr>
        <rFont val="Poppins, Arial, Helvetica, sans-serif"/>
        <color rgb="FF1155CC"/>
        <sz val="9.0"/>
        <u/>
      </rPr>
      <t>Tre' Harris</t>
    </r>
    <r>
      <rPr>
        <rFont val="Poppins, Arial, Helvetica, sans-serif"/>
        <sz val="9.0"/>
      </rPr>
      <t xml:space="preserve"> (LAC)</t>
    </r>
  </si>
  <si>
    <t>215 -39</t>
  </si>
  <si>
    <t>S. Tucker</t>
  </si>
  <si>
    <t>WR67</t>
  </si>
  <si>
    <r>
      <rPr>
        <rFont val="Poppins, Arial, Helvetica, sans-serif"/>
        <color rgb="FF1155CC"/>
        <u/>
      </rPr>
      <t>New England Patriots DST</t>
    </r>
    <r>
      <rPr>
        <rFont val="Poppins, Arial, Helvetica, sans-serif"/>
      </rPr>
      <t>(11)</t>
    </r>
  </si>
  <si>
    <t>RB-81</t>
  </si>
  <si>
    <r>
      <rPr>
        <rFont val="Poppins, Arial, Helvetica, sans-serif"/>
        <color rgb="FF1155CC"/>
        <sz val="9.0"/>
        <u/>
      </rPr>
      <t>Kimani Vidal</t>
    </r>
    <r>
      <rPr>
        <rFont val="Poppins, Arial, Helvetica, sans-serif"/>
        <sz val="9.0"/>
      </rPr>
      <t xml:space="preserve"> (LAC)</t>
    </r>
  </si>
  <si>
    <t>DST6</t>
  </si>
  <si>
    <t>160 +17</t>
  </si>
  <si>
    <r>
      <rPr>
        <rFont val="Poppins, Arial, Helvetica, sans-serif"/>
        <color rgb="FF1155CC"/>
        <u/>
      </rPr>
      <t>Ka'imi Fairbairn</t>
    </r>
    <r>
      <rPr>
        <rFont val="Poppins, Arial, Helvetica, sans-serif"/>
      </rPr>
      <t>HOU (8)</t>
    </r>
  </si>
  <si>
    <t>K. Bourne</t>
  </si>
  <si>
    <t>WR-98</t>
  </si>
  <si>
    <r>
      <rPr>
        <rFont val="Poppins, Arial, Helvetica, sans-serif"/>
        <color rgb="FF1155CC"/>
        <sz val="9.0"/>
        <u/>
      </rPr>
      <t>AJ Barner</t>
    </r>
    <r>
      <rPr>
        <rFont val="Poppins, Arial, Helvetica, sans-serif"/>
        <sz val="9.0"/>
      </rPr>
      <t xml:space="preserve"> (SEA)</t>
    </r>
  </si>
  <si>
    <t>K5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</si>
  <si>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Pitts</t>
    </r>
    <r>
      <rPr>
        <rFont val="Roboto, sans-serif"/>
      </rPr>
      <t xml:space="preserve">
ATLTE9</t>
    </r>
  </si>
  <si>
    <t>143 +35</t>
  </si>
  <si>
    <r>
      <rPr>
        <rFont val="Poppins, Arial, Helvetica, sans-serif"/>
        <color rgb="FF1155CC"/>
        <u/>
      </rPr>
      <t>Jalen McMillan</t>
    </r>
    <r>
      <rPr>
        <rFont val="Poppins, Arial, Helvetica, sans-serif"/>
      </rPr>
      <t>TB (10)</t>
    </r>
  </si>
  <si>
    <t>S. Vaki</t>
  </si>
  <si>
    <t>RB-82</t>
  </si>
  <si>
    <r>
      <rPr>
        <rFont val="Poppins, Arial, Helvetica, sans-serif"/>
        <color rgb="FF1155CC"/>
        <sz val="9.0"/>
        <u/>
      </rPr>
      <t>Emanuel Wilson</t>
    </r>
    <r>
      <rPr>
        <rFont val="Poppins, Arial, Helvetica, sans-serif"/>
        <sz val="9.0"/>
      </rPr>
      <t xml:space="preserve"> (SEA)</t>
    </r>
  </si>
  <si>
    <t>165 +14</t>
  </si>
  <si>
    <t>T. Horton</t>
  </si>
  <si>
    <r>
      <rPr>
        <rFont val="Poppins, Arial, Helvetica, sans-serif"/>
        <color rgb="FF1155CC"/>
        <u/>
      </rPr>
      <t>AJ Barner</t>
    </r>
    <r>
      <rPr>
        <rFont val="Poppins, Arial, Helvetica, sans-serif"/>
      </rPr>
      <t>SEA (11)</t>
    </r>
  </si>
  <si>
    <t>WR-99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</si>
  <si>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Mahomes</t>
    </r>
    <r>
      <rPr>
        <rFont val="Roboto, sans-serif"/>
      </rPr>
      <t xml:space="preserve">
KCQB15</t>
    </r>
  </si>
  <si>
    <r>
      <rPr>
        <rFont val="Poppins, Arial, Helvetica, sans-serif"/>
        <color rgb="FF1155CC"/>
        <sz val="9.0"/>
        <u/>
      </rPr>
      <t>De'Zhaun Stribling</t>
    </r>
    <r>
      <rPr>
        <rFont val="Poppins, Arial, Helvetica, sans-serif"/>
        <sz val="9.0"/>
      </rPr>
      <t xml:space="preserve"> (SF)</t>
    </r>
  </si>
  <si>
    <t>TE25</t>
  </si>
  <si>
    <t>200 -20</t>
  </si>
  <si>
    <t>G. Smith</t>
  </si>
  <si>
    <r>
      <rPr>
        <rFont val="Poppins, Arial, Helvetica, sans-serif"/>
        <color rgb="FF1155CC"/>
        <u/>
      </rPr>
      <t>Gunnar Helm</t>
    </r>
    <r>
      <rPr>
        <rFont val="Poppins, Arial, Helvetica, sans-serif"/>
      </rPr>
      <t>TEN (9)</t>
    </r>
  </si>
  <si>
    <t>QB-30</t>
  </si>
  <si>
    <t>WR68</t>
  </si>
  <si>
    <t>TE26</t>
  </si>
  <si>
    <r>
      <rPr>
        <rFont val="Poppins, Arial, Helvetica, sans-serif"/>
        <color rgb="FF1155CC"/>
        <sz val="9.0"/>
        <u/>
      </rPr>
      <t>Ryan Flournoy</t>
    </r>
    <r>
      <rPr>
        <rFont val="Poppins, Arial, Helvetica, sans-serif"/>
        <sz val="9.0"/>
      </rPr>
      <t xml:space="preserve"> (DAL)</t>
    </r>
  </si>
  <si>
    <t>235 -54</t>
  </si>
  <si>
    <t>D. Laube</t>
  </si>
  <si>
    <r>
      <rPr>
        <rFont val="Poppins, Arial, Helvetica, sans-serif"/>
        <color rgb="FF1155CC"/>
        <u/>
      </rPr>
      <t>Calvin Ridley</t>
    </r>
    <r>
      <rPr>
        <rFont val="Poppins, Arial, Helvetica, sans-serif"/>
      </rPr>
      <t>TEN (9)</t>
    </r>
  </si>
  <si>
    <t>RB-83</t>
  </si>
  <si>
    <t>WR69</t>
  </si>
  <si>
    <t>E. Arroyo</t>
  </si>
  <si>
    <t>181 +1</t>
  </si>
  <si>
    <r>
      <rPr>
        <rFont val="Roboto, sans-serif"/>
        <color rgb="FF1155CC"/>
        <u/>
      </rPr>
      <t>X</t>
    </r>
    <r>
      <rPr>
        <rFont val="Roboto, sans-serif"/>
        <color rgb="FF1155CC"/>
        <u/>
      </rPr>
      <t>avier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Worthy</t>
    </r>
    <r>
      <rPr>
        <rFont val="Roboto, sans-serif"/>
      </rPr>
      <t xml:space="preserve">
KCWR41</t>
    </r>
  </si>
  <si>
    <r>
      <rPr>
        <rFont val="Poppins, Arial, Helvetica, sans-serif"/>
        <color rgb="FF1155CC"/>
        <sz val="9.0"/>
        <u/>
      </rPr>
      <t>Emmett Johnson</t>
    </r>
    <r>
      <rPr>
        <rFont val="Poppins, Arial, Helvetica, sans-serif"/>
        <sz val="9.0"/>
      </rPr>
      <t xml:space="preserve"> (KC)</t>
    </r>
  </si>
  <si>
    <t>TE-34</t>
  </si>
  <si>
    <r>
      <rPr>
        <rFont val="Poppins, Arial, Helvetica, sans-serif"/>
        <color rgb="FF1155CC"/>
        <u/>
      </rPr>
      <t>Kimani Vidal</t>
    </r>
    <r>
      <rPr>
        <rFont val="Poppins, Arial, Helvetica, sans-serif"/>
      </rPr>
      <t>LAC (7)</t>
    </r>
  </si>
  <si>
    <t>M. Brown</t>
  </si>
  <si>
    <t>RB59</t>
  </si>
  <si>
    <t>WR-100</t>
  </si>
  <si>
    <t>216 -33</t>
  </si>
  <si>
    <r>
      <rPr>
        <rFont val="Poppins, Arial, Helvetica, sans-serif"/>
        <color rgb="FF1155CC"/>
        <sz val="9.0"/>
        <u/>
      </rPr>
      <t>Calvin Ridley</t>
    </r>
    <r>
      <rPr>
        <rFont val="Poppins, Arial, Helvetica, sans-serif"/>
        <sz val="9.0"/>
      </rPr>
      <t xml:space="preserve"> (TEN)</t>
    </r>
  </si>
  <si>
    <r>
      <rPr>
        <rFont val="Poppins, Arial, Helvetica, sans-serif"/>
        <color rgb="FF1155CC"/>
        <u/>
      </rPr>
      <t>Sean Tucker</t>
    </r>
    <r>
      <rPr>
        <rFont val="Poppins, Arial, Helvetica, sans-serif"/>
      </rPr>
      <t>TB (10)</t>
    </r>
  </si>
  <si>
    <t>O. Zaccheaus</t>
  </si>
  <si>
    <t>WR-101</t>
  </si>
  <si>
    <t>RB60</t>
  </si>
  <si>
    <t>206 -22</t>
  </si>
  <si>
    <t>WR70</t>
  </si>
  <si>
    <r>
      <rPr>
        <rFont val="Poppins, Arial, Helvetica, sans-serif"/>
        <color rgb="FF1155CC"/>
        <u/>
      </rPr>
      <t>Minnesota Vikings DST</t>
    </r>
    <r>
      <rPr>
        <rFont val="Poppins, Arial, Helvetica, sans-serif"/>
      </rPr>
      <t>(6)</t>
    </r>
  </si>
  <si>
    <t>J. Palmer</t>
  </si>
  <si>
    <r>
      <rPr>
        <rFont val="Poppins, Arial, Helvetica, sans-serif"/>
        <color rgb="FF1155CC"/>
        <sz val="9.0"/>
        <u/>
      </rPr>
      <t>Ray Davis</t>
    </r>
    <r>
      <rPr>
        <rFont val="Poppins, Arial, Helvetica, sans-serif"/>
        <sz val="9.0"/>
      </rPr>
      <t xml:space="preserve"> (BUF)</t>
    </r>
  </si>
  <si>
    <t>WR-102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</si>
  <si>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lake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Corum</t>
    </r>
    <r>
      <rPr>
        <rFont val="Roboto, sans-serif"/>
      </rPr>
      <t xml:space="preserve">
LARRB33</t>
    </r>
  </si>
  <si>
    <t>K. Miller</t>
  </si>
  <si>
    <t>DST7</t>
  </si>
  <si>
    <t>RB-84</t>
  </si>
  <si>
    <t>166 +19</t>
  </si>
  <si>
    <r>
      <rPr>
        <rFont val="Poppins, Arial, Helvetica, sans-serif"/>
        <color rgb="FF1155CC"/>
        <u/>
      </rPr>
      <t>Cade Otton</t>
    </r>
    <r>
      <rPr>
        <rFont val="Poppins, Arial, Helvetica, sans-serif"/>
      </rPr>
      <t>TB (10)</t>
    </r>
  </si>
  <si>
    <r>
      <rPr>
        <rFont val="Poppins, Arial, Helvetica, sans-serif"/>
        <color rgb="FF1155CC"/>
        <sz val="9.0"/>
        <u/>
      </rPr>
      <t>Sean Tucker</t>
    </r>
    <r>
      <rPr>
        <rFont val="Poppins, Arial, Helvetica, sans-serif"/>
        <sz val="9.0"/>
      </rPr>
      <t xml:space="preserve"> (TB)</t>
    </r>
  </si>
  <si>
    <t>D. Douglas</t>
  </si>
  <si>
    <t>WR-103</t>
  </si>
  <si>
    <t>TE27</t>
  </si>
  <si>
    <t>232 -46</t>
  </si>
  <si>
    <r>
      <rPr>
        <rFont val="Poppins, Arial, Helvetica, sans-serif"/>
        <color rgb="FF1155CC"/>
        <u/>
      </rPr>
      <t>Nicholas Singleton</t>
    </r>
    <r>
      <rPr>
        <rFont val="Poppins, Arial, Helvetica, sans-serif"/>
      </rPr>
      <t>TEN (9)</t>
    </r>
  </si>
  <si>
    <r>
      <rPr>
        <rFont val="Poppins, Arial, Helvetica, sans-serif"/>
        <color rgb="FF1155CC"/>
        <sz val="9.0"/>
        <u/>
      </rPr>
      <t>Brandon Aubrey</t>
    </r>
    <r>
      <rPr>
        <rFont val="Poppins, Arial, Helvetica, sans-serif"/>
        <sz val="9.0"/>
      </rPr>
      <t xml:space="preserve"> (DAL)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</si>
  <si>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PITRB34</t>
    </r>
  </si>
  <si>
    <t>T. Tagovailoa</t>
  </si>
  <si>
    <t>RB61</t>
  </si>
  <si>
    <t>QB-31</t>
  </si>
  <si>
    <t>194 -7</t>
  </si>
  <si>
    <r>
      <rPr>
        <rFont val="Poppins, Arial, Helvetica, sans-serif"/>
        <color rgb="FF1155CC"/>
        <u/>
      </rPr>
      <t>Cam Ward</t>
    </r>
    <r>
      <rPr>
        <rFont val="Poppins, Arial, Helvetica, sans-serif"/>
      </rPr>
      <t>TEN (9)</t>
    </r>
  </si>
  <si>
    <r>
      <rPr>
        <rFont val="Poppins, Arial, Helvetica, sans-serif"/>
        <color rgb="FF1155CC"/>
        <sz val="9.0"/>
        <u/>
      </rPr>
      <t>Jalen Nailor</t>
    </r>
    <r>
      <rPr>
        <rFont val="Poppins, Arial, Helvetica, sans-serif"/>
        <sz val="9.0"/>
      </rPr>
      <t xml:space="preserve"> (LV)</t>
    </r>
  </si>
  <si>
    <t>D. Njoku</t>
  </si>
  <si>
    <t>TE-35</t>
  </si>
  <si>
    <t>WR71</t>
  </si>
  <si>
    <t>199 -11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</si>
  <si>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Croskey-Merritt</t>
    </r>
    <r>
      <rPr>
        <rFont val="Roboto, sans-serif"/>
      </rPr>
      <t xml:space="preserve">
WASRB35</t>
    </r>
  </si>
  <si>
    <r>
      <rPr>
        <rFont val="Poppins, Arial, Helvetica, sans-serif"/>
        <color rgb="FF1155CC"/>
        <u/>
      </rPr>
      <t>Antonio Williams</t>
    </r>
    <r>
      <rPr>
        <rFont val="Poppins, Arial, Helvetica, sans-serif"/>
      </rPr>
      <t>WAS (7)</t>
    </r>
  </si>
  <si>
    <r>
      <rPr>
        <rFont val="Poppins, Arial, Helvetica, sans-serif"/>
        <color rgb="FF1155CC"/>
        <sz val="9.0"/>
        <u/>
      </rPr>
      <t>Minnesota Vikings</t>
    </r>
    <r>
      <rPr>
        <rFont val="Poppins, Arial, Helvetica, sans-serif"/>
        <sz val="9.0"/>
      </rPr>
      <t xml:space="preserve"> (MIN)</t>
    </r>
  </si>
  <si>
    <t>D. Walker</t>
  </si>
  <si>
    <t>WR-104</t>
  </si>
  <si>
    <t>192 -3</t>
  </si>
  <si>
    <t>J. Lane</t>
  </si>
  <si>
    <r>
      <rPr>
        <rFont val="Poppins, Arial, Helvetica, sans-serif"/>
        <color rgb="FF1155CC"/>
        <u/>
      </rPr>
      <t>Jalen Nailor</t>
    </r>
    <r>
      <rPr>
        <rFont val="Poppins, Arial, Helvetica, sans-serif"/>
      </rPr>
      <t>LV (13)</t>
    </r>
  </si>
  <si>
    <r>
      <rPr>
        <rFont val="Poppins, Arial, Helvetica, sans-serif"/>
        <color rgb="FF1155CC"/>
        <sz val="9.0"/>
        <u/>
      </rPr>
      <t>Jacksonville Jaguars</t>
    </r>
    <r>
      <rPr>
        <rFont val="Poppins, Arial, Helvetica, sans-serif"/>
        <sz val="9.0"/>
      </rPr>
      <t xml:space="preserve"> (JAC)</t>
    </r>
  </si>
  <si>
    <t>WR-105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</si>
  <si>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Monangai</t>
    </r>
    <r>
      <rPr>
        <rFont val="Roboto, sans-serif"/>
      </rPr>
      <t xml:space="preserve">
CHIRB36</t>
    </r>
  </si>
  <si>
    <t>T. Johnson</t>
  </si>
  <si>
    <t>RB-85</t>
  </si>
  <si>
    <t>170 +20</t>
  </si>
  <si>
    <r>
      <rPr>
        <rFont val="Poppins, Arial, Helvetica, sans-serif"/>
        <color rgb="FF1155CC"/>
        <u/>
      </rPr>
      <t>Travis Hunter</t>
    </r>
    <r>
      <rPr>
        <rFont val="Poppins, Arial, Helvetica, sans-serif"/>
      </rPr>
      <t>JAC (7)</t>
    </r>
  </si>
  <si>
    <r>
      <rPr>
        <rFont val="Poppins, Arial, Helvetica, sans-serif"/>
        <color rgb="FF1155CC"/>
        <sz val="9.0"/>
        <u/>
      </rPr>
      <t>Kenyon Sadiq</t>
    </r>
    <r>
      <rPr>
        <rFont val="Poppins, Arial, Helvetica, sans-serif"/>
        <sz val="9.0"/>
      </rPr>
      <t xml:space="preserve"> (NYJ)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</si>
  <si>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Brooks</t>
    </r>
    <r>
      <rPr>
        <rFont val="Roboto, sans-serif"/>
      </rPr>
      <t xml:space="preserve">
CARRB37</t>
    </r>
  </si>
  <si>
    <t>K. Coleman</t>
  </si>
  <si>
    <t>WR-106</t>
  </si>
  <si>
    <t>185 +6</t>
  </si>
  <si>
    <r>
      <rPr>
        <rFont val="Poppins, Arial, Helvetica, sans-serif"/>
        <color rgb="FF1155CC"/>
        <u/>
      </rPr>
      <t>Tyler Loop</t>
    </r>
    <r>
      <rPr>
        <rFont val="Poppins, Arial, Helvetica, sans-serif"/>
      </rPr>
      <t>BAL (13)</t>
    </r>
  </si>
  <si>
    <r>
      <rPr>
        <rFont val="Poppins, Arial, Helvetica, sans-serif"/>
        <color rgb="FF1155CC"/>
        <sz val="9.0"/>
        <u/>
      </rPr>
      <t>Dalton Schultz</t>
    </r>
    <r>
      <rPr>
        <rFont val="Poppins, Arial, Helvetica, sans-serif"/>
        <sz val="9.0"/>
      </rPr>
      <t xml:space="preserve"> (HOU)</t>
    </r>
  </si>
  <si>
    <t>C. Parkinson</t>
  </si>
  <si>
    <t>TE-36</t>
  </si>
  <si>
    <t>K6</t>
  </si>
  <si>
    <t>184 +8</t>
  </si>
  <si>
    <r>
      <rPr>
        <rFont val="Poppins, Arial, Helvetica, sans-serif"/>
        <color rgb="FF1155CC"/>
        <u/>
      </rPr>
      <t>Tyreek Hill</t>
    </r>
  </si>
  <si>
    <r>
      <rPr>
        <rFont val="Poppins, Arial, Helvetica, sans-serif"/>
        <color rgb="FF1155CC"/>
        <sz val="9.0"/>
        <u/>
      </rPr>
      <t>Pittsburgh Steelers</t>
    </r>
    <r>
      <rPr>
        <rFont val="Poppins, Arial, Helvetica, sans-serif"/>
        <sz val="9.0"/>
      </rPr>
      <t xml:space="preserve"> (PIT)</t>
    </r>
  </si>
  <si>
    <t>S. Williams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</si>
  <si>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Doubs</t>
    </r>
    <r>
      <rPr>
        <rFont val="Roboto, sans-serif"/>
      </rPr>
      <t xml:space="preserve">
NEWR42</t>
    </r>
  </si>
  <si>
    <t>WR-107</t>
  </si>
  <si>
    <t>DST8</t>
  </si>
  <si>
    <t>Kansas City Chiefs DST</t>
  </si>
  <si>
    <t>DST-17</t>
  </si>
  <si>
    <r>
      <rPr>
        <rFont val="Poppins, Arial, Helvetica, sans-serif"/>
        <color rgb="FF1155CC"/>
        <sz val="9.0"/>
        <u/>
      </rPr>
      <t>New England Patriots</t>
    </r>
    <r>
      <rPr>
        <rFont val="Poppins, Arial, Helvetica, sans-serif"/>
        <sz val="9.0"/>
      </rPr>
      <t xml:space="preserve"> (NE)</t>
    </r>
  </si>
  <si>
    <t>168 +25</t>
  </si>
  <si>
    <r>
      <rPr>
        <rFont val="Poppins, Arial, Helvetica, sans-serif"/>
        <color rgb="FF1155CC"/>
        <u/>
      </rPr>
      <t>Terrance Ferguson</t>
    </r>
    <r>
      <rPr>
        <rFont val="Poppins, Arial, Helvetica, sans-serif"/>
      </rPr>
      <t>LAR (11)</t>
    </r>
  </si>
  <si>
    <t>Buffalo Bills DST</t>
  </si>
  <si>
    <t>DST9</t>
  </si>
  <si>
    <t>TE28</t>
  </si>
  <si>
    <t>DST-18</t>
  </si>
  <si>
    <t>234 -40</t>
  </si>
  <si>
    <r>
      <rPr>
        <rFont val="Poppins, Arial, Helvetica, sans-serif"/>
        <color rgb="FF1155CC"/>
        <sz val="9.0"/>
        <u/>
      </rPr>
      <t>Mike Washington Jr.</t>
    </r>
    <r>
      <rPr>
        <rFont val="Poppins, Arial, Helvetica, sans-serif"/>
        <sz val="9.0"/>
      </rPr>
      <t xml:space="preserve"> (LV)</t>
    </r>
  </si>
  <si>
    <r>
      <rPr>
        <rFont val="Poppins, Arial, Helvetica, sans-serif"/>
        <color rgb="FF1155CC"/>
        <u/>
      </rPr>
      <t>Eli Stowers</t>
    </r>
    <r>
      <rPr>
        <rFont val="Poppins, Arial, Helvetica, sans-serif"/>
      </rPr>
      <t>PHI (10)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</si>
  <si>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ared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Goff</t>
    </r>
    <r>
      <rPr>
        <rFont val="Roboto, sans-serif"/>
      </rPr>
      <t xml:space="preserve">
DETQB16</t>
    </r>
  </si>
  <si>
    <t>S. Sanders</t>
  </si>
  <si>
    <t>QB-32</t>
  </si>
  <si>
    <t>TE29</t>
  </si>
  <si>
    <r>
      <rPr>
        <rFont val="Poppins, Arial, Helvetica, sans-serif"/>
        <color rgb="FF1155CC"/>
        <sz val="9.0"/>
        <u/>
      </rPr>
      <t>James Conner</t>
    </r>
    <r>
      <rPr>
        <rFont val="Poppins, Arial, Helvetica, sans-serif"/>
        <sz val="9.0"/>
      </rPr>
      <t xml:space="preserve"> (ARI)</t>
    </r>
  </si>
  <si>
    <t>221 -26</t>
  </si>
  <si>
    <r>
      <rPr>
        <rFont val="Poppins, Arial, Helvetica, sans-serif"/>
        <color rgb="FF1155CC"/>
        <u/>
      </rPr>
      <t>Kaytron Allen</t>
    </r>
    <r>
      <rPr>
        <rFont val="Poppins, Arial, Helvetica, sans-serif"/>
      </rPr>
      <t>WAS (7)</t>
    </r>
  </si>
  <si>
    <t>Tampa Bay Buccaneers DST</t>
  </si>
  <si>
    <t>DST-19</t>
  </si>
  <si>
    <t>RB62</t>
  </si>
  <si>
    <r>
      <rPr>
        <rFont val="Poppins, Arial, Helvetica, sans-serif"/>
        <color rgb="FF1155CC"/>
        <sz val="9.0"/>
        <u/>
      </rPr>
      <t>Los Angeles Chargers</t>
    </r>
    <r>
      <rPr>
        <rFont val="Poppins, Arial, Helvetica, sans-serif"/>
        <sz val="9.0"/>
      </rPr>
      <t xml:space="preserve"> (LAC)</t>
    </r>
  </si>
  <si>
    <t>San Francisco 49ers DST</t>
  </si>
  <si>
    <r>
      <rPr>
        <rFont val="Poppins, Arial, Helvetica, sans-serif"/>
        <color rgb="FF1155CC"/>
        <u/>
      </rPr>
      <t>Harrison Mevis</t>
    </r>
    <r>
      <rPr>
        <rFont val="Poppins, Arial, Helvetica, sans-serif"/>
      </rPr>
      <t>LAR (11)</t>
    </r>
  </si>
  <si>
    <t>DST-20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</si>
  <si>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Andrews</t>
    </r>
    <r>
      <rPr>
        <rFont val="Roboto, sans-serif"/>
      </rPr>
      <t xml:space="preserve">
BALTE10</t>
    </r>
  </si>
  <si>
    <t>H. Butker</t>
  </si>
  <si>
    <t>K-17</t>
  </si>
  <si>
    <t>K7</t>
  </si>
  <si>
    <t>209 -12</t>
  </si>
  <si>
    <t>DST10</t>
  </si>
  <si>
    <r>
      <rPr>
        <rFont val="Poppins, Arial, Helvetica, sans-serif"/>
        <color rgb="FF1155CC"/>
        <u/>
      </rPr>
      <t>Baltimore Ravens DST</t>
    </r>
    <r>
      <rPr>
        <rFont val="Poppins, Arial, Helvetica, sans-serif"/>
      </rPr>
      <t>(13)</t>
    </r>
  </si>
  <si>
    <t>W. Lutz</t>
  </si>
  <si>
    <r>
      <rPr>
        <rFont val="Poppins, Arial, Helvetica, sans-serif"/>
        <color rgb="FF1155CC"/>
        <sz val="9.0"/>
        <u/>
      </rPr>
      <t>Jacoby Brissett</t>
    </r>
    <r>
      <rPr>
        <rFont val="Poppins, Arial, Helvetica, sans-serif"/>
        <sz val="9.0"/>
      </rPr>
      <t xml:space="preserve"> (ARI)</t>
    </r>
  </si>
  <si>
    <t>K-18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</si>
  <si>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Meyers</t>
    </r>
    <r>
      <rPr>
        <rFont val="Roboto, sans-serif"/>
      </rPr>
      <t xml:space="preserve">
JACWR43</t>
    </r>
  </si>
  <si>
    <r>
      <rPr>
        <rFont val="Poppins, Arial, Helvetica, sans-serif"/>
        <color rgb="FF1155CC"/>
        <u/>
      </rPr>
      <t>Adonai Mitchell</t>
    </r>
    <r>
      <rPr>
        <rFont val="Poppins, Arial, Helvetica, sans-serif"/>
      </rPr>
      <t>NYJ (13)</t>
    </r>
  </si>
  <si>
    <t>N. Folk</t>
  </si>
  <si>
    <t>K-19</t>
  </si>
  <si>
    <t>QB27</t>
  </si>
  <si>
    <t>J. Moody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</si>
  <si>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Stafford</t>
    </r>
    <r>
      <rPr>
        <rFont val="Roboto, sans-serif"/>
      </rPr>
      <t xml:space="preserve">
LARQB17</t>
    </r>
  </si>
  <si>
    <t>K-20</t>
  </si>
  <si>
    <r>
      <rPr>
        <rFont val="Poppins, Arial, Helvetica, sans-serif"/>
        <color rgb="FF1155CC"/>
        <sz val="9.0"/>
        <u/>
      </rPr>
      <t>Terrance Ferguson</t>
    </r>
    <r>
      <rPr>
        <rFont val="Poppins, Arial, Helvetica, sans-serif"/>
        <sz val="9.0"/>
      </rPr>
      <t xml:space="preserve"> (LAR)</t>
    </r>
  </si>
  <si>
    <t>Indianapolis Colts DST</t>
  </si>
  <si>
    <t>DST-21</t>
  </si>
  <si>
    <t>207 -8</t>
  </si>
  <si>
    <t>T. Smack</t>
  </si>
  <si>
    <r>
      <rPr>
        <rFont val="Poppins, Arial, Helvetica, sans-serif"/>
        <color rgb="FF1155CC"/>
        <u/>
      </rPr>
      <t>Bryce Young</t>
    </r>
    <r>
      <rPr>
        <rFont val="Poppins, Arial, Helvetica, sans-serif"/>
      </rPr>
      <t>CAR (5)</t>
    </r>
  </si>
  <si>
    <t>K-21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</si>
  <si>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HOUWR44</t>
    </r>
  </si>
  <si>
    <r>
      <rPr>
        <rFont val="Poppins, Arial, Helvetica, sans-serif"/>
        <color rgb="FF1155CC"/>
        <sz val="9.0"/>
        <u/>
      </rPr>
      <t>Cameron Dicker</t>
    </r>
    <r>
      <rPr>
        <rFont val="Poppins, Arial, Helvetica, sans-serif"/>
        <sz val="9.0"/>
      </rPr>
      <t xml:space="preserve"> (LAC)</t>
    </r>
  </si>
  <si>
    <t>J. Jordan</t>
  </si>
  <si>
    <t>RB-86</t>
  </si>
  <si>
    <t>204 -4</t>
  </si>
  <si>
    <t>WR74</t>
  </si>
  <si>
    <r>
      <rPr>
        <rFont val="Poppins, Arial, Helvetica, sans-serif"/>
        <color rgb="FF1155CC"/>
        <u/>
      </rPr>
      <t>Daniel Jones</t>
    </r>
    <r>
      <rPr>
        <rFont val="Poppins, Arial, Helvetica, sans-serif"/>
      </rPr>
      <t>IND (13)</t>
    </r>
  </si>
  <si>
    <r>
      <rPr>
        <rFont val="Poppins, Arial, Helvetica, sans-serif"/>
        <color rgb="FF1155CC"/>
        <sz val="9.0"/>
        <u/>
      </rPr>
      <t>Ka'imi Fairbairn</t>
    </r>
    <r>
      <rPr>
        <rFont val="Poppins, Arial, Helvetica, sans-serif"/>
        <sz val="9.0"/>
      </rPr>
      <t xml:space="preserve"> (HOU)</t>
    </r>
  </si>
  <si>
    <t>D. Singletary</t>
  </si>
  <si>
    <t>RB-87</t>
  </si>
  <si>
    <t>212 -11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</si>
  <si>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eebo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Samuel</t>
    </r>
    <r>
      <rPr>
        <rFont val="Roboto, sans-serif"/>
      </rPr>
      <t xml:space="preserve">
SFWR45</t>
    </r>
  </si>
  <si>
    <r>
      <rPr>
        <rFont val="Poppins, Arial, Helvetica, sans-serif"/>
        <color rgb="FF1155CC"/>
        <u/>
      </rPr>
      <t>Jacksonville Jaguars DST</t>
    </r>
    <r>
      <rPr>
        <rFont val="Poppins, Arial, Helvetica, sans-serif"/>
      </rPr>
      <t>(7)</t>
    </r>
  </si>
  <si>
    <r>
      <rPr>
        <rFont val="Poppins, Arial, Helvetica, sans-serif"/>
        <color rgb="FF1155CC"/>
        <sz val="9.0"/>
        <u/>
      </rPr>
      <t>Nicholas Singleton</t>
    </r>
    <r>
      <rPr>
        <rFont val="Poppins, Arial, Helvetica, sans-serif"/>
        <sz val="9.0"/>
      </rPr>
      <t xml:space="preserve"> (TEN)</t>
    </r>
  </si>
  <si>
    <t>M. Penix Jr.</t>
  </si>
  <si>
    <t>QB-33</t>
  </si>
  <si>
    <t>RB63</t>
  </si>
  <si>
    <t>C. Kmet</t>
  </si>
  <si>
    <t>177 +25</t>
  </si>
  <si>
    <r>
      <rPr>
        <rFont val="Poppins, Arial, Helvetica, sans-serif"/>
        <color rgb="FF1155CC"/>
        <sz val="9.0"/>
        <u/>
      </rPr>
      <t>Kaytron Allen</t>
    </r>
    <r>
      <rPr>
        <rFont val="Poppins, Arial, Helvetica, sans-serif"/>
        <sz val="9.0"/>
      </rPr>
      <t xml:space="preserve"> (WAS)</t>
    </r>
  </si>
  <si>
    <t>TE-37</t>
  </si>
  <si>
    <r>
      <rPr>
        <rFont val="Poppins, Arial, Helvetica, sans-serif"/>
        <color rgb="FF1155CC"/>
        <u/>
      </rPr>
      <t>Fernando Mendoza</t>
    </r>
    <r>
      <rPr>
        <rFont val="Poppins, Arial, Helvetica, sans-serif"/>
      </rPr>
      <t>LV (13)</t>
    </r>
  </si>
  <si>
    <t>J. Royals</t>
  </si>
  <si>
    <t>RB64</t>
  </si>
  <si>
    <t>WR-108</t>
  </si>
  <si>
    <r>
      <rPr>
        <rFont val="Poppins, Arial, Helvetica, sans-serif"/>
        <color rgb="FF1155CC"/>
        <sz val="9.0"/>
        <u/>
      </rPr>
      <t>Rashod Bateman</t>
    </r>
    <r>
      <rPr>
        <rFont val="Poppins, Arial, Helvetica, sans-serif"/>
        <sz val="9.0"/>
      </rPr>
      <t xml:space="preserve"> (BAL)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</si>
  <si>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Pittman Jr.</t>
    </r>
    <r>
      <rPr>
        <rFont val="Roboto, sans-serif"/>
      </rPr>
      <t xml:space="preserve">
PITWR46</t>
    </r>
  </si>
  <si>
    <t>220 -17</t>
  </si>
  <si>
    <r>
      <rPr>
        <rFont val="Poppins, Arial, Helvetica, sans-serif"/>
        <color rgb="FF1155CC"/>
        <u/>
      </rPr>
      <t>Colby Parkinson</t>
    </r>
    <r>
      <rPr>
        <rFont val="Poppins, Arial, Helvetica, sans-serif"/>
      </rPr>
      <t>LAR (11)</t>
    </r>
  </si>
  <si>
    <t>A. Dulin</t>
  </si>
  <si>
    <t>WR-109</t>
  </si>
  <si>
    <t>WR72</t>
  </si>
  <si>
    <t>TE30</t>
  </si>
  <si>
    <t>249 -45</t>
  </si>
  <si>
    <r>
      <rPr>
        <rFont val="Poppins, Arial, Helvetica, sans-serif"/>
        <color rgb="FF1155CC"/>
        <u/>
      </rPr>
      <t>Tank Dell</t>
    </r>
    <r>
      <rPr>
        <rFont val="Poppins, Arial, Helvetica, sans-serif"/>
      </rPr>
      <t>HOU (8)</t>
    </r>
  </si>
  <si>
    <r>
      <rPr>
        <rFont val="Poppins, Arial, Helvetica, sans-serif"/>
        <color rgb="FF1155CC"/>
        <sz val="9.0"/>
        <u/>
      </rPr>
      <t>Isaac TeSlaa</t>
    </r>
    <r>
      <rPr>
        <rFont val="Poppins, Arial, Helvetica, sans-serif"/>
        <sz val="9.0"/>
      </rPr>
      <t xml:space="preserve"> (DET)</t>
    </r>
  </si>
  <si>
    <t>T. Etienne</t>
  </si>
  <si>
    <t>RB-88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</si>
  <si>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Shough</t>
    </r>
    <r>
      <rPr>
        <rFont val="Roboto, sans-serif"/>
      </rPr>
      <t xml:space="preserve">
NOQB18</t>
    </r>
  </si>
  <si>
    <t>K. Raymond</t>
  </si>
  <si>
    <t>WR73</t>
  </si>
  <si>
    <t>223 -18</t>
  </si>
  <si>
    <t>WR-110</t>
  </si>
  <si>
    <r>
      <rPr>
        <rFont val="Poppins, Arial, Helvetica, sans-serif"/>
        <color rgb="FF1155CC"/>
        <u/>
      </rPr>
      <t>Trey Benson</t>
    </r>
    <r>
      <rPr>
        <rFont val="Poppins, Arial, Helvetica, sans-serif"/>
      </rPr>
      <t>ARI (14)</t>
    </r>
  </si>
  <si>
    <r>
      <rPr>
        <rFont val="Poppins, Arial, Helvetica, sans-serif"/>
        <color rgb="FF1155CC"/>
        <sz val="9.0"/>
        <u/>
      </rPr>
      <t>Baltimore Ravens</t>
    </r>
    <r>
      <rPr>
        <rFont val="Poppins, Arial, Helvetica, sans-serif"/>
        <sz val="9.0"/>
      </rPr>
      <t xml:space="preserve"> (BAL)</t>
    </r>
  </si>
  <si>
    <t>C. Austin III</t>
  </si>
  <si>
    <t>WR-111</t>
  </si>
  <si>
    <t>243 -37</t>
  </si>
  <si>
    <t>DST11</t>
  </si>
  <si>
    <r>
      <rPr>
        <rFont val="Poppins, Arial, Helvetica, sans-serif"/>
        <color rgb="FF1155CC"/>
        <u/>
      </rPr>
      <t>Jacoby Brissett</t>
    </r>
    <r>
      <rPr>
        <rFont val="Poppins, Arial, Helvetica, sans-serif"/>
      </rPr>
      <t>ARI (14)</t>
    </r>
  </si>
  <si>
    <r>
      <rPr>
        <rFont val="Poppins, Arial, Helvetica, sans-serif"/>
        <color rgb="FF1155CC"/>
        <sz val="9.0"/>
        <u/>
      </rPr>
      <t>Cam Little</t>
    </r>
    <r>
      <rPr>
        <rFont val="Poppins, Arial, Helvetica, sans-serif"/>
        <sz val="9.0"/>
      </rPr>
      <t xml:space="preserve"> (JAC)</t>
    </r>
  </si>
  <si>
    <t>TE-38</t>
  </si>
  <si>
    <t>QB28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</si>
  <si>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akai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Lemon</t>
    </r>
    <r>
      <rPr>
        <rFont val="Roboto, sans-serif"/>
      </rPr>
      <t xml:space="preserve">
PHIWR47</t>
    </r>
  </si>
  <si>
    <t>213 -6</t>
  </si>
  <si>
    <t>D. Watson</t>
  </si>
  <si>
    <r>
      <rPr>
        <rFont val="Poppins, Arial, Helvetica, sans-serif"/>
        <color rgb="FF1155CC"/>
        <sz val="9.0"/>
        <u/>
      </rPr>
      <t>Dontayvion Wicks</t>
    </r>
    <r>
      <rPr>
        <rFont val="Poppins, Arial, Helvetica, sans-serif"/>
        <sz val="9.0"/>
      </rPr>
      <t xml:space="preserve"> (PHI)</t>
    </r>
  </si>
  <si>
    <r>
      <rPr>
        <rFont val="Poppins, Arial, Helvetica, sans-serif"/>
        <color rgb="FF1155CC"/>
        <u/>
      </rPr>
      <t>Tre Tucker</t>
    </r>
    <r>
      <rPr>
        <rFont val="Poppins, Arial, Helvetica, sans-serif"/>
      </rPr>
      <t>LV (13)</t>
    </r>
  </si>
  <si>
    <t>QB-34</t>
  </si>
  <si>
    <t>I. Davis</t>
  </si>
  <si>
    <t>RB-89</t>
  </si>
  <si>
    <t>205 +3</t>
  </si>
  <si>
    <r>
      <rPr>
        <rFont val="Poppins, Arial, Helvetica, sans-serif"/>
        <color rgb="FF1155CC"/>
        <u/>
      </rPr>
      <t>De'Zhaun Stribling</t>
    </r>
    <r>
      <rPr>
        <rFont val="Poppins, Arial, Helvetica, sans-serif"/>
      </rPr>
      <t>SF (8)</t>
    </r>
  </si>
  <si>
    <r>
      <rPr>
        <rFont val="Poppins, Arial, Helvetica, sans-serif"/>
        <color rgb="FF1155CC"/>
        <sz val="9.0"/>
        <u/>
      </rPr>
      <t>Jason Myers</t>
    </r>
    <r>
      <rPr>
        <rFont val="Poppins, Arial, Helvetica, sans-serif"/>
        <sz val="9.0"/>
      </rPr>
      <t xml:space="preserve"> (SEA)</t>
    </r>
  </si>
  <si>
    <t>M. Fields</t>
  </si>
  <si>
    <t>WR-112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</si>
  <si>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Kelce</t>
    </r>
    <r>
      <rPr>
        <rFont val="Roboto, sans-serif"/>
      </rPr>
      <t xml:space="preserve">
KCTE11</t>
    </r>
  </si>
  <si>
    <t>211 -2</t>
  </si>
  <si>
    <r>
      <rPr>
        <rFont val="Poppins, Arial, Helvetica, sans-serif"/>
        <color rgb="FF1155CC"/>
        <sz val="9.0"/>
        <u/>
      </rPr>
      <t>Darnell Mooney</t>
    </r>
    <r>
      <rPr>
        <rFont val="Poppins, Arial, Helvetica, sans-serif"/>
        <sz val="9.0"/>
      </rPr>
      <t xml:space="preserve"> (NYG)</t>
    </r>
  </si>
  <si>
    <r>
      <rPr>
        <rFont val="Poppins, Arial, Helvetica, sans-serif"/>
        <color rgb="FF1155CC"/>
        <u/>
      </rPr>
      <t>Andy Borregales</t>
    </r>
    <r>
      <rPr>
        <rFont val="Poppins, Arial, Helvetica, sans-serif"/>
      </rPr>
      <t>NE (11)</t>
    </r>
  </si>
  <si>
    <t>T. Burks</t>
  </si>
  <si>
    <t>WR-113</t>
  </si>
  <si>
    <t>WR75</t>
  </si>
  <si>
    <t>New Orleans Saints DST</t>
  </si>
  <si>
    <t>K8</t>
  </si>
  <si>
    <t>DST-22</t>
  </si>
  <si>
    <t>230 -20</t>
  </si>
  <si>
    <r>
      <rPr>
        <rFont val="Poppins, Arial, Helvetica, sans-serif"/>
        <color rgb="FF1155CC"/>
        <u/>
      </rPr>
      <t>Jake Bates</t>
    </r>
    <r>
      <rPr>
        <rFont val="Poppins, Arial, Helvetica, sans-serif"/>
      </rPr>
      <t>DET (6)</t>
    </r>
  </si>
  <si>
    <r>
      <rPr>
        <rFont val="Poppins, Arial, Helvetica, sans-serif"/>
        <color rgb="FF1155CC"/>
        <sz val="9.0"/>
        <u/>
      </rPr>
      <t>Troy Franklin</t>
    </r>
    <r>
      <rPr>
        <rFont val="Poppins, Arial, Helvetica, sans-serif"/>
        <sz val="9.0"/>
      </rPr>
      <t xml:space="preserve"> (DEN)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</si>
  <si>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GBQB19</t>
    </r>
  </si>
  <si>
    <t>E. Wilson</t>
  </si>
  <si>
    <t>RB-90</t>
  </si>
  <si>
    <t>WR76</t>
  </si>
  <si>
    <t>K9</t>
  </si>
  <si>
    <t>195 +16</t>
  </si>
  <si>
    <r>
      <rPr>
        <rFont val="Poppins, Arial, Helvetica, sans-serif"/>
        <color rgb="FF1155CC"/>
        <u/>
      </rPr>
      <t>Ray Davis</t>
    </r>
    <r>
      <rPr>
        <rFont val="Poppins, Arial, Helvetica, sans-serif"/>
      </rPr>
      <t>BUF (7)</t>
    </r>
  </si>
  <si>
    <r>
      <rPr>
        <rFont val="Poppins, Arial, Helvetica, sans-serif"/>
        <color rgb="FF1155CC"/>
        <sz val="9.0"/>
        <u/>
      </rPr>
      <t>Jaylin Noel</t>
    </r>
    <r>
      <rPr>
        <rFont val="Poppins, Arial, Helvetica, sans-serif"/>
        <sz val="9.0"/>
      </rPr>
      <t xml:space="preserve"> (HOU)</t>
    </r>
  </si>
  <si>
    <t>B. Grupe</t>
  </si>
  <si>
    <t>K-22</t>
  </si>
  <si>
    <t>WR77</t>
  </si>
  <si>
    <t>R. Johnson</t>
  </si>
  <si>
    <t>178 +34</t>
  </si>
  <si>
    <t>RB-91</t>
  </si>
  <si>
    <r>
      <rPr>
        <rFont val="Poppins, Arial, Helvetica, sans-serif"/>
        <color rgb="FF1155CC"/>
        <u/>
      </rPr>
      <t>Chris Boswell</t>
    </r>
    <r>
      <rPr>
        <rFont val="Poppins, Arial, Helvetica, sans-serif"/>
      </rPr>
      <t>PIT (9)</t>
    </r>
  </si>
  <si>
    <r>
      <rPr>
        <rFont val="Poppins, Arial, Helvetica, sans-serif"/>
        <color rgb="FF1155CC"/>
        <sz val="9.0"/>
        <u/>
      </rPr>
      <t>T.J. Hockenson</t>
    </r>
    <r>
      <rPr>
        <rFont val="Poppins, Arial, Helvetica, sans-serif"/>
        <sz val="9.0"/>
      </rPr>
      <t xml:space="preserve"> (MIN)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</si>
  <si>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Golden</t>
    </r>
    <r>
      <rPr>
        <rFont val="Roboto, sans-serif"/>
      </rPr>
      <t xml:space="preserve">
GBWR48</t>
    </r>
  </si>
  <si>
    <t>E. Sarratt</t>
  </si>
  <si>
    <t>WR-114</t>
  </si>
  <si>
    <t>K10</t>
  </si>
  <si>
    <t>Z. Thomas</t>
  </si>
  <si>
    <t>Tier 11</t>
  </si>
  <si>
    <t>237 -24</t>
  </si>
  <si>
    <t>WR-115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</si>
  <si>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</si>
  <si>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u/>
      </rPr>
      <t>Jaydon Blue</t>
    </r>
    <r>
      <rPr>
        <rFont val="Poppins, Arial, Helvetica, sans-serif"/>
      </rPr>
      <t>DAL (14)</t>
    </r>
  </si>
  <si>
    <r>
      <rPr>
        <rFont val="Poppins, Arial, Helvetica, sans-serif"/>
        <color rgb="FF1155CC"/>
        <sz val="9.0"/>
        <u/>
      </rPr>
      <t>Green Bay Packers</t>
    </r>
    <r>
      <rPr>
        <rFont val="Poppins, Arial, Helvetica, sans-serif"/>
        <sz val="9.0"/>
      </rPr>
      <t xml:space="preserve"> (GB)</t>
    </r>
  </si>
  <si>
    <t>J. Sanders</t>
  </si>
  <si>
    <t>TE-39</t>
  </si>
  <si>
    <t>DST12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</si>
  <si>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tefon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Diggs</t>
    </r>
    <r>
      <rPr>
        <rFont val="Roboto, sans-serif"/>
      </rPr>
      <t xml:space="preserve">
WASWR49</t>
    </r>
  </si>
  <si>
    <t>RB65</t>
  </si>
  <si>
    <r>
      <rPr>
        <rFont val="Poppins, Arial, Helvetica, sans-serif"/>
        <color rgb="FF1155CC"/>
        <sz val="9.0"/>
        <u/>
      </rPr>
      <t>MarShawn Lloyd</t>
    </r>
    <r>
      <rPr>
        <rFont val="Poppins, Arial, Helvetica, sans-serif"/>
        <sz val="9.0"/>
      </rPr>
      <t xml:space="preserve"> (GB)</t>
    </r>
  </si>
  <si>
    <t>224 -10</t>
  </si>
  <si>
    <r>
      <rPr>
        <rFont val="Poppins, Arial, Helvetica, sans-serif"/>
        <color rgb="FF1155CC"/>
        <u/>
      </rPr>
      <t>Tre' Harris</t>
    </r>
    <r>
      <rPr>
        <rFont val="Poppins, Arial, Helvetica, sans-serif"/>
      </rPr>
      <t>LAC (7)</t>
    </r>
  </si>
  <si>
    <t>WR-116</t>
  </si>
  <si>
    <t>W. Shipley</t>
  </si>
  <si>
    <t>RB-92</t>
  </si>
  <si>
    <r>
      <rPr>
        <rFont val="Poppins, Arial, Helvetica, sans-serif"/>
        <color rgb="FF1155CC"/>
        <sz val="9.0"/>
        <u/>
      </rPr>
      <t>Antonio Williams</t>
    </r>
    <r>
      <rPr>
        <rFont val="Poppins, Arial, Helvetica, sans-serif"/>
        <sz val="9.0"/>
      </rPr>
      <t xml:space="preserve"> (WAS)</t>
    </r>
  </si>
  <si>
    <t>210 +5</t>
  </si>
  <si>
    <r>
      <rPr>
        <rFont val="Poppins, Arial, Helvetica, sans-serif"/>
        <color rgb="FF1155CC"/>
        <u/>
      </rPr>
      <t>Demond Claiborne</t>
    </r>
    <r>
      <rPr>
        <rFont val="Poppins, Arial, Helvetica, sans-serif"/>
      </rPr>
      <t>MIN (6)</t>
    </r>
  </si>
  <si>
    <t>K. Cousins</t>
  </si>
  <si>
    <t>QB-35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</si>
  <si>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aker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Mayfield</t>
    </r>
    <r>
      <rPr>
        <rFont val="Roboto, sans-serif"/>
      </rPr>
      <t xml:space="preserve">
TBQB20</t>
    </r>
  </si>
  <si>
    <t>WR78</t>
  </si>
  <si>
    <t>RB66</t>
  </si>
  <si>
    <r>
      <rPr>
        <rFont val="Poppins, Arial, Helvetica, sans-serif"/>
        <color rgb="FF1155CC"/>
        <sz val="9.0"/>
        <u/>
      </rPr>
      <t>Eddy Pineiro</t>
    </r>
    <r>
      <rPr>
        <rFont val="Poppins, Arial, Helvetica, sans-serif"/>
        <sz val="9.0"/>
      </rPr>
      <t xml:space="preserve"> (SF)</t>
    </r>
  </si>
  <si>
    <t>226 -10</t>
  </si>
  <si>
    <t>M. Mims Jr.</t>
  </si>
  <si>
    <r>
      <rPr>
        <rFont val="Poppins, Arial, Helvetica, sans-serif"/>
        <color rgb="FF1155CC"/>
        <u/>
      </rPr>
      <t>Pittsburgh Steelers DST</t>
    </r>
    <r>
      <rPr>
        <rFont val="Poppins, Arial, Helvetica, sans-serif"/>
      </rPr>
      <t>(9)</t>
    </r>
  </si>
  <si>
    <t>WR-117</t>
  </si>
  <si>
    <t>T. Goodson</t>
  </si>
  <si>
    <t>RB-93</t>
  </si>
  <si>
    <t>175 +42</t>
  </si>
  <si>
    <r>
      <rPr>
        <rFont val="Poppins, Arial, Helvetica, sans-serif"/>
        <color rgb="FF1155CC"/>
        <sz val="9.0"/>
        <u/>
      </rPr>
      <t>Tyler Loop</t>
    </r>
    <r>
      <rPr>
        <rFont val="Poppins, Arial, Helvetica, sans-serif"/>
        <sz val="9.0"/>
      </rPr>
      <t xml:space="preserve"> (BAL)</t>
    </r>
  </si>
  <si>
    <r>
      <rPr>
        <rFont val="Poppins, Arial, Helvetica, sans-serif"/>
        <color rgb="FF1155CC"/>
        <u/>
      </rPr>
      <t>Harrison Butker</t>
    </r>
    <r>
      <rPr>
        <rFont val="Poppins, Arial, Helvetica, sans-serif"/>
      </rPr>
      <t>KC (5)</t>
    </r>
  </si>
  <si>
    <t>T. Atwell</t>
  </si>
  <si>
    <t>WR-118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</si>
  <si>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Downs</t>
    </r>
    <r>
      <rPr>
        <rFont val="Roboto, sans-serif"/>
      </rPr>
      <t xml:space="preserve">
INDWR50</t>
    </r>
  </si>
  <si>
    <t>K11</t>
  </si>
  <si>
    <r>
      <rPr>
        <rFont val="Poppins, Arial, Helvetica, sans-serif"/>
        <color rgb="FF1155CC"/>
        <sz val="9.0"/>
        <u/>
      </rPr>
      <t>Malik Washington</t>
    </r>
    <r>
      <rPr>
        <rFont val="Poppins, Arial, Helvetica, sans-serif"/>
        <sz val="9.0"/>
      </rPr>
      <t xml:space="preserve"> (MIA)</t>
    </r>
  </si>
  <si>
    <t>257 -39</t>
  </si>
  <si>
    <r>
      <rPr>
        <rFont val="Poppins, Arial, Helvetica, sans-serif"/>
        <color rgb="FF1155CC"/>
        <u/>
      </rPr>
      <t>Emanuel Wilson</t>
    </r>
    <r>
      <rPr>
        <rFont val="Poppins, Arial, Helvetica, sans-serif"/>
      </rPr>
      <t>SEA (11)</t>
    </r>
  </si>
  <si>
    <t>I. Bond</t>
  </si>
  <si>
    <t>WR-119</t>
  </si>
  <si>
    <t>WR79</t>
  </si>
  <si>
    <t>RB67</t>
  </si>
  <si>
    <t>T. Tremble</t>
  </si>
  <si>
    <t>214 +5</t>
  </si>
  <si>
    <t>TE-40</t>
  </si>
  <si>
    <r>
      <rPr>
        <rFont val="Poppins, Arial, Helvetica, sans-serif"/>
        <color rgb="FF1155CC"/>
        <sz val="9.0"/>
        <u/>
      </rPr>
      <t>Pat Bryant</t>
    </r>
    <r>
      <rPr>
        <rFont val="Poppins, Arial, Helvetica, sans-serif"/>
        <sz val="9.0"/>
      </rPr>
      <t xml:space="preserve"> (DEN)</t>
    </r>
  </si>
  <si>
    <r>
      <rPr>
        <rFont val="Poppins, Arial, Helvetica, sans-serif"/>
        <color rgb="FF1155CC"/>
        <u/>
      </rPr>
      <t>Mason Taylor</t>
    </r>
    <r>
      <rPr>
        <rFont val="Poppins, Arial, Helvetica, sans-serif"/>
      </rPr>
      <t>NYJ (13)</t>
    </r>
  </si>
  <si>
    <t>J. Fields</t>
  </si>
  <si>
    <t>QB-36</t>
  </si>
  <si>
    <t>WR80</t>
  </si>
  <si>
    <t>TE31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</si>
  <si>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randon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Aubrey</t>
    </r>
    <r>
      <rPr>
        <rFont val="Roboto, sans-serif"/>
      </rPr>
      <t xml:space="preserve">
DALK1</t>
    </r>
  </si>
  <si>
    <t>—</t>
  </si>
  <si>
    <r>
      <rPr>
        <rFont val="Poppins, Arial, Helvetica, sans-serif"/>
        <color rgb="FF1155CC"/>
        <u/>
      </rPr>
      <t>Jaylen Wright</t>
    </r>
    <r>
      <rPr>
        <rFont val="Poppins, Arial, Helvetica, sans-serif"/>
      </rPr>
      <t>MIA (6)</t>
    </r>
  </si>
  <si>
    <r>
      <rPr>
        <rFont val="Poppins, Arial, Helvetica, sans-serif"/>
        <color rgb="FF1155CC"/>
        <sz val="9.0"/>
        <u/>
      </rPr>
      <t>Kansas City Chiefs</t>
    </r>
    <r>
      <rPr>
        <rFont val="Poppins, Arial, Helvetica, sans-serif"/>
        <sz val="9.0"/>
      </rPr>
      <t xml:space="preserve"> (KC)</t>
    </r>
  </si>
  <si>
    <t>R. Sanders</t>
  </si>
  <si>
    <t>RB-94</t>
  </si>
  <si>
    <t>DST13</t>
  </si>
  <si>
    <t>RB68</t>
  </si>
  <si>
    <t>236 -15</t>
  </si>
  <si>
    <t>Carolina Panthers DST</t>
  </si>
  <si>
    <r>
      <rPr>
        <rFont val="Poppins, Arial, Helvetica, sans-serif"/>
        <color rgb="FF1155CC"/>
        <u/>
      </rPr>
      <t>Isaac TeSlaa</t>
    </r>
    <r>
      <rPr>
        <rFont val="Poppins, Arial, Helvetica, sans-serif"/>
      </rPr>
      <t>DET (6)</t>
    </r>
  </si>
  <si>
    <t>DST-23</t>
  </si>
  <si>
    <r>
      <rPr>
        <rFont val="Poppins, Arial, Helvetica, sans-serif"/>
        <color rgb="FF1155CC"/>
        <sz val="9.0"/>
        <u/>
      </rPr>
      <t>Jaydon Blue</t>
    </r>
    <r>
      <rPr>
        <rFont val="Poppins, Arial, Helvetica, sans-serif"/>
        <sz val="9.0"/>
      </rPr>
      <t xml:space="preserve"> (DAL)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</si>
  <si>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Concepcion</t>
    </r>
    <r>
      <rPr>
        <rFont val="Roboto, sans-serif"/>
      </rPr>
      <t xml:space="preserve">
CLEWR51</t>
    </r>
  </si>
  <si>
    <t>J. Elliott</t>
  </si>
  <si>
    <t>K-23</t>
  </si>
  <si>
    <t>219 +3</t>
  </si>
  <si>
    <r>
      <rPr>
        <rFont val="Poppins, Arial, Helvetica, sans-serif"/>
        <color rgb="FF1155CC"/>
        <u/>
      </rPr>
      <t>Zachariah Branch</t>
    </r>
    <r>
      <rPr>
        <rFont val="Poppins, Arial, Helvetica, sans-serif"/>
      </rPr>
      <t>ATL (11)</t>
    </r>
  </si>
  <si>
    <r>
      <rPr>
        <rFont val="Poppins, Arial, Helvetica, sans-serif"/>
        <color rgb="FF1155CC"/>
        <sz val="9.0"/>
        <u/>
      </rPr>
      <t>Jaylen Wright</t>
    </r>
    <r>
      <rPr>
        <rFont val="Poppins, Arial, Helvetica, sans-serif"/>
        <sz val="9.0"/>
      </rPr>
      <t xml:space="preserve"> (MIA)</t>
    </r>
  </si>
  <si>
    <t>B. Lance</t>
  </si>
  <si>
    <t>WR-120</t>
  </si>
  <si>
    <t>227 -4</t>
  </si>
  <si>
    <r>
      <rPr>
        <rFont val="Poppins, Arial, Helvetica, sans-serif"/>
        <color rgb="FF1155CC"/>
        <u/>
      </rPr>
      <t>Eddy Pineiro</t>
    </r>
    <r>
      <rPr>
        <rFont val="Poppins, Arial, Helvetica, sans-serif"/>
      </rPr>
      <t>SF (8)</t>
    </r>
  </si>
  <si>
    <t>D. Thornton Jr.</t>
  </si>
  <si>
    <t>WR-121</t>
  </si>
  <si>
    <r>
      <rPr>
        <rFont val="Poppins, Arial, Helvetica, sans-serif"/>
        <color rgb="FF1155CC"/>
        <sz val="9.0"/>
        <u/>
      </rPr>
      <t>Tank Dell</t>
    </r>
    <r>
      <rPr>
        <rFont val="Poppins, Arial, Helvetica, sans-serif"/>
        <sz val="9.0"/>
      </rPr>
      <t xml:space="preserve"> (HOU)</t>
    </r>
  </si>
  <si>
    <t>T. Benson</t>
  </si>
  <si>
    <t>RB-95</t>
  </si>
  <si>
    <t>K12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</si>
  <si>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Kincaid</t>
    </r>
    <r>
      <rPr>
        <rFont val="Roboto, sans-serif"/>
      </rPr>
      <t xml:space="preserve">
BUFTE12</t>
    </r>
  </si>
  <si>
    <t>208 +16</t>
  </si>
  <si>
    <r>
      <rPr>
        <rFont val="Poppins, Arial, Helvetica, sans-serif"/>
        <color rgb="FF1155CC"/>
        <u/>
      </rPr>
      <t>Theo Johnson</t>
    </r>
    <r>
      <rPr>
        <rFont val="Poppins, Arial, Helvetica, sans-serif"/>
      </rPr>
      <t>NYG (8)</t>
    </r>
  </si>
  <si>
    <t>C. Dike</t>
  </si>
  <si>
    <t>WR81</t>
  </si>
  <si>
    <t>WR-122</t>
  </si>
  <si>
    <r>
      <rPr>
        <rFont val="Poppins, Arial, Helvetica, sans-serif"/>
        <color rgb="FF1155CC"/>
        <sz val="9.0"/>
        <u/>
      </rPr>
      <t>Evan McPherson</t>
    </r>
    <r>
      <rPr>
        <rFont val="Poppins, Arial, Helvetica, sans-serif"/>
        <sz val="9.0"/>
      </rPr>
      <t xml:space="preserve"> (CIN)</t>
    </r>
  </si>
  <si>
    <t>TE32</t>
  </si>
  <si>
    <t>E. Stowers</t>
  </si>
  <si>
    <r>
      <rPr>
        <rFont val="Poppins, Arial, Helvetica, sans-serif"/>
        <color rgb="FF1155CC"/>
        <u/>
      </rPr>
      <t>Jake Tonges</t>
    </r>
    <r>
      <rPr>
        <rFont val="Poppins, Arial, Helvetica, sans-serif"/>
      </rPr>
      <t>SF (8)</t>
    </r>
  </si>
  <si>
    <t>TE-41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</si>
  <si>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Godwin</t>
    </r>
    <r>
      <rPr>
        <rFont val="Roboto, sans-serif"/>
      </rPr>
      <t xml:space="preserve">
TBWR52</t>
    </r>
  </si>
  <si>
    <t>C. Beck</t>
  </si>
  <si>
    <t>QB-37</t>
  </si>
  <si>
    <t>TE33</t>
  </si>
  <si>
    <t>261 -35</t>
  </si>
  <si>
    <r>
      <rPr>
        <rFont val="Poppins, Arial, Helvetica, sans-serif"/>
        <color rgb="FF1155CC"/>
        <sz val="9.0"/>
        <u/>
      </rPr>
      <t>Ollie Gordon II</t>
    </r>
    <r>
      <rPr>
        <rFont val="Poppins, Arial, Helvetica, sans-serif"/>
        <sz val="9.0"/>
      </rPr>
      <t xml:space="preserve"> (MIA)</t>
    </r>
  </si>
  <si>
    <r>
      <rPr>
        <rFont val="Poppins, Arial, Helvetica, sans-serif"/>
        <color rgb="FF1155CC"/>
        <u/>
      </rPr>
      <t>Brandon Aiyuk</t>
    </r>
    <r>
      <rPr>
        <rFont val="Poppins, Arial, Helvetica, sans-serif"/>
      </rPr>
      <t>SF (8)</t>
    </r>
  </si>
  <si>
    <t>E. Heidenreich</t>
  </si>
  <si>
    <t>RB-96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</si>
  <si>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ARIWR53</t>
    </r>
  </si>
  <si>
    <t>222 +5</t>
  </si>
  <si>
    <r>
      <rPr>
        <rFont val="Poppins, Arial, Helvetica, sans-serif"/>
        <color rgb="FF1155CC"/>
        <u/>
      </rPr>
      <t>Malachi Fields</t>
    </r>
    <r>
      <rPr>
        <rFont val="Poppins, Arial, Helvetica, sans-serif"/>
      </rPr>
      <t>NYG (8)</t>
    </r>
  </si>
  <si>
    <r>
      <rPr>
        <rFont val="Poppins, Arial, Helvetica, sans-serif"/>
        <color rgb="FF1155CC"/>
        <sz val="9.0"/>
        <u/>
      </rPr>
      <t>Detroit Lions</t>
    </r>
    <r>
      <rPr>
        <rFont val="Poppins, Arial, Helvetica, sans-serif"/>
        <sz val="9.0"/>
      </rPr>
      <t xml:space="preserve"> (DET)</t>
    </r>
  </si>
  <si>
    <t>S. Bell</t>
  </si>
  <si>
    <t>WR-123</t>
  </si>
  <si>
    <t>DST14</t>
  </si>
  <si>
    <t>M. Tinsley</t>
  </si>
  <si>
    <t>202 +26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</si>
  <si>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Rodriguez</t>
    </r>
    <r>
      <rPr>
        <rFont val="Roboto, sans-serif"/>
      </rPr>
      <t xml:space="preserve">
JACRB38</t>
    </r>
  </si>
  <si>
    <t>WR-124</t>
  </si>
  <si>
    <r>
      <rPr>
        <rFont val="Poppins, Arial, Helvetica, sans-serif"/>
        <color rgb="FF1155CC"/>
        <u/>
      </rPr>
      <t>Aaron Rodgers</t>
    </r>
    <r>
      <rPr>
        <rFont val="Poppins, Arial, Helvetica, sans-serif"/>
      </rPr>
      <t>PIT (9)</t>
    </r>
  </si>
  <si>
    <r>
      <rPr>
        <rFont val="Poppins, Arial, Helvetica, sans-serif"/>
        <color rgb="FF1155CC"/>
        <sz val="9.0"/>
        <u/>
      </rPr>
      <t>Gunnar Helm</t>
    </r>
    <r>
      <rPr>
        <rFont val="Poppins, Arial, Helvetica, sans-serif"/>
        <sz val="9.0"/>
      </rPr>
      <t xml:space="preserve"> (TEN)</t>
    </r>
  </si>
  <si>
    <t>E. Ayomanor</t>
  </si>
  <si>
    <t>WR-125</t>
  </si>
  <si>
    <t>QB29</t>
  </si>
  <si>
    <t>238 -9</t>
  </si>
  <si>
    <r>
      <rPr>
        <rFont val="Poppins, Arial, Helvetica, sans-serif"/>
        <color rgb="FF1155CC"/>
        <u/>
      </rPr>
      <t>Ja'Kobi Lane</t>
    </r>
    <r>
      <rPr>
        <rFont val="Poppins, Arial, Helvetica, sans-serif"/>
      </rPr>
      <t>BAL (13)</t>
    </r>
  </si>
  <si>
    <r>
      <rPr>
        <rFont val="Poppins, Arial, Helvetica, sans-serif"/>
        <color rgb="FF1155CC"/>
        <sz val="9.0"/>
        <u/>
      </rPr>
      <t>Cairo Santos</t>
    </r>
    <r>
      <rPr>
        <rFont val="Poppins, Arial, Helvetica, sans-serif"/>
        <sz val="9.0"/>
      </rPr>
      <t xml:space="preserve"> (CHI)</t>
    </r>
  </si>
  <si>
    <t>Cincinnati Bengals DST</t>
  </si>
  <si>
    <t>DST-24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</si>
  <si>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Harvey</t>
    </r>
    <r>
      <rPr>
        <rFont val="Roboto, sans-serif"/>
      </rPr>
      <t xml:space="preserve">
DENRB39</t>
    </r>
  </si>
  <si>
    <t>254 -24</t>
  </si>
  <si>
    <r>
      <rPr>
        <rFont val="Poppins, Arial, Helvetica, sans-serif"/>
        <color rgb="FF1155CC"/>
        <u/>
      </rPr>
      <t>Los Angeles Chargers DST</t>
    </r>
    <r>
      <rPr>
        <rFont val="Poppins, Arial, Helvetica, sans-serif"/>
      </rPr>
      <t>(7)</t>
    </r>
  </si>
  <si>
    <r>
      <rPr>
        <rFont val="Poppins, Arial, Helvetica, sans-serif"/>
        <color rgb="FF1155CC"/>
        <sz val="9.0"/>
        <u/>
      </rPr>
      <t>Pat Freiermuth</t>
    </r>
    <r>
      <rPr>
        <rFont val="Poppins, Arial, Helvetica, sans-serif"/>
        <sz val="9.0"/>
      </rPr>
      <t xml:space="preserve"> (PIT)</t>
    </r>
  </si>
  <si>
    <t>J. Hunter</t>
  </si>
  <si>
    <t>RB-97</t>
  </si>
  <si>
    <t>179 +52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</si>
  <si>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Shaheed</t>
    </r>
    <r>
      <rPr>
        <rFont val="Roboto, sans-serif"/>
      </rPr>
      <t xml:space="preserve">
SEAWR54</t>
    </r>
  </si>
  <si>
    <r>
      <rPr>
        <rFont val="Poppins, Arial, Helvetica, sans-serif"/>
        <color rgb="FF1155CC"/>
        <u/>
      </rPr>
      <t>Justice Hill</t>
    </r>
    <r>
      <rPr>
        <rFont val="Poppins, Arial, Helvetica, sans-serif"/>
      </rPr>
      <t>BAL (13)</t>
    </r>
  </si>
  <si>
    <t>J. Tonges</t>
  </si>
  <si>
    <r>
      <rPr>
        <rFont val="Poppins, Arial, Helvetica, sans-serif"/>
        <color rgb="FF1155CC"/>
        <sz val="9.0"/>
        <u/>
      </rPr>
      <t>Andy Borregales</t>
    </r>
    <r>
      <rPr>
        <rFont val="Poppins, Arial, Helvetica, sans-serif"/>
        <sz val="9.0"/>
      </rPr>
      <t xml:space="preserve"> (NE)</t>
    </r>
  </si>
  <si>
    <t>TE-42</t>
  </si>
  <si>
    <t>RB69</t>
  </si>
  <si>
    <t>191 +41</t>
  </si>
  <si>
    <r>
      <rPr>
        <rFont val="Poppins, Arial, Helvetica, sans-serif"/>
        <color rgb="FF1155CC"/>
        <u/>
      </rPr>
      <t>Detroit Lions DST</t>
    </r>
    <r>
      <rPr>
        <rFont val="Poppins, Arial, Helvetica, sans-serif"/>
      </rPr>
      <t>(6)</t>
    </r>
  </si>
  <si>
    <t>J. Slye</t>
  </si>
  <si>
    <t>K-24</t>
  </si>
  <si>
    <r>
      <rPr>
        <rFont val="Poppins, Arial, Helvetica, sans-serif"/>
        <color rgb="FF1155CC"/>
        <sz val="9.0"/>
        <u/>
      </rPr>
      <t>Cleveland Browns</t>
    </r>
    <r>
      <rPr>
        <rFont val="Poppins, Arial, Helvetica, sans-serif"/>
        <sz val="9.0"/>
      </rPr>
      <t xml:space="preserve"> (CLE)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</si>
  <si>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Gainwell</t>
    </r>
    <r>
      <rPr>
        <rFont val="Roboto, sans-serif"/>
      </rPr>
      <t xml:space="preserve">
TBRB40</t>
    </r>
  </si>
  <si>
    <t>J. Miller</t>
  </si>
  <si>
    <t>245 -12</t>
  </si>
  <si>
    <t>RB-98</t>
  </si>
  <si>
    <r>
      <rPr>
        <rFont val="Poppins, Arial, Helvetica, sans-serif"/>
        <color rgb="FF1155CC"/>
        <u/>
      </rPr>
      <t>Tua Tagovailoa</t>
    </r>
    <r>
      <rPr>
        <rFont val="Poppins, Arial, Helvetica, sans-serif"/>
      </rPr>
      <t>ATL (11)</t>
    </r>
  </si>
  <si>
    <t>DST15</t>
  </si>
  <si>
    <t>X. Smith</t>
  </si>
  <si>
    <t>WR-126</t>
  </si>
  <si>
    <r>
      <rPr>
        <rFont val="Poppins, Arial, Helvetica, sans-serif"/>
        <color rgb="FF1155CC"/>
        <sz val="9.0"/>
        <u/>
      </rPr>
      <t>Jake Bates</t>
    </r>
    <r>
      <rPr>
        <rFont val="Poppins, Arial, Helvetica, sans-serif"/>
        <sz val="9.0"/>
      </rPr>
      <t xml:space="preserve"> (DET)</t>
    </r>
  </si>
  <si>
    <t>QB30</t>
  </si>
  <si>
    <t>A. Richardson</t>
  </si>
  <si>
    <r>
      <rPr>
        <rFont val="Poppins, Arial, Helvetica, sans-serif"/>
        <color rgb="FF1155CC"/>
        <u/>
      </rPr>
      <t>Geno Smith</t>
    </r>
    <r>
      <rPr>
        <rFont val="Poppins, Arial, Helvetica, sans-serif"/>
      </rPr>
      <t>NYJ (13)</t>
    </r>
  </si>
  <si>
    <t>QB-38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</si>
  <si>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TBWR55</t>
    </r>
  </si>
  <si>
    <r>
      <rPr>
        <rFont val="Poppins, Arial, Helvetica, sans-serif"/>
        <color rgb="FF1155CC"/>
        <sz val="9.0"/>
        <u/>
      </rPr>
      <t>Cooper Kupp</t>
    </r>
    <r>
      <rPr>
        <rFont val="Poppins, Arial, Helvetica, sans-serif"/>
        <sz val="9.0"/>
      </rPr>
      <t xml:space="preserve"> (SEA)</t>
    </r>
  </si>
  <si>
    <t>K. Johnson</t>
  </si>
  <si>
    <t>QB31</t>
  </si>
  <si>
    <t>RB-99</t>
  </si>
  <si>
    <t>228 +7</t>
  </si>
  <si>
    <t>WR82</t>
  </si>
  <si>
    <r>
      <rPr>
        <rFont val="Poppins, Arial, Helvetica, sans-serif"/>
        <color rgb="FF1155CC"/>
        <u/>
      </rPr>
      <t>Michael Penix Jr.</t>
    </r>
    <r>
      <rPr>
        <rFont val="Poppins, Arial, Helvetica, sans-serif"/>
      </rPr>
      <t>ATL (11)</t>
    </r>
  </si>
  <si>
    <r>
      <rPr>
        <rFont val="Poppins, Arial, Helvetica, sans-serif"/>
        <color rgb="FF1155CC"/>
        <sz val="9.0"/>
        <u/>
      </rPr>
      <t>Aaron Rodgers</t>
    </r>
    <r>
      <rPr>
        <rFont val="Poppins, Arial, Helvetica, sans-serif"/>
        <sz val="9.0"/>
      </rPr>
      <t xml:space="preserve"> (PIT)</t>
    </r>
  </si>
  <si>
    <t>M. Hollins</t>
  </si>
  <si>
    <t>WR-127</t>
  </si>
  <si>
    <t>QB32</t>
  </si>
  <si>
    <r>
      <rPr>
        <rFont val="Poppins, Arial, Helvetica, sans-serif"/>
        <color rgb="FF1155CC"/>
        <u/>
      </rPr>
      <t>Malik Washington</t>
    </r>
    <r>
      <rPr>
        <rFont val="Poppins, Arial, Helvetica, sans-serif"/>
      </rPr>
      <t>MIA (6)</t>
    </r>
  </si>
  <si>
    <t>K. Lambert-Smith</t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</si>
  <si>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Pacheco</t>
    </r>
    <r>
      <rPr>
        <rFont val="Roboto, sans-serif"/>
      </rPr>
      <t xml:space="preserve">
DETRB41</t>
    </r>
  </si>
  <si>
    <r>
      <rPr>
        <rFont val="Poppins, Arial, Helvetica, sans-serif"/>
        <color rgb="FF1155CC"/>
        <sz val="9.0"/>
        <u/>
      </rPr>
      <t>Zachariah Branch</t>
    </r>
    <r>
      <rPr>
        <rFont val="Poppins, Arial, Helvetica, sans-serif"/>
        <sz val="9.0"/>
      </rPr>
      <t xml:space="preserve"> (ATL)</t>
    </r>
  </si>
  <si>
    <t>WR-128</t>
  </si>
  <si>
    <t>186 +51</t>
  </si>
  <si>
    <t>N. Gray</t>
  </si>
  <si>
    <t>WR83</t>
  </si>
  <si>
    <r>
      <rPr>
        <rFont val="Poppins, Arial, Helvetica, sans-serif"/>
        <color rgb="FF1155CC"/>
        <u/>
      </rPr>
      <t>MarShawn Lloyd</t>
    </r>
    <r>
      <rPr>
        <rFont val="Poppins, Arial, Helvetica, sans-serif"/>
      </rPr>
      <t>GB (11)</t>
    </r>
  </si>
  <si>
    <t>TE-43</t>
  </si>
  <si>
    <r>
      <rPr>
        <rFont val="Poppins, Arial, Helvetica, sans-serif"/>
        <color rgb="FF1155CC"/>
        <sz val="9.0"/>
        <u/>
      </rPr>
      <t>Geno Smith</t>
    </r>
    <r>
      <rPr>
        <rFont val="Poppins, Arial, Helvetica, sans-serif"/>
        <sz val="9.0"/>
      </rPr>
      <t xml:space="preserve"> (NYJ)</t>
    </r>
  </si>
  <si>
    <t>X. Hutchinson</t>
  </si>
  <si>
    <t>RB70</t>
  </si>
  <si>
    <t>WR-129</t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</si>
  <si>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Charbonnet</t>
    </r>
    <r>
      <rPr>
        <rFont val="Roboto, sans-serif"/>
      </rPr>
      <t xml:space="preserve">
SEARB42</t>
    </r>
  </si>
  <si>
    <t>201 +37</t>
  </si>
  <si>
    <r>
      <rPr>
        <rFont val="Poppins, Arial, Helvetica, sans-serif"/>
        <color rgb="FF1155CC"/>
        <u/>
      </rPr>
      <t>Will Reichard</t>
    </r>
    <r>
      <rPr>
        <rFont val="Poppins, Arial, Helvetica, sans-serif"/>
      </rPr>
      <t>MIN (6)</t>
    </r>
  </si>
  <si>
    <r>
      <rPr>
        <rFont val="Poppins, Arial, Helvetica, sans-serif"/>
        <color rgb="FF1155CC"/>
        <sz val="9.0"/>
        <u/>
      </rPr>
      <t>David Njoku</t>
    </r>
    <r>
      <rPr>
        <rFont val="Poppins, Arial, Helvetica, sans-serif"/>
        <sz val="9.0"/>
      </rPr>
      <t xml:space="preserve"> (LAC)</t>
    </r>
  </si>
  <si>
    <t>J. Ford</t>
  </si>
  <si>
    <t>RB-100</t>
  </si>
  <si>
    <t>K13</t>
  </si>
  <si>
    <t>256 -17</t>
  </si>
  <si>
    <r>
      <rPr>
        <rFont val="Poppins, Arial, Helvetica, sans-serif"/>
        <color rgb="FF1155CC"/>
        <u/>
      </rPr>
      <t>Shedeur Sanders</t>
    </r>
    <r>
      <rPr>
        <rFont val="Poppins, Arial, Helvetica, sans-serif"/>
      </rPr>
      <t>CLE (11)</t>
    </r>
  </si>
  <si>
    <r>
      <rPr>
        <rFont val="Poppins, Arial, Helvetica, sans-serif"/>
        <color rgb="FF1155CC"/>
        <sz val="9.0"/>
        <u/>
      </rPr>
      <t>Buffalo Bills</t>
    </r>
    <r>
      <rPr>
        <rFont val="Poppins, Arial, Helvetica, sans-serif"/>
        <sz val="9.0"/>
      </rPr>
      <t xml:space="preserve"> (BUF)</t>
    </r>
  </si>
  <si>
    <t>J. McCarthy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</si>
  <si>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unter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NETE13</t>
    </r>
  </si>
  <si>
    <t>QB-39</t>
  </si>
  <si>
    <t>QB33</t>
  </si>
  <si>
    <t>B. Thompson</t>
  </si>
  <si>
    <t>DST16</t>
  </si>
  <si>
    <t>255 -15</t>
  </si>
  <si>
    <t>WR-130</t>
  </si>
  <si>
    <r>
      <rPr>
        <rFont val="Poppins, Arial, Helvetica, sans-serif"/>
        <color rgb="FF1155CC"/>
        <u/>
      </rPr>
      <t>Green Bay Packers DST</t>
    </r>
    <r>
      <rPr>
        <rFont val="Poppins, Arial, Helvetica, sans-serif"/>
      </rPr>
      <t>(11)</t>
    </r>
  </si>
  <si>
    <r>
      <rPr>
        <rFont val="Poppins, Arial, Helvetica, sans-serif"/>
        <color rgb="FF1155CC"/>
        <sz val="9.0"/>
        <u/>
      </rPr>
      <t>Chase McLaughlin</t>
    </r>
    <r>
      <rPr>
        <rFont val="Poppins, Arial, Helvetica, sans-serif"/>
        <sz val="9.0"/>
      </rPr>
      <t xml:space="preserve"> (TB)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</si>
  <si>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Dicker</t>
    </r>
    <r>
      <rPr>
        <rFont val="Roboto, sans-serif"/>
      </rPr>
      <t xml:space="preserve">
LACK2</t>
    </r>
  </si>
  <si>
    <t>WR-131</t>
  </si>
  <si>
    <r>
      <rPr>
        <rFont val="Poppins, Arial, Helvetica, sans-serif"/>
        <color rgb="FF1155CC"/>
        <u/>
      </rPr>
      <t>Wil Lutz</t>
    </r>
    <r>
      <rPr>
        <rFont val="Poppins, Arial, Helvetica, sans-serif"/>
      </rPr>
      <t>DEN (10)</t>
    </r>
  </si>
  <si>
    <t>Dallas Cowboys DST</t>
  </si>
  <si>
    <r>
      <rPr>
        <rFont val="Poppins, Arial, Helvetica, sans-serif"/>
        <color rgb="FF1155CC"/>
        <sz val="9.0"/>
        <u/>
      </rPr>
      <t>Chimere Dike</t>
    </r>
    <r>
      <rPr>
        <rFont val="Poppins, Arial, Helvetica, sans-serif"/>
        <sz val="9.0"/>
      </rPr>
      <t xml:space="preserve"> (TEN)</t>
    </r>
  </si>
  <si>
    <t>DST-25</t>
  </si>
  <si>
    <t>K14</t>
  </si>
  <si>
    <t>231 +11</t>
  </si>
  <si>
    <t>D. Zvada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</si>
  <si>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Goedert</t>
    </r>
    <r>
      <rPr>
        <rFont val="Roboto, sans-serif"/>
      </rPr>
      <t xml:space="preserve">
PHITE14</t>
    </r>
  </si>
  <si>
    <t>WR84</t>
  </si>
  <si>
    <r>
      <rPr>
        <rFont val="Poppins, Arial, Helvetica, sans-serif"/>
        <color rgb="FF1155CC"/>
        <u/>
      </rPr>
      <t>George Holani</t>
    </r>
    <r>
      <rPr>
        <rFont val="Poppins, Arial, Helvetica, sans-serif"/>
      </rPr>
      <t>SEA (11)</t>
    </r>
  </si>
  <si>
    <t>K-25</t>
  </si>
  <si>
    <r>
      <rPr>
        <rFont val="Poppins, Arial, Helvetica, sans-serif"/>
        <color rgb="FF1155CC"/>
        <sz val="9.0"/>
        <u/>
      </rPr>
      <t>Cade Otton</t>
    </r>
    <r>
      <rPr>
        <rFont val="Poppins, Arial, Helvetica, sans-serif"/>
        <sz val="9.0"/>
      </rPr>
      <t xml:space="preserve"> (TB)</t>
    </r>
  </si>
  <si>
    <t>R. Rivers</t>
  </si>
  <si>
    <t>RB71</t>
  </si>
  <si>
    <t>RB-101</t>
  </si>
  <si>
    <t>218 +25</t>
  </si>
  <si>
    <r>
      <rPr>
        <rFont val="Poppins, Arial, Helvetica, sans-serif"/>
        <color rgb="FF1155CC"/>
        <u/>
      </rPr>
      <t>Darnell Mooney</t>
    </r>
    <r>
      <rPr>
        <rFont val="Poppins, Arial, Helvetica, sans-serif"/>
      </rPr>
      <t>NYG (8)</t>
    </r>
  </si>
  <si>
    <t>K. Turpin</t>
  </si>
  <si>
    <r>
      <rPr>
        <rFont val="Poppins, Arial, Helvetica, sans-serif"/>
        <color rgb="FF1155CC"/>
        <sz val="9.0"/>
        <u/>
      </rPr>
      <t>Harrison Mevis</t>
    </r>
    <r>
      <rPr>
        <rFont val="Poppins, Arial, Helvetica, sans-serif"/>
        <sz val="9.0"/>
      </rPr>
      <t xml:space="preserve"> (LAR)</t>
    </r>
  </si>
  <si>
    <t>WR-132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</si>
  <si>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achaad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White</t>
    </r>
    <r>
      <rPr>
        <rFont val="Roboto, sans-serif"/>
      </rPr>
      <t xml:space="preserve">
WASRB43</t>
    </r>
  </si>
  <si>
    <t>248 -4</t>
  </si>
  <si>
    <r>
      <rPr>
        <rFont val="Poppins, Arial, Helvetica, sans-serif"/>
        <color rgb="FF1155CC"/>
        <u/>
      </rPr>
      <t>Greg Dulcich</t>
    </r>
    <r>
      <rPr>
        <rFont val="Poppins, Arial, Helvetica, sans-serif"/>
      </rPr>
      <t>MIA (6)</t>
    </r>
  </si>
  <si>
    <t>D. Knox</t>
  </si>
  <si>
    <t>TE-44</t>
  </si>
  <si>
    <r>
      <rPr>
        <rFont val="Poppins, Arial, Helvetica, sans-serif"/>
        <color rgb="FF1155CC"/>
        <sz val="9.0"/>
        <u/>
      </rPr>
      <t>Elic Ayomanor</t>
    </r>
    <r>
      <rPr>
        <rFont val="Poppins, Arial, Helvetica, sans-serif"/>
        <sz val="9.0"/>
      </rPr>
      <t xml:space="preserve"> (TEN)</t>
    </r>
  </si>
  <si>
    <t>TE34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</si>
  <si>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Willis</t>
    </r>
    <r>
      <rPr>
        <rFont val="Roboto, sans-serif"/>
      </rPr>
      <t xml:space="preserve">
MIAQB21</t>
    </r>
  </si>
  <si>
    <t>WR-133</t>
  </si>
  <si>
    <t>187 +58</t>
  </si>
  <si>
    <t>WR85</t>
  </si>
  <si>
    <r>
      <rPr>
        <rFont val="Poppins, Arial, Helvetica, sans-serif"/>
        <color rgb="FF1155CC"/>
        <u/>
      </rPr>
      <t>New York Giants DST</t>
    </r>
    <r>
      <rPr>
        <rFont val="Poppins, Arial, Helvetica, sans-serif"/>
      </rPr>
      <t>(8)</t>
    </r>
  </si>
  <si>
    <r>
      <rPr>
        <rFont val="Poppins, Arial, Helvetica, sans-serif"/>
        <color rgb="FF1155CC"/>
        <sz val="9.0"/>
        <u/>
      </rPr>
      <t>Keon Coleman</t>
    </r>
    <r>
      <rPr>
        <rFont val="Poppins, Arial, Helvetica, sans-serif"/>
        <sz val="9.0"/>
      </rPr>
      <t xml:space="preserve"> (BUF)</t>
    </r>
  </si>
  <si>
    <t>D. Neal</t>
  </si>
  <si>
    <t>RB-102</t>
  </si>
  <si>
    <t>263 -17</t>
  </si>
  <si>
    <r>
      <rPr>
        <rFont val="Poppins, Arial, Helvetica, sans-serif"/>
        <color rgb="FF1155CC"/>
        <u/>
      </rPr>
      <t>Joe Mixon</t>
    </r>
  </si>
  <si>
    <t>WR86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</si>
  <si>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MINRB44</t>
    </r>
  </si>
  <si>
    <t>T. Simpson</t>
  </si>
  <si>
    <t>QB-40</t>
  </si>
  <si>
    <r>
      <rPr>
        <rFont val="Poppins, Arial, Helvetica, sans-serif"/>
        <color rgb="FF1155CC"/>
        <sz val="9.0"/>
        <u/>
      </rPr>
      <t>Germie Bernard</t>
    </r>
    <r>
      <rPr>
        <rFont val="Poppins, Arial, Helvetica, sans-serif"/>
        <sz val="9.0"/>
      </rPr>
      <t xml:space="preserve"> (PIT)</t>
    </r>
  </si>
  <si>
    <t>RB72</t>
  </si>
  <si>
    <t>L. Larison</t>
  </si>
  <si>
    <t>RB-103</t>
  </si>
  <si>
    <r>
      <rPr>
        <rFont val="Poppins, Arial, Helvetica, sans-serif"/>
        <color rgb="FF1155CC"/>
        <u/>
      </rPr>
      <t>Kaleb Johnson</t>
    </r>
    <r>
      <rPr>
        <rFont val="Poppins, Arial, Helvetica, sans-serif"/>
      </rPr>
      <t>PIT (9)</t>
    </r>
  </si>
  <si>
    <t>WR87</t>
  </si>
  <si>
    <r>
      <rPr>
        <rFont val="Poppins, Arial, Helvetica, sans-serif"/>
        <color rgb="FF1155CC"/>
        <sz val="9.0"/>
        <u/>
      </rPr>
      <t>Greg Dulcich</t>
    </r>
    <r>
      <rPr>
        <rFont val="Poppins, Arial, Helvetica, sans-serif"/>
        <sz val="9.0"/>
      </rPr>
      <t xml:space="preserve"> (MIA)</t>
    </r>
  </si>
  <si>
    <t>C. Young</t>
  </si>
  <si>
    <t>WR-134</t>
  </si>
  <si>
    <t>RB73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</si>
  <si>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INDQB22</t>
    </r>
  </si>
  <si>
    <r>
      <rPr>
        <rFont val="Poppins, Arial, Helvetica, sans-serif"/>
        <color rgb="FF1155CC"/>
        <u/>
      </rPr>
      <t>Dallas Cowboys DST</t>
    </r>
    <r>
      <rPr>
        <rFont val="Poppins, Arial, Helvetica, sans-serif"/>
      </rPr>
      <t>(14)</t>
    </r>
  </si>
  <si>
    <t>T. Felton</t>
  </si>
  <si>
    <t>WR-135</t>
  </si>
  <si>
    <r>
      <rPr>
        <rFont val="Poppins, Arial, Helvetica, sans-serif"/>
        <color rgb="FF1155CC"/>
        <sz val="9.0"/>
        <u/>
      </rPr>
      <t>Demond Claiborne</t>
    </r>
    <r>
      <rPr>
        <rFont val="Poppins, Arial, Helvetica, sans-serif"/>
        <sz val="9.0"/>
      </rPr>
      <t xml:space="preserve"> (MIN)</t>
    </r>
  </si>
  <si>
    <t>242 +7</t>
  </si>
  <si>
    <t>M. Taylor</t>
  </si>
  <si>
    <r>
      <rPr>
        <rFont val="Poppins, Arial, Helvetica, sans-serif"/>
        <color rgb="FF1155CC"/>
        <u/>
      </rPr>
      <t>Ryan Flournoy</t>
    </r>
    <r>
      <rPr>
        <rFont val="Poppins, Arial, Helvetica, sans-serif"/>
      </rPr>
      <t>DAL (14)</t>
    </r>
  </si>
  <si>
    <t>TE-45</t>
  </si>
  <si>
    <r>
      <rPr>
        <rFont val="Poppins, Arial, Helvetica, sans-serif"/>
        <color rgb="FF1155CC"/>
        <sz val="9.0"/>
        <u/>
      </rPr>
      <t>Harrison Butker</t>
    </r>
    <r>
      <rPr>
        <rFont val="Poppins, Arial, Helvetica, sans-serif"/>
        <sz val="9.0"/>
      </rPr>
      <t xml:space="preserve"> (KC)</t>
    </r>
  </si>
  <si>
    <t>D. Brown</t>
  </si>
  <si>
    <t>WR-136</t>
  </si>
  <si>
    <t>240 +10</t>
  </si>
  <si>
    <r>
      <rPr>
        <rFont val="Poppins, Arial, Helvetica, sans-serif"/>
        <color rgb="FF1155CC"/>
        <u/>
      </rPr>
      <t>Kirk Cousins</t>
    </r>
    <r>
      <rPr>
        <rFont val="Poppins, Arial, Helvetica, sans-serif"/>
      </rPr>
      <t>LV (13)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</si>
  <si>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renton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Strange</t>
    </r>
    <r>
      <rPr>
        <rFont val="Roboto, sans-serif"/>
      </rPr>
      <t xml:space="preserve">
JACTE15</t>
    </r>
  </si>
  <si>
    <r>
      <rPr>
        <rFont val="Poppins, Arial, Helvetica, sans-serif"/>
        <color rgb="FF1155CC"/>
        <sz val="9.0"/>
        <u/>
      </rPr>
      <t>Chris Boswell</t>
    </r>
    <r>
      <rPr>
        <rFont val="Poppins, Arial, Helvetica, sans-serif"/>
        <sz val="9.0"/>
      </rPr>
      <t xml:space="preserve"> (PIT)</t>
    </r>
  </si>
  <si>
    <t>Tennessee Titans DST</t>
  </si>
  <si>
    <t>DST-26</t>
  </si>
  <si>
    <t>QB34</t>
  </si>
  <si>
    <t>WR-137</t>
  </si>
  <si>
    <t>K15</t>
  </si>
  <si>
    <r>
      <rPr>
        <rFont val="Poppins, Arial, Helvetica, sans-serif"/>
        <color rgb="FF1155CC"/>
        <u/>
      </rPr>
      <t>Troy Franklin</t>
    </r>
    <r>
      <rPr>
        <rFont val="Poppins, Arial, Helvetica, sans-serif"/>
      </rPr>
      <t>DEN (10)</t>
    </r>
  </si>
  <si>
    <r>
      <rPr>
        <rFont val="Poppins, Arial, Helvetica, sans-serif"/>
        <color rgb="FF1155CC"/>
        <sz val="9.0"/>
        <u/>
      </rPr>
      <t>Colby Parkinson</t>
    </r>
    <r>
      <rPr>
        <rFont val="Poppins, Arial, Helvetica, sans-serif"/>
        <sz val="9.0"/>
      </rPr>
      <t xml:space="preserve"> (LAR)</t>
    </r>
  </si>
  <si>
    <t>M. Mariota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</si>
  <si>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ouston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Texans</t>
    </r>
    <r>
      <rPr>
        <rFont val="Roboto, sans-serif"/>
      </rPr>
      <t xml:space="preserve">
HOUDEF1</t>
    </r>
  </si>
  <si>
    <t>QB-41</t>
  </si>
  <si>
    <t>C. Smyth</t>
  </si>
  <si>
    <t>K-26</t>
  </si>
  <si>
    <t>264 -12</t>
  </si>
  <si>
    <t>DEF3</t>
  </si>
  <si>
    <t>DEF11</t>
  </si>
  <si>
    <r>
      <rPr>
        <rFont val="Poppins, Arial, Helvetica, sans-serif"/>
        <color rgb="FF1155CC"/>
        <u/>
      </rPr>
      <t>Kaelon Black</t>
    </r>
    <r>
      <rPr>
        <rFont val="Poppins, Arial, Helvetica, sans-serif"/>
      </rPr>
      <t>SF (8)</t>
    </r>
  </si>
  <si>
    <r>
      <rPr>
        <rFont val="Poppins, Arial, Helvetica, sans-serif"/>
        <color rgb="FF1155CC"/>
        <sz val="9.0"/>
        <u/>
      </rPr>
      <t>George Holani</t>
    </r>
    <r>
      <rPr>
        <rFont val="Poppins, Arial, Helvetica, sans-serif"/>
        <sz val="9.0"/>
      </rPr>
      <t xml:space="preserve"> (SEA)</t>
    </r>
  </si>
  <si>
    <t>P. Mafah</t>
  </si>
  <si>
    <t>DEF2</t>
  </si>
  <si>
    <t>RB-104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</si>
  <si>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Stroud</t>
    </r>
    <r>
      <rPr>
        <rFont val="Roboto, sans-serif"/>
      </rPr>
      <t xml:space="preserve">
HOUQB23</t>
    </r>
  </si>
  <si>
    <t>R. Ali</t>
  </si>
  <si>
    <t>RB74</t>
  </si>
  <si>
    <t>RB-105</t>
  </si>
  <si>
    <r>
      <rPr>
        <rFont val="Poppins, Arial, Helvetica, sans-serif"/>
        <color rgb="FF1155CC"/>
        <sz val="9.0"/>
        <u/>
      </rPr>
      <t>Evan Engram</t>
    </r>
    <r>
      <rPr>
        <rFont val="Poppins, Arial, Helvetica, sans-serif"/>
        <sz val="9.0"/>
      </rPr>
      <t xml:space="preserve"> (DEN)</t>
    </r>
  </si>
  <si>
    <t>225 +28</t>
  </si>
  <si>
    <r>
      <rPr>
        <rFont val="Poppins, Arial, Helvetica, sans-serif"/>
        <color rgb="FF1155CC"/>
        <u/>
      </rPr>
      <t>Pat Freiermuth</t>
    </r>
    <r>
      <rPr>
        <rFont val="Poppins, Arial, Helvetica, sans-serif"/>
      </rPr>
      <t>PIT (9)</t>
    </r>
  </si>
  <si>
    <t>K. Coleman Jr.</t>
  </si>
  <si>
    <t>WR-138</t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</si>
  <si>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Likely</t>
    </r>
    <r>
      <rPr>
        <rFont val="Roboto, sans-serif"/>
      </rPr>
      <t xml:space="preserve">
NYGTE16</t>
    </r>
  </si>
  <si>
    <t>G. Dortch</t>
  </si>
  <si>
    <r>
      <rPr>
        <rFont val="Poppins, Arial, Helvetica, sans-serif"/>
        <color rgb="FF1155CC"/>
        <sz val="9.0"/>
        <u/>
      </rPr>
      <t>Tory Horton</t>
    </r>
    <r>
      <rPr>
        <rFont val="Poppins, Arial, Helvetica, sans-serif"/>
        <sz val="9.0"/>
      </rPr>
      <t xml:space="preserve"> (SEA)</t>
    </r>
  </si>
  <si>
    <t>TE35</t>
  </si>
  <si>
    <t>WR-139</t>
  </si>
  <si>
    <t>229 +25</t>
  </si>
  <si>
    <r>
      <rPr>
        <rFont val="Poppins, Arial, Helvetica, sans-serif"/>
        <color rgb="FF1155CC"/>
        <u/>
      </rPr>
      <t>Devin Neal</t>
    </r>
    <r>
      <rPr>
        <rFont val="Poppins, Arial, Helvetica, sans-serif"/>
      </rPr>
      <t>NO (8)</t>
    </r>
  </si>
  <si>
    <t>E. All</t>
  </si>
  <si>
    <t>WR88</t>
  </si>
  <si>
    <t>TE-46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</si>
  <si>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yrone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Tracy Jr.</t>
    </r>
    <r>
      <rPr>
        <rFont val="Roboto, sans-serif"/>
      </rPr>
      <t xml:space="preserve">
NYGRB45</t>
    </r>
  </si>
  <si>
    <r>
      <rPr>
        <rFont val="Poppins, Arial, Helvetica, sans-serif"/>
        <color rgb="FF1155CC"/>
        <sz val="9.0"/>
        <u/>
      </rPr>
      <t>Jordan James</t>
    </r>
    <r>
      <rPr>
        <rFont val="Poppins, Arial, Helvetica, sans-serif"/>
        <sz val="9.0"/>
      </rPr>
      <t xml:space="preserve"> (SF)</t>
    </r>
  </si>
  <si>
    <t>RB75</t>
  </si>
  <si>
    <t>B. Smith</t>
  </si>
  <si>
    <t>RB-106</t>
  </si>
  <si>
    <r>
      <rPr>
        <rFont val="Poppins, Arial, Helvetica, sans-serif"/>
        <color rgb="FF1155CC"/>
        <u/>
      </rPr>
      <t>Najee Harris</t>
    </r>
    <r>
      <rPr>
        <rFont val="Poppins, Arial, Helvetica, sans-serif"/>
      </rPr>
      <t>LAC (7)</t>
    </r>
  </si>
  <si>
    <t>L. Treadwell</t>
  </si>
  <si>
    <r>
      <rPr>
        <rFont val="Poppins, Arial, Helvetica, sans-serif"/>
        <color rgb="FF1155CC"/>
        <sz val="9.0"/>
        <u/>
      </rPr>
      <t>Malik Davis</t>
    </r>
    <r>
      <rPr>
        <rFont val="Poppins, Arial, Helvetica, sans-serif"/>
        <sz val="9.0"/>
      </rPr>
      <t xml:space="preserve"> (DAL)</t>
    </r>
  </si>
  <si>
    <t>WR-140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</si>
  <si>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oody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Marks</t>
    </r>
    <r>
      <rPr>
        <rFont val="Roboto, sans-serif"/>
      </rPr>
      <t xml:space="preserve">
HOURB46</t>
    </r>
  </si>
  <si>
    <t>RB76</t>
  </si>
  <si>
    <t>M. Jones</t>
  </si>
  <si>
    <t>QB-42</t>
  </si>
  <si>
    <t>-</t>
  </si>
  <si>
    <r>
      <rPr>
        <rFont val="Poppins, Arial, Helvetica, sans-serif"/>
        <color rgb="FF1155CC"/>
        <u/>
      </rPr>
      <t>Austin Ekeler</t>
    </r>
  </si>
  <si>
    <t>Tier 12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</si>
  <si>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</si>
  <si>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Justice Hill</t>
    </r>
    <r>
      <rPr>
        <rFont val="Poppins, Arial, Helvetica, sans-serif"/>
        <sz val="9.0"/>
      </rPr>
      <t xml:space="preserve"> (BAL)</t>
    </r>
  </si>
  <si>
    <t>I. Guerendo</t>
  </si>
  <si>
    <t>RB-107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</si>
  <si>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yjae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Spears</t>
    </r>
    <r>
      <rPr>
        <rFont val="Roboto, sans-serif"/>
      </rPr>
      <t xml:space="preserve">
TENRB47</t>
    </r>
  </si>
  <si>
    <t>A. Dillon</t>
  </si>
  <si>
    <t>RB77</t>
  </si>
  <si>
    <r>
      <rPr>
        <rFont val="Poppins, Arial, Helvetica, sans-serif"/>
        <color rgb="FF1155CC"/>
        <sz val="9.0"/>
        <u/>
      </rPr>
      <t>Eli Stowers</t>
    </r>
    <r>
      <rPr>
        <rFont val="Poppins, Arial, Helvetica, sans-serif"/>
        <sz val="9.0"/>
      </rPr>
      <t xml:space="preserve"> (PHI)</t>
    </r>
  </si>
  <si>
    <t>RB-108</t>
  </si>
  <si>
    <r>
      <rPr>
        <rFont val="Poppins, Arial, Helvetica, sans-serif"/>
        <color rgb="FF1155CC"/>
        <u/>
      </rPr>
      <t>Chase McLaughlin</t>
    </r>
    <r>
      <rPr>
        <rFont val="Poppins, Arial, Helvetica, sans-serif"/>
      </rPr>
      <t>TB (10)</t>
    </r>
  </si>
  <si>
    <t>N. Westbrook-Ikhine</t>
  </si>
  <si>
    <t>WR-141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</si>
  <si>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Coker</t>
    </r>
    <r>
      <rPr>
        <rFont val="Roboto, sans-serif"/>
      </rPr>
      <t xml:space="preserve">
CARWR56</t>
    </r>
  </si>
  <si>
    <r>
      <rPr>
        <rFont val="Poppins, Arial, Helvetica, sans-serif"/>
        <color rgb="FF1155CC"/>
        <sz val="9.0"/>
        <u/>
      </rPr>
      <t>Devin Neal</t>
    </r>
    <r>
      <rPr>
        <rFont val="Poppins, Arial, Helvetica, sans-serif"/>
        <sz val="9.0"/>
      </rPr>
      <t xml:space="preserve"> (NO)</t>
    </r>
  </si>
  <si>
    <t>R. Virgil</t>
  </si>
  <si>
    <t>WR-142</t>
  </si>
  <si>
    <t>260 -2</t>
  </si>
  <si>
    <r>
      <rPr>
        <rFont val="Poppins, Arial, Helvetica, sans-serif"/>
        <color rgb="FF1155CC"/>
        <u/>
      </rPr>
      <t>Pat Bryant</t>
    </r>
    <r>
      <rPr>
        <rFont val="Poppins, Arial, Helvetica, sans-serif"/>
      </rPr>
      <t>DEN (10)</t>
    </r>
  </si>
  <si>
    <r>
      <rPr>
        <rFont val="Poppins, Arial, Helvetica, sans-serif"/>
        <color rgb="FF1155CC"/>
        <sz val="9.0"/>
        <u/>
      </rPr>
      <t>Jack Bech</t>
    </r>
    <r>
      <rPr>
        <rFont val="Poppins, Arial, Helvetica, sans-serif"/>
        <sz val="9.0"/>
      </rPr>
      <t xml:space="preserve"> (LV)</t>
    </r>
  </si>
  <si>
    <t>J. Joly</t>
  </si>
  <si>
    <t>TE-47</t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</si>
  <si>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Cooper Jr.</t>
    </r>
    <r>
      <rPr>
        <rFont val="Roboto, sans-serif"/>
      </rPr>
      <t xml:space="preserve">
NYJWR57</t>
    </r>
  </si>
  <si>
    <t>WR89</t>
  </si>
  <si>
    <t>I. Williams</t>
  </si>
  <si>
    <t>WR-143</t>
  </si>
  <si>
    <r>
      <rPr>
        <rFont val="Poppins, Arial, Helvetica, sans-serif"/>
        <color rgb="FF1155CC"/>
        <sz val="9.0"/>
        <u/>
      </rPr>
      <t>Isaiah Davis</t>
    </r>
    <r>
      <rPr>
        <rFont val="Poppins, Arial, Helvetica, sans-serif"/>
        <sz val="9.0"/>
      </rPr>
      <t xml:space="preserve"> (NYJ)</t>
    </r>
  </si>
  <si>
    <t>253 +6</t>
  </si>
  <si>
    <t>New York Giants DST</t>
  </si>
  <si>
    <r>
      <rPr>
        <rFont val="Poppins, Arial, Helvetica, sans-serif"/>
        <color rgb="FF1155CC"/>
        <u/>
      </rPr>
      <t>J.J. McCarthy</t>
    </r>
    <r>
      <rPr>
        <rFont val="Poppins, Arial, Helvetica, sans-serif"/>
      </rPr>
      <t>MIN (6)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</si>
  <si>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a'imi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Fairbairn</t>
    </r>
    <r>
      <rPr>
        <rFont val="Roboto, sans-serif"/>
      </rPr>
      <t xml:space="preserve">
HOUK3</t>
    </r>
  </si>
  <si>
    <t>DST-27</t>
  </si>
  <si>
    <r>
      <rPr>
        <rFont val="Poppins, Arial, Helvetica, sans-serif"/>
        <color rgb="FF1155CC"/>
        <sz val="9.0"/>
        <u/>
      </rPr>
      <t>Kaelon Black</t>
    </r>
    <r>
      <rPr>
        <rFont val="Poppins, Arial, Helvetica, sans-serif"/>
        <sz val="9.0"/>
      </rPr>
      <t xml:space="preserve"> (SF)</t>
    </r>
  </si>
  <si>
    <t>R. Fitzgerald</t>
  </si>
  <si>
    <t>K-27</t>
  </si>
  <si>
    <t>QB35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</si>
  <si>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enver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Broncos</t>
    </r>
    <r>
      <rPr>
        <rFont val="Roboto, sans-serif"/>
      </rPr>
      <t xml:space="preserve">
DENDEF2</t>
    </r>
  </si>
  <si>
    <r>
      <rPr>
        <rFont val="Poppins, Arial, Helvetica, sans-serif"/>
        <color rgb="FF1155CC"/>
        <u/>
      </rPr>
      <t>Ty Johnson</t>
    </r>
    <r>
      <rPr>
        <rFont val="Poppins, Arial, Helvetica, sans-serif"/>
      </rPr>
      <t>BUF (7)</t>
    </r>
  </si>
  <si>
    <t>K. Mumpfield</t>
  </si>
  <si>
    <r>
      <rPr>
        <rFont val="Poppins, Arial, Helvetica, sans-serif"/>
        <color rgb="FF1155CC"/>
        <sz val="9.0"/>
        <u/>
      </rPr>
      <t>Fernando Mendoza</t>
    </r>
    <r>
      <rPr>
        <rFont val="Poppins, Arial, Helvetica, sans-serif"/>
        <sz val="9.0"/>
      </rPr>
      <t xml:space="preserve"> (LV)</t>
    </r>
  </si>
  <si>
    <t>WR-144</t>
  </si>
  <si>
    <t>Z. Scott</t>
  </si>
  <si>
    <t>DEF1</t>
  </si>
  <si>
    <t>RB-109</t>
  </si>
  <si>
    <t>RB78</t>
  </si>
  <si>
    <t>DEF5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</si>
  <si>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LVRWR58</t>
    </r>
  </si>
  <si>
    <r>
      <rPr>
        <rFont val="Poppins, Arial, Helvetica, sans-serif"/>
        <color rgb="FF1155CC"/>
        <u/>
      </rPr>
      <t>Chimere Dike</t>
    </r>
    <r>
      <rPr>
        <rFont val="Poppins, Arial, Helvetica, sans-serif"/>
      </rPr>
      <t>TEN (9)</t>
    </r>
  </si>
  <si>
    <t>J. Winston</t>
  </si>
  <si>
    <r>
      <rPr>
        <rFont val="Poppins, Arial, Helvetica, sans-serif"/>
        <color rgb="FF1155CC"/>
        <sz val="9.0"/>
        <u/>
      </rPr>
      <t>Tyquan Thornton</t>
    </r>
    <r>
      <rPr>
        <rFont val="Poppins, Arial, Helvetica, sans-serif"/>
        <sz val="9.0"/>
      </rPr>
      <t xml:space="preserve"> (KC)</t>
    </r>
  </si>
  <si>
    <t>QB-43</t>
  </si>
  <si>
    <t>C. Allen</t>
  </si>
  <si>
    <t>WR-145</t>
  </si>
  <si>
    <t>WR90</t>
  </si>
  <si>
    <r>
      <rPr>
        <rFont val="Poppins, Arial, Helvetica, sans-serif"/>
        <color rgb="FF1155CC"/>
        <u/>
      </rPr>
      <t>Cairo Santos</t>
    </r>
    <r>
      <rPr>
        <rFont val="Poppins, Arial, Helvetica, sans-serif"/>
      </rPr>
      <t>CHI (10)</t>
    </r>
  </si>
  <si>
    <r>
      <rPr>
        <rFont val="Poppins, Arial, Helvetica, sans-serif"/>
        <color rgb="FF1155CC"/>
        <sz val="9.0"/>
        <u/>
      </rPr>
      <t>Elijah Sarratt</t>
    </r>
    <r>
      <rPr>
        <rFont val="Poppins, Arial, Helvetica, sans-serif"/>
        <sz val="9.0"/>
      </rPr>
      <t xml:space="preserve"> (BAL)</t>
    </r>
  </si>
  <si>
    <t>D. Bellinger</t>
  </si>
  <si>
    <t>TE-48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</si>
  <si>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Allgeier</t>
    </r>
    <r>
      <rPr>
        <rFont val="Roboto, sans-serif"/>
      </rPr>
      <t xml:space="preserve">
ARIRB48</t>
    </r>
  </si>
  <si>
    <t>K16</t>
  </si>
  <si>
    <t>246 +17</t>
  </si>
  <si>
    <t>WR91</t>
  </si>
  <si>
    <r>
      <rPr>
        <rFont val="Poppins, Arial, Helvetica, sans-serif"/>
        <color rgb="FF1155CC"/>
        <u/>
      </rPr>
      <t>Kansas City Chiefs DST</t>
    </r>
    <r>
      <rPr>
        <rFont val="Poppins, Arial, Helvetica, sans-serif"/>
      </rPr>
      <t>(5)</t>
    </r>
  </si>
  <si>
    <t>J. Whittington</t>
  </si>
  <si>
    <t>WR-146</t>
  </si>
  <si>
    <r>
      <rPr>
        <rFont val="Poppins, Arial, Helvetica, sans-serif"/>
        <color rgb="FF1155CC"/>
        <sz val="9.0"/>
        <u/>
      </rPr>
      <t>Wil Lutz</t>
    </r>
    <r>
      <rPr>
        <rFont val="Poppins, Arial, Helvetica, sans-serif"/>
        <sz val="9.0"/>
      </rPr>
      <t xml:space="preserve"> (DEN)</t>
    </r>
  </si>
  <si>
    <t>WR-147</t>
  </si>
  <si>
    <t>266 -2</t>
  </si>
  <si>
    <r>
      <rPr>
        <rFont val="Poppins, Arial, Helvetica, sans-serif"/>
        <color rgb="FF1155CC"/>
        <u/>
      </rPr>
      <t>Germie Bernard</t>
    </r>
    <r>
      <rPr>
        <rFont val="Poppins, Arial, Helvetica, sans-serif"/>
      </rPr>
      <t>PIT (9)</t>
    </r>
  </si>
  <si>
    <r>
      <rPr>
        <rFont val="Poppins, Arial, Helvetica, sans-serif"/>
        <color rgb="FF1155CC"/>
        <sz val="9.0"/>
        <u/>
      </rPr>
      <t>Ted Hurst III</t>
    </r>
    <r>
      <rPr>
        <rFont val="Poppins, Arial, Helvetica, sans-serif"/>
        <sz val="9.0"/>
      </rPr>
      <t xml:space="preserve"> (TB)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</si>
  <si>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an'Dale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TENWR59</t>
    </r>
  </si>
  <si>
    <t>RB-110</t>
  </si>
  <si>
    <t>267 -2</t>
  </si>
  <si>
    <r>
      <rPr>
        <rFont val="Poppins, Arial, Helvetica, sans-serif"/>
        <color rgb="FF1155CC"/>
        <u/>
      </rPr>
      <t>Carson Beck</t>
    </r>
    <r>
      <rPr>
        <rFont val="Poppins, Arial, Helvetica, sans-serif"/>
      </rPr>
      <t>ARI (14)</t>
    </r>
  </si>
  <si>
    <t>J. Flacco</t>
  </si>
  <si>
    <t>WR92</t>
  </si>
  <si>
    <t>QB-44</t>
  </si>
  <si>
    <r>
      <rPr>
        <rFont val="Poppins, Arial, Helvetica, sans-serif"/>
        <color rgb="FF1155CC"/>
        <sz val="9.0"/>
        <u/>
      </rPr>
      <t>Ty Johnson</t>
    </r>
    <r>
      <rPr>
        <rFont val="Poppins, Arial, Helvetica, sans-serif"/>
        <sz val="9.0"/>
      </rPr>
      <t xml:space="preserve"> (BUF)</t>
    </r>
  </si>
  <si>
    <t>T. Badie</t>
  </si>
  <si>
    <t>QB36</t>
  </si>
  <si>
    <t>RB-111</t>
  </si>
  <si>
    <r>
      <rPr>
        <rFont val="Poppins, Arial, Helvetica, sans-serif"/>
        <color rgb="FF1155CC"/>
        <u/>
      </rPr>
      <t>Jordan James</t>
    </r>
    <r>
      <rPr>
        <rFont val="Poppins, Arial, Helvetica, sans-serif"/>
      </rPr>
      <t>SF (8)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</si>
  <si>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 Jr.</t>
    </r>
    <r>
      <rPr>
        <rFont val="Roboto, sans-serif"/>
      </rPr>
      <t xml:space="preserve">
ATLRB49</t>
    </r>
  </si>
  <si>
    <r>
      <rPr>
        <rFont val="Poppins, Arial, Helvetica, sans-serif"/>
        <color rgb="FF1155CC"/>
        <sz val="9.0"/>
        <u/>
      </rPr>
      <t>Chris Brooks</t>
    </r>
    <r>
      <rPr>
        <rFont val="Poppins, Arial, Helvetica, sans-serif"/>
        <sz val="9.0"/>
      </rPr>
      <t xml:space="preserve"> (GB)</t>
    </r>
  </si>
  <si>
    <t>M. Benson</t>
  </si>
  <si>
    <t>WR-148</t>
  </si>
  <si>
    <t>RB79</t>
  </si>
  <si>
    <t>197 +70</t>
  </si>
  <si>
    <r>
      <rPr>
        <rFont val="Poppins, Arial, Helvetica, sans-serif"/>
        <color rgb="FF1155CC"/>
        <u/>
      </rPr>
      <t>Deshaun Watson</t>
    </r>
    <r>
      <rPr>
        <rFont val="Poppins, Arial, Helvetica, sans-serif"/>
      </rPr>
      <t>CLE (11)</t>
    </r>
  </si>
  <si>
    <t>B. Melton</t>
  </si>
  <si>
    <t>WR-149</t>
  </si>
  <si>
    <r>
      <rPr>
        <rFont val="Poppins, Arial, Helvetica, sans-serif"/>
        <color rgb="FF1155CC"/>
        <sz val="9.0"/>
        <u/>
      </rPr>
      <t>DJ Giddens</t>
    </r>
    <r>
      <rPr>
        <rFont val="Poppins, Arial, Helvetica, sans-serif"/>
        <sz val="9.0"/>
      </rPr>
      <t xml:space="preserve"> (IND)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</si>
  <si>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enzel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Boston</t>
    </r>
    <r>
      <rPr>
        <rFont val="Roboto, sans-serif"/>
      </rPr>
      <t xml:space="preserve">
CLEWR60</t>
    </r>
  </si>
  <si>
    <t>QB37</t>
  </si>
  <si>
    <t>M. Klare</t>
  </si>
  <si>
    <t>TE-49</t>
  </si>
  <si>
    <r>
      <rPr>
        <rFont val="Poppins, Arial, Helvetica, sans-serif"/>
        <color rgb="FF1155CC"/>
        <u/>
      </rPr>
      <t>Cooper Kupp</t>
    </r>
    <r>
      <rPr>
        <rFont val="Poppins, Arial, Helvetica, sans-serif"/>
      </rPr>
      <t>SEA (11)</t>
    </r>
  </si>
  <si>
    <t>Miami Dolphins DST</t>
  </si>
  <si>
    <r>
      <rPr>
        <rFont val="Poppins, Arial, Helvetica, sans-serif"/>
        <color rgb="FF1155CC"/>
        <sz val="9.0"/>
        <u/>
      </rPr>
      <t>Christian Kirk</t>
    </r>
    <r>
      <rPr>
        <rFont val="Poppins, Arial, Helvetica, sans-serif"/>
        <sz val="9.0"/>
      </rPr>
      <t xml:space="preserve"> (SF)</t>
    </r>
  </si>
  <si>
    <t>DST-28</t>
  </si>
  <si>
    <t>270 -1</t>
  </si>
  <si>
    <r>
      <rPr>
        <rFont val="Poppins, Arial, Helvetica, sans-serif"/>
        <color rgb="FF1155CC"/>
        <u/>
      </rPr>
      <t>Kendre Miller</t>
    </r>
    <r>
      <rPr>
        <rFont val="Poppins, Arial, Helvetica, sans-serif"/>
      </rPr>
      <t>NO (8)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</si>
  <si>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donai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NYJWR61</t>
    </r>
  </si>
  <si>
    <t>M. Gay</t>
  </si>
  <si>
    <t>WR93</t>
  </si>
  <si>
    <t>K-28</t>
  </si>
  <si>
    <r>
      <rPr>
        <rFont val="Poppins, Arial, Helvetica, sans-serif"/>
        <color rgb="FF1155CC"/>
        <sz val="9.0"/>
        <u/>
      </rPr>
      <t>Tua Tagovailoa</t>
    </r>
    <r>
      <rPr>
        <rFont val="Poppins, Arial, Helvetica, sans-serif"/>
        <sz val="9.0"/>
      </rPr>
      <t xml:space="preserve"> (ATL)</t>
    </r>
  </si>
  <si>
    <t>RB80</t>
  </si>
  <si>
    <t>C. Daniels</t>
  </si>
  <si>
    <r>
      <rPr>
        <rFont val="Poppins, Arial, Helvetica, sans-serif"/>
        <color rgb="FF1155CC"/>
        <u/>
      </rPr>
      <t>Ted Hurst III</t>
    </r>
    <r>
      <rPr>
        <rFont val="Poppins, Arial, Helvetica, sans-serif"/>
      </rPr>
      <t>TB (10)</t>
    </r>
  </si>
  <si>
    <t>WR-150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</si>
  <si>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eattle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Seahawks</t>
    </r>
    <r>
      <rPr>
        <rFont val="Roboto, sans-serif"/>
      </rPr>
      <t xml:space="preserve">
SEADEF3</t>
    </r>
  </si>
  <si>
    <r>
      <rPr>
        <rFont val="Poppins, Arial, Helvetica, sans-serif"/>
        <color rgb="FF1155CC"/>
        <sz val="9.0"/>
        <u/>
      </rPr>
      <t>Darius Slayton</t>
    </r>
    <r>
      <rPr>
        <rFont val="Poppins, Arial, Helvetica, sans-serif"/>
        <sz val="9.0"/>
      </rPr>
      <t xml:space="preserve"> (NYG)</t>
    </r>
  </si>
  <si>
    <t>J. McNichols</t>
  </si>
  <si>
    <t>268 +3</t>
  </si>
  <si>
    <t>RB-112</t>
  </si>
  <si>
    <r>
      <rPr>
        <rFont val="Poppins, Arial, Helvetica, sans-serif"/>
        <color rgb="FF1155CC"/>
        <u/>
      </rPr>
      <t>Buffalo Bills DST</t>
    </r>
    <r>
      <rPr>
        <rFont val="Poppins, Arial, Helvetica, sans-serif"/>
      </rPr>
      <t>(7)</t>
    </r>
  </si>
  <si>
    <t>WR94</t>
  </si>
  <si>
    <t>J. Cameron</t>
  </si>
  <si>
    <r>
      <rPr>
        <rFont val="Poppins, Arial, Helvetica, sans-serif"/>
        <color rgb="FF1155CC"/>
        <sz val="9.0"/>
        <u/>
      </rPr>
      <t>Theo Johnson</t>
    </r>
    <r>
      <rPr>
        <rFont val="Poppins, Arial, Helvetica, sans-serif"/>
        <sz val="9.0"/>
      </rPr>
      <t xml:space="preserve"> (NYG)</t>
    </r>
  </si>
  <si>
    <t>WR-151</t>
  </si>
  <si>
    <t>DEF4</t>
  </si>
  <si>
    <t>DST17</t>
  </si>
  <si>
    <t>269 +3</t>
  </si>
  <si>
    <r>
      <rPr>
        <rFont val="Poppins, Arial, Helvetica, sans-serif"/>
        <color rgb="FF1155CC"/>
        <u/>
      </rPr>
      <t>Brashard Smith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</si>
  <si>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DALTE17</t>
    </r>
  </si>
  <si>
    <t>A. Estime</t>
  </si>
  <si>
    <t>RB-113</t>
  </si>
  <si>
    <r>
      <rPr>
        <rFont val="Poppins, Arial, Helvetica, sans-serif"/>
        <color rgb="FF1155CC"/>
        <sz val="9.0"/>
        <u/>
      </rPr>
      <t>Trey Benson</t>
    </r>
    <r>
      <rPr>
        <rFont val="Poppins, Arial, Helvetica, sans-serif"/>
        <sz val="9.0"/>
      </rPr>
      <t xml:space="preserve"> (ARI)</t>
    </r>
  </si>
  <si>
    <t>RB81</t>
  </si>
  <si>
    <t>T. Lance</t>
  </si>
  <si>
    <t>QB-45</t>
  </si>
  <si>
    <r>
      <rPr>
        <rFont val="Poppins, Arial, Helvetica, sans-serif"/>
        <color rgb="FF1155CC"/>
        <u/>
      </rPr>
      <t>San Francisco 49ers DST</t>
    </r>
    <r>
      <rPr>
        <rFont val="Poppins, Arial, Helvetica, sans-serif"/>
      </rPr>
      <t>(8)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</si>
  <si>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eaton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LACRB50</t>
    </r>
  </si>
  <si>
    <r>
      <rPr>
        <rFont val="Poppins, Arial, Helvetica, sans-serif"/>
        <color rgb="FF1155CC"/>
        <sz val="9.0"/>
        <u/>
      </rPr>
      <t>Chris Bell</t>
    </r>
    <r>
      <rPr>
        <rFont val="Poppins, Arial, Helvetica, sans-serif"/>
        <sz val="9.0"/>
      </rPr>
      <t xml:space="preserve"> (MIA)</t>
    </r>
  </si>
  <si>
    <t>D. Lovett</t>
  </si>
  <si>
    <t>WR-152</t>
  </si>
  <si>
    <t>DST18</t>
  </si>
  <si>
    <t>259 +15</t>
  </si>
  <si>
    <r>
      <rPr>
        <rFont val="Poppins, Arial, Helvetica, sans-serif"/>
        <color rgb="FF1155CC"/>
        <u/>
      </rPr>
      <t>Jalen Tolbert</t>
    </r>
    <r>
      <rPr>
        <rFont val="Poppins, Arial, Helvetica, sans-serif"/>
      </rPr>
      <t>MIA (6)</t>
    </r>
  </si>
  <si>
    <t>WR95</t>
  </si>
  <si>
    <r>
      <rPr>
        <rFont val="Poppins, Arial, Helvetica, sans-serif"/>
        <color rgb="FF1155CC"/>
        <sz val="9.0"/>
        <u/>
      </rPr>
      <t>Brandon Aiyuk</t>
    </r>
    <r>
      <rPr>
        <rFont val="Poppins, Arial, Helvetica, sans-serif"/>
        <sz val="9.0"/>
      </rPr>
      <t xml:space="preserve"> (SF)</t>
    </r>
  </si>
  <si>
    <t>RB-114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</si>
  <si>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Sadiq</t>
    </r>
    <r>
      <rPr>
        <rFont val="Roboto, sans-serif"/>
      </rPr>
      <t xml:space="preserve">
NYJTE18</t>
    </r>
  </si>
  <si>
    <r>
      <rPr>
        <rFont val="Poppins, Arial, Helvetica, sans-serif"/>
        <color rgb="FF1155CC"/>
        <u/>
      </rPr>
      <t>Chicago Bears DST</t>
    </r>
    <r>
      <rPr>
        <rFont val="Poppins, Arial, Helvetica, sans-serif"/>
      </rPr>
      <t>(10)</t>
    </r>
  </si>
  <si>
    <t>J. Hawes</t>
  </si>
  <si>
    <t>WR96</t>
  </si>
  <si>
    <t>TE-50</t>
  </si>
  <si>
    <r>
      <rPr>
        <rFont val="Poppins, Arial, Helvetica, sans-serif"/>
        <color rgb="FF1155CC"/>
        <sz val="9.0"/>
        <u/>
      </rPr>
      <t>Malachi Fields</t>
    </r>
    <r>
      <rPr>
        <rFont val="Poppins, Arial, Helvetica, sans-serif"/>
        <sz val="9.0"/>
      </rPr>
      <t xml:space="preserve"> (NYG)</t>
    </r>
  </si>
  <si>
    <t>DST19</t>
  </si>
  <si>
    <t>B. Aiyuk</t>
  </si>
  <si>
    <t>251 +25</t>
  </si>
  <si>
    <t>WR-153</t>
  </si>
  <si>
    <r>
      <rPr>
        <rFont val="Poppins, Arial, Helvetica, sans-serif"/>
        <color rgb="FF1155CC"/>
        <u/>
      </rPr>
      <t>Elic Ayomanor</t>
    </r>
    <r>
      <rPr>
        <rFont val="Poppins, Arial, Helvetica, sans-serif"/>
      </rPr>
      <t>TEN (9)</t>
    </r>
  </si>
  <si>
    <t>WR97</t>
  </si>
  <si>
    <r>
      <rPr>
        <rFont val="Poppins, Arial, Helvetica, sans-serif"/>
        <color rgb="FF1155CC"/>
        <sz val="9.0"/>
        <u/>
      </rPr>
      <t>Samaje Perine</t>
    </r>
    <r>
      <rPr>
        <rFont val="Poppins, Arial, Helvetica, sans-serif"/>
        <sz val="9.0"/>
      </rPr>
      <t xml:space="preserve"> (CIN)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</si>
  <si>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Loop</t>
    </r>
    <r>
      <rPr>
        <rFont val="Roboto, sans-serif"/>
      </rPr>
      <t xml:space="preserve">
BALK4</t>
    </r>
  </si>
  <si>
    <t>C. Tillman</t>
  </si>
  <si>
    <t>WR-154</t>
  </si>
  <si>
    <t>252 +25</t>
  </si>
  <si>
    <r>
      <rPr>
        <rFont val="Poppins, Arial, Helvetica, sans-serif"/>
        <color rgb="FF1155CC"/>
        <u/>
      </rPr>
      <t>Keenan Allen</t>
    </r>
    <r>
      <rPr>
        <rFont val="Poppins, Arial, Helvetica, sans-serif"/>
      </rPr>
      <t>LAC (7)</t>
    </r>
  </si>
  <si>
    <t>T. Bagent</t>
  </si>
  <si>
    <t>QB-46</t>
  </si>
  <si>
    <t>Washington Commanders DST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</si>
  <si>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reen Bay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Packers</t>
    </r>
    <r>
      <rPr>
        <rFont val="Roboto, sans-serif"/>
      </rPr>
      <t xml:space="preserve">
GBDEF4</t>
    </r>
  </si>
  <si>
    <r>
      <rPr>
        <rFont val="Poppins, Arial, Helvetica, sans-serif"/>
        <color rgb="FF1155CC"/>
        <sz val="9.0"/>
        <u/>
      </rPr>
      <t>Mason Taylor</t>
    </r>
    <r>
      <rPr>
        <rFont val="Poppins, Arial, Helvetica, sans-serif"/>
        <sz val="9.0"/>
      </rPr>
      <t xml:space="preserve"> (NYJ)</t>
    </r>
  </si>
  <si>
    <t>DST-29</t>
  </si>
  <si>
    <r>
      <rPr>
        <rFont val="Poppins, Arial, Helvetica, sans-serif"/>
        <color rgb="FF1155CC"/>
        <u/>
      </rPr>
      <t>Tory Horton</t>
    </r>
    <r>
      <rPr>
        <rFont val="Poppins, Arial, Helvetica, sans-serif"/>
      </rPr>
      <t>SEA (11)</t>
    </r>
  </si>
  <si>
    <t>E. Gray</t>
  </si>
  <si>
    <t>RB-115</t>
  </si>
  <si>
    <t>DEF14</t>
  </si>
  <si>
    <t>DEF13</t>
  </si>
  <si>
    <t>DEF15</t>
  </si>
  <si>
    <t>J. Metchie III</t>
  </si>
  <si>
    <r>
      <rPr>
        <rFont val="Poppins, Arial, Helvetica, sans-serif"/>
        <color rgb="FF1155CC"/>
        <sz val="9.0"/>
        <u/>
      </rPr>
      <t>Marvin Mims Jr.</t>
    </r>
    <r>
      <rPr>
        <rFont val="Poppins, Arial, Helvetica, sans-serif"/>
        <sz val="9.0"/>
      </rPr>
      <t xml:space="preserve"> (DEN)</t>
    </r>
  </si>
  <si>
    <t>WR-155</t>
  </si>
  <si>
    <r>
      <rPr>
        <rFont val="Poppins, Arial, Helvetica, sans-serif"/>
        <color rgb="FF1155CC"/>
        <u/>
      </rPr>
      <t>Christian Kirk</t>
    </r>
    <r>
      <rPr>
        <rFont val="Poppins, Arial, Helvetica, sans-serif"/>
      </rPr>
      <t>SF (8)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</si>
  <si>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uwan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NOTE19</t>
    </r>
  </si>
  <si>
    <t>Z. Gonzalez</t>
  </si>
  <si>
    <t>K-29</t>
  </si>
  <si>
    <t>WR98</t>
  </si>
  <si>
    <t>K. Nwangwu</t>
  </si>
  <si>
    <r>
      <rPr>
        <rFont val="Poppins, Arial, Helvetica, sans-serif"/>
        <color rgb="FF1155CC"/>
        <u/>
      </rPr>
      <t>Justin Fields</t>
    </r>
    <r>
      <rPr>
        <rFont val="Poppins, Arial, Helvetica, sans-serif"/>
      </rPr>
      <t>KC (5)</t>
    </r>
  </si>
  <si>
    <t>RB-116</t>
  </si>
  <si>
    <r>
      <rPr>
        <rFont val="Poppins, Arial, Helvetica, sans-serif"/>
        <color rgb="FF1155CC"/>
        <sz val="9.0"/>
        <u/>
      </rPr>
      <t>Will Reichard</t>
    </r>
    <r>
      <rPr>
        <rFont val="Poppins, Arial, Helvetica, sans-serif"/>
        <sz val="9.0"/>
      </rPr>
      <t xml:space="preserve"> (MIN)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</si>
  <si>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altimore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Ravens</t>
    </r>
    <r>
      <rPr>
        <rFont val="Roboto, sans-serif"/>
      </rPr>
      <t xml:space="preserve">
BALDEF5</t>
    </r>
  </si>
  <si>
    <t>N. Fant</t>
  </si>
  <si>
    <t>TE-51</t>
  </si>
  <si>
    <t>QB38</t>
  </si>
  <si>
    <t>K. Wetjen</t>
  </si>
  <si>
    <r>
      <rPr>
        <rFont val="Poppins, Arial, Helvetica, sans-serif"/>
        <color rgb="FF1155CC"/>
        <u/>
      </rPr>
      <t>Audric Estime</t>
    </r>
    <r>
      <rPr>
        <rFont val="Poppins, Arial, Helvetica, sans-serif"/>
      </rPr>
      <t>NO (8)</t>
    </r>
  </si>
  <si>
    <t>WR-156</t>
  </si>
  <si>
    <t>DEF10</t>
  </si>
  <si>
    <t>DEF6</t>
  </si>
  <si>
    <t>K17</t>
  </si>
  <si>
    <r>
      <rPr>
        <rFont val="Poppins, Arial, Helvetica, sans-serif"/>
        <color rgb="FF1155CC"/>
        <sz val="9.0"/>
        <u/>
      </rPr>
      <t>San Francisco 49ers</t>
    </r>
    <r>
      <rPr>
        <rFont val="Poppins, Arial, Helvetica, sans-serif"/>
        <sz val="9.0"/>
      </rPr>
      <t xml:space="preserve"> (SF)</t>
    </r>
  </si>
  <si>
    <t>B. Brown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</si>
  <si>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airo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Santos</t>
    </r>
    <r>
      <rPr>
        <rFont val="Roboto, sans-serif"/>
      </rPr>
      <t xml:space="preserve">
CHIK5</t>
    </r>
  </si>
  <si>
    <t>WR-157</t>
  </si>
  <si>
    <t>F. Gore Jr.</t>
  </si>
  <si>
    <t>RB82</t>
  </si>
  <si>
    <t>RB-117</t>
  </si>
  <si>
    <r>
      <rPr>
        <rFont val="Poppins, Arial, Helvetica, sans-serif"/>
        <color rgb="FF1155CC"/>
        <u/>
      </rPr>
      <t>Dontayvion Wicks</t>
    </r>
    <r>
      <rPr>
        <rFont val="Poppins, Arial, Helvetica, sans-serif"/>
      </rPr>
      <t>PHI (10)</t>
    </r>
  </si>
  <si>
    <r>
      <rPr>
        <rFont val="Poppins, Arial, Helvetica, sans-serif"/>
        <color rgb="FF1155CC"/>
        <sz val="9.0"/>
        <u/>
      </rPr>
      <t>Atlanta Falcons</t>
    </r>
    <r>
      <rPr>
        <rFont val="Poppins, Arial, Helvetica, sans-serif"/>
        <sz val="9.0"/>
      </rPr>
      <t xml:space="preserve"> (ATL)</t>
    </r>
  </si>
  <si>
    <t>O. Beckham Jr.</t>
  </si>
  <si>
    <t>WR-158</t>
  </si>
  <si>
    <t>T. Huntley</t>
  </si>
  <si>
    <t>QB-47</t>
  </si>
  <si>
    <t>265 +18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</si>
  <si>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ddy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Pineiro</t>
    </r>
    <r>
      <rPr>
        <rFont val="Roboto, sans-serif"/>
      </rPr>
      <t xml:space="preserve">
SFK6</t>
    </r>
  </si>
  <si>
    <r>
      <rPr>
        <rFont val="Poppins, Arial, Helvetica, sans-serif"/>
        <color rgb="FF1155CC"/>
        <u/>
      </rPr>
      <t>Jaylin Noel</t>
    </r>
    <r>
      <rPr>
        <rFont val="Poppins, Arial, Helvetica, sans-serif"/>
      </rPr>
      <t>HOU (8)</t>
    </r>
  </si>
  <si>
    <t>J. McLaughlin</t>
  </si>
  <si>
    <r>
      <rPr>
        <rFont val="Poppins, Arial, Helvetica, sans-serif"/>
        <color rgb="FF1155CC"/>
        <sz val="9.0"/>
        <u/>
      </rPr>
      <t>Xavier Legette</t>
    </r>
    <r>
      <rPr>
        <rFont val="Poppins, Arial, Helvetica, sans-serif"/>
        <sz val="9.0"/>
      </rPr>
      <t xml:space="preserve"> (CAR)</t>
    </r>
  </si>
  <si>
    <t>RB-118</t>
  </si>
  <si>
    <t>V. Jefferson</t>
  </si>
  <si>
    <t>WR-159</t>
  </si>
  <si>
    <t>WR99</t>
  </si>
  <si>
    <r>
      <rPr>
        <rFont val="Poppins, Arial, Helvetica, sans-serif"/>
        <color rgb="FF1155CC"/>
        <u/>
      </rPr>
      <t>Jarquez Hunter</t>
    </r>
    <r>
      <rPr>
        <rFont val="Poppins, Arial, Helvetica, sans-serif"/>
      </rPr>
      <t>LAR (11)</t>
    </r>
  </si>
  <si>
    <r>
      <rPr>
        <rFont val="Poppins, Arial, Helvetica, sans-serif"/>
        <color rgb="FF1155CC"/>
        <sz val="9.0"/>
        <u/>
      </rPr>
      <t>Kaleb Johnson</t>
    </r>
    <r>
      <rPr>
        <rFont val="Poppins, Arial, Helvetica, sans-serif"/>
        <sz val="9.0"/>
      </rPr>
      <t xml:space="preserve"> (PIT)</t>
    </r>
  </si>
  <si>
    <t>B. Sinnott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</si>
  <si>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Little</t>
    </r>
    <r>
      <rPr>
        <rFont val="Roboto, sans-serif"/>
      </rPr>
      <t xml:space="preserve">
JACK7</t>
    </r>
  </si>
  <si>
    <t>TE-52</t>
  </si>
  <si>
    <t>J. Mingo</t>
  </si>
  <si>
    <t>WR-160</t>
  </si>
  <si>
    <t>RB83</t>
  </si>
  <si>
    <r>
      <rPr>
        <rFont val="Poppins, Arial, Helvetica, sans-serif"/>
        <color rgb="FF1155CC"/>
        <u/>
      </rPr>
      <t>Devin Singletary</t>
    </r>
    <r>
      <rPr>
        <rFont val="Poppins, Arial, Helvetica, sans-serif"/>
      </rPr>
      <t>NYG (8)</t>
    </r>
  </si>
  <si>
    <r>
      <rPr>
        <rFont val="Poppins, Arial, Helvetica, sans-serif"/>
        <color rgb="FF1155CC"/>
        <sz val="9.0"/>
        <u/>
      </rPr>
      <t>Devaughn Vele</t>
    </r>
    <r>
      <rPr>
        <rFont val="Poppins, Arial, Helvetica, sans-serif"/>
        <sz val="9.0"/>
      </rPr>
      <t xml:space="preserve"> (NO)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</si>
  <si>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halil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Shakir</t>
    </r>
    <r>
      <rPr>
        <rFont val="Roboto, sans-serif"/>
      </rPr>
      <t xml:space="preserve">
BUFWR62</t>
    </r>
  </si>
  <si>
    <t>D. Robinson</t>
  </si>
  <si>
    <t>WR-161</t>
  </si>
  <si>
    <t>Las Vegas Raiders DST</t>
  </si>
  <si>
    <t>DST-30</t>
  </si>
  <si>
    <t>RB84</t>
  </si>
  <si>
    <t>WR100</t>
  </si>
  <si>
    <r>
      <rPr>
        <rFont val="Poppins, Arial, Helvetica, sans-serif"/>
        <color rgb="FF1155CC"/>
        <u/>
      </rPr>
      <t>Marvin Mims Jr.</t>
    </r>
    <r>
      <rPr>
        <rFont val="Poppins, Arial, Helvetica, sans-serif"/>
      </rPr>
      <t>DEN (10)</t>
    </r>
  </si>
  <si>
    <t>A. Szmyt</t>
  </si>
  <si>
    <r>
      <rPr>
        <rFont val="Poppins, Arial, Helvetica, sans-serif"/>
        <color rgb="FF1155CC"/>
        <sz val="9.0"/>
        <u/>
      </rPr>
      <t>Emari Demercado</t>
    </r>
    <r>
      <rPr>
        <rFont val="Poppins, Arial, Helvetica, sans-serif"/>
        <sz val="9.0"/>
      </rPr>
      <t xml:space="preserve"> (KC)</t>
    </r>
  </si>
  <si>
    <t>K-30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</si>
  <si>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Ward</t>
    </r>
    <r>
      <rPr>
        <rFont val="Roboto, sans-serif"/>
      </rPr>
      <t xml:space="preserve">
TENQB24</t>
    </r>
  </si>
  <si>
    <t>P. Strong Jr.</t>
  </si>
  <si>
    <t>RB-119</t>
  </si>
  <si>
    <r>
      <rPr>
        <rFont val="Poppins, Arial, Helvetica, sans-serif"/>
        <color rgb="FF1155CC"/>
        <u/>
      </rPr>
      <t>Evan McPherson</t>
    </r>
    <r>
      <rPr>
        <rFont val="Poppins, Arial, Helvetica, sans-serif"/>
      </rPr>
      <t>CIN (6)</t>
    </r>
  </si>
  <si>
    <t>D. Cooper</t>
  </si>
  <si>
    <t>WR-162</t>
  </si>
  <si>
    <r>
      <rPr>
        <rFont val="Poppins, Arial, Helvetica, sans-serif"/>
        <color rgb="FF1155CC"/>
        <sz val="9.0"/>
        <u/>
      </rPr>
      <t>Oscar Delp</t>
    </r>
    <r>
      <rPr>
        <rFont val="Poppins, Arial, Helvetica, sans-serif"/>
        <sz val="9.0"/>
      </rPr>
      <t xml:space="preserve"> (NO)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</si>
  <si>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ittsburgh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Steelers</t>
    </r>
    <r>
      <rPr>
        <rFont val="Roboto, sans-serif"/>
      </rPr>
      <t xml:space="preserve">
PITDEF6</t>
    </r>
  </si>
  <si>
    <t>B. Knight</t>
  </si>
  <si>
    <t>RB-120</t>
  </si>
  <si>
    <t>233 +55</t>
  </si>
  <si>
    <r>
      <rPr>
        <rFont val="Poppins, Arial, Helvetica, sans-serif"/>
        <color rgb="FF1155CC"/>
        <u/>
      </rPr>
      <t>LeQuint Allen Jr.</t>
    </r>
    <r>
      <rPr>
        <rFont val="Poppins, Arial, Helvetica, sans-serif"/>
      </rPr>
      <t>JAC (7)</t>
    </r>
  </si>
  <si>
    <t>TE36</t>
  </si>
  <si>
    <t>DEF9</t>
  </si>
  <si>
    <r>
      <rPr>
        <rFont val="Poppins, Arial, Helvetica, sans-serif"/>
        <color rgb="FF1155CC"/>
        <sz val="9.0"/>
        <u/>
      </rPr>
      <t>Kendre Miller</t>
    </r>
    <r>
      <rPr>
        <rFont val="Poppins, Arial, Helvetica, sans-serif"/>
        <sz val="9.0"/>
      </rPr>
      <t xml:space="preserve"> (NO)</t>
    </r>
  </si>
  <si>
    <t>DEF8</t>
  </si>
  <si>
    <t>D. Mills</t>
  </si>
  <si>
    <t>QB-48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</si>
  <si>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ylan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Sampson</t>
    </r>
    <r>
      <rPr>
        <rFont val="Roboto, sans-serif"/>
      </rPr>
      <t xml:space="preserve">
CLERB51</t>
    </r>
  </si>
  <si>
    <t>RB85</t>
  </si>
  <si>
    <t>T. Higbee</t>
  </si>
  <si>
    <t>TE-53</t>
  </si>
  <si>
    <r>
      <rPr>
        <rFont val="Poppins, Arial, Helvetica, sans-serif"/>
        <color rgb="FF1155CC"/>
        <u/>
      </rPr>
      <t>Kyle Williams</t>
    </r>
    <r>
      <rPr>
        <rFont val="Poppins, Arial, Helvetica, sans-serif"/>
      </rPr>
      <t>NE (11)</t>
    </r>
  </si>
  <si>
    <r>
      <rPr>
        <rFont val="Poppins, Arial, Helvetica, sans-serif"/>
        <color rgb="FF1155CC"/>
        <sz val="9.0"/>
        <u/>
      </rPr>
      <t>Devin Singletary</t>
    </r>
    <r>
      <rPr>
        <rFont val="Poppins, Arial, Helvetica, sans-serif"/>
        <sz val="9.0"/>
      </rPr>
      <t xml:space="preserve"> (NYG)</t>
    </r>
  </si>
  <si>
    <t>J. Walker</t>
  </si>
  <si>
    <t>WR-163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</si>
  <si>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innesota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Vikings</t>
    </r>
    <r>
      <rPr>
        <rFont val="Roboto, sans-serif"/>
      </rPr>
      <t xml:space="preserve">
MINDEF7</t>
    </r>
  </si>
  <si>
    <t>J. Bobo</t>
  </si>
  <si>
    <r>
      <rPr>
        <rFont val="Poppins, Arial, Helvetica, sans-serif"/>
        <color rgb="FF1155CC"/>
        <u/>
      </rPr>
      <t>Rashod Bateman</t>
    </r>
    <r>
      <rPr>
        <rFont val="Poppins, Arial, Helvetica, sans-serif"/>
      </rPr>
      <t>BAL (13)</t>
    </r>
  </si>
  <si>
    <r>
      <rPr>
        <rFont val="Poppins, Arial, Helvetica, sans-serif"/>
        <color rgb="FF1155CC"/>
        <sz val="9.0"/>
        <u/>
      </rPr>
      <t>Michael Penix Jr.</t>
    </r>
    <r>
      <rPr>
        <rFont val="Poppins, Arial, Helvetica, sans-serif"/>
        <sz val="9.0"/>
      </rPr>
      <t xml:space="preserve"> (ATL)</t>
    </r>
  </si>
  <si>
    <t>WR-164</t>
  </si>
  <si>
    <t>J. Cowing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</si>
  <si>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Smack</t>
    </r>
    <r>
      <rPr>
        <rFont val="Roboto, sans-serif"/>
      </rPr>
      <t xml:space="preserve">
GBK8</t>
    </r>
  </si>
  <si>
    <t>WR-165</t>
  </si>
  <si>
    <t>239 +52</t>
  </si>
  <si>
    <r>
      <rPr>
        <rFont val="Poppins, Arial, Helvetica, sans-serif"/>
        <color rgb="FF1155CC"/>
        <sz val="9.0"/>
        <u/>
      </rPr>
      <t>Hollywood Brown</t>
    </r>
    <r>
      <rPr>
        <rFont val="Poppins, Arial, Helvetica, sans-serif"/>
        <sz val="9.0"/>
      </rPr>
      <t xml:space="preserve"> (PHI)</t>
    </r>
  </si>
  <si>
    <r>
      <rPr>
        <rFont val="Poppins, Arial, Helvetica, sans-serif"/>
        <color rgb="FF1155CC"/>
        <u/>
      </rPr>
      <t>Evan Engram</t>
    </r>
    <r>
      <rPr>
        <rFont val="Poppins, Arial, Helvetica, sans-serif"/>
      </rPr>
      <t>DEN (10)</t>
    </r>
  </si>
  <si>
    <t>M. Carter</t>
  </si>
  <si>
    <t>RB-121</t>
  </si>
  <si>
    <t>K22</t>
  </si>
  <si>
    <t>J. Stidham</t>
  </si>
  <si>
    <t>QB-49</t>
  </si>
  <si>
    <t>WR101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</si>
  <si>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England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Patriots</t>
    </r>
    <r>
      <rPr>
        <rFont val="Roboto, sans-serif"/>
      </rPr>
      <t xml:space="preserve">
NEDEF8</t>
    </r>
  </si>
  <si>
    <r>
      <rPr>
        <rFont val="Poppins, Arial, Helvetica, sans-serif"/>
        <color rgb="FF1155CC"/>
        <sz val="9.0"/>
        <u/>
      </rPr>
      <t>Kyle Williams</t>
    </r>
    <r>
      <rPr>
        <rFont val="Poppins, Arial, Helvetica, sans-serif"/>
        <sz val="9.0"/>
      </rPr>
      <t xml:space="preserve"> (NE)</t>
    </r>
  </si>
  <si>
    <r>
      <rPr>
        <rFont val="Poppins, Arial, Helvetica, sans-serif"/>
        <color rgb="FF1155CC"/>
        <u/>
      </rPr>
      <t>Elijah Sarratt</t>
    </r>
    <r>
      <rPr>
        <rFont val="Poppins, Arial, Helvetica, sans-serif"/>
      </rPr>
      <t>BAL (13)</t>
    </r>
  </si>
  <si>
    <t>J. Wilson</t>
  </si>
  <si>
    <t>WR-166</t>
  </si>
  <si>
    <t>W. Kacmarek</t>
  </si>
  <si>
    <t>DEF7</t>
  </si>
  <si>
    <t>WR102</t>
  </si>
  <si>
    <t>TE-54</t>
  </si>
  <si>
    <r>
      <rPr>
        <rFont val="Poppins, Arial, Helvetica, sans-serif"/>
        <color rgb="FF1155CC"/>
        <sz val="9.0"/>
        <u/>
      </rPr>
      <t>Adam Randall</t>
    </r>
    <r>
      <rPr>
        <rFont val="Poppins, Arial, Helvetica, sans-serif"/>
        <sz val="9.0"/>
      </rPr>
      <t xml:space="preserve"> (BAL)</t>
    </r>
  </si>
  <si>
    <t>262 +31</t>
  </si>
  <si>
    <r>
      <rPr>
        <rFont val="Poppins, Arial, Helvetica, sans-serif"/>
        <color rgb="FF1155CC"/>
        <u/>
      </rPr>
      <t>Chris Bell</t>
    </r>
    <r>
      <rPr>
        <rFont val="Poppins, Arial, Helvetica, sans-serif"/>
      </rPr>
      <t>MIA (6)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</si>
  <si>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higoziem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Okonkwo</t>
    </r>
    <r>
      <rPr>
        <rFont val="Roboto, sans-serif"/>
      </rPr>
      <t xml:space="preserve">
WASTE20</t>
    </r>
  </si>
  <si>
    <t>J. Saylors</t>
  </si>
  <si>
    <t>RB-122</t>
  </si>
  <si>
    <t>RB86</t>
  </si>
  <si>
    <t>New York Jets DST</t>
  </si>
  <si>
    <t>DST-31</t>
  </si>
  <si>
    <t>271 +23</t>
  </si>
  <si>
    <r>
      <rPr>
        <rFont val="Poppins, Arial, Helvetica, sans-serif"/>
        <color rgb="FF1155CC"/>
        <sz val="9.0"/>
        <u/>
      </rPr>
      <t>Deshaun Watson</t>
    </r>
    <r>
      <rPr>
        <rFont val="Poppins, Arial, Helvetica, sans-serif"/>
        <sz val="9.0"/>
      </rPr>
      <t xml:space="preserve"> (CLE)</t>
    </r>
  </si>
  <si>
    <r>
      <rPr>
        <rFont val="Poppins, Arial, Helvetica, sans-serif"/>
        <color rgb="FF1155CC"/>
        <u/>
      </rPr>
      <t>Devaughn Vele</t>
    </r>
    <r>
      <rPr>
        <rFont val="Poppins, Arial, Helvetica, sans-serif"/>
      </rPr>
      <t>NO (8)</t>
    </r>
  </si>
  <si>
    <t>T. Patrick</t>
  </si>
  <si>
    <t>WR-167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</si>
  <si>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Bates</t>
    </r>
    <r>
      <rPr>
        <rFont val="Roboto, sans-serif"/>
      </rPr>
      <t xml:space="preserve">
DETK9</t>
    </r>
  </si>
  <si>
    <t>C. Ryland</t>
  </si>
  <si>
    <t>K-31</t>
  </si>
  <si>
    <r>
      <rPr>
        <rFont val="Poppins, Arial, Helvetica, sans-serif"/>
        <color rgb="FF1155CC"/>
        <sz val="9.0"/>
        <u/>
      </rPr>
      <t>Mike Gesicki</t>
    </r>
    <r>
      <rPr>
        <rFont val="Poppins, Arial, Helvetica, sans-serif"/>
        <sz val="9.0"/>
      </rPr>
      <t xml:space="preserve"> (CIN)</t>
    </r>
  </si>
  <si>
    <r>
      <rPr>
        <rFont val="Poppins, Arial, Helvetica, sans-serif"/>
        <color rgb="FF1155CC"/>
        <u/>
      </rPr>
      <t>Kareem Hunt</t>
    </r>
  </si>
  <si>
    <t>N. Carter</t>
  </si>
  <si>
    <t>RB-123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</si>
  <si>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Darnold</t>
    </r>
    <r>
      <rPr>
        <rFont val="Roboto, sans-serif"/>
      </rPr>
      <t xml:space="preserve">
SEAQB25</t>
    </r>
  </si>
  <si>
    <t>TE37</t>
  </si>
  <si>
    <t>M. Price</t>
  </si>
  <si>
    <t>WR-168</t>
  </si>
  <si>
    <r>
      <rPr>
        <rFont val="Poppins, Arial, Helvetica, sans-serif"/>
        <color rgb="FF1155CC"/>
        <sz val="9.0"/>
        <u/>
      </rPr>
      <t>Keenan Allen</t>
    </r>
    <r>
      <rPr>
        <rFont val="Poppins, Arial, Helvetica, sans-serif"/>
        <sz val="9.0"/>
      </rPr>
      <t xml:space="preserve"> (LAC)</t>
    </r>
  </si>
  <si>
    <r>
      <rPr>
        <rFont val="Poppins, Arial, Helvetica, sans-serif"/>
        <color rgb="FF1155CC"/>
        <u/>
      </rPr>
      <t>Mike Gesicki</t>
    </r>
    <r>
      <rPr>
        <rFont val="Poppins, Arial, Helvetica, sans-serif"/>
      </rPr>
      <t>CIN (6)</t>
    </r>
  </si>
  <si>
    <t>X. Weaver</t>
  </si>
  <si>
    <t>WR-169</t>
  </si>
  <si>
    <t>WR103</t>
  </si>
  <si>
    <t>K. Milton</t>
  </si>
  <si>
    <r>
      <rPr>
        <rFont val="Poppins, Arial, Helvetica, sans-serif"/>
        <color rgb="FF1155CC"/>
        <sz val="9.0"/>
        <u/>
      </rPr>
      <t>Tyreek Hill</t>
    </r>
    <r>
      <rPr>
        <rFont val="Poppins, Arial, Helvetica, sans-serif"/>
        <sz val="9.0"/>
      </rPr>
      <t xml:space="preserve"> (FA)</t>
    </r>
  </si>
  <si>
    <t>RB-124</t>
  </si>
  <si>
    <r>
      <rPr>
        <rFont val="Poppins, Arial, Helvetica, sans-serif"/>
        <color rgb="FF1155CC"/>
        <u/>
      </rPr>
      <t>Cleveland Browns DST</t>
    </r>
    <r>
      <rPr>
        <rFont val="Poppins, Arial, Helvetica, sans-serif"/>
      </rPr>
      <t>(11)</t>
    </r>
  </si>
  <si>
    <t>N. Mullens</t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</si>
  <si>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ronde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Gadsden II</t>
    </r>
    <r>
      <rPr>
        <rFont val="Roboto, sans-serif"/>
      </rPr>
      <t xml:space="preserve">
LACTE21</t>
    </r>
  </si>
  <si>
    <t>QB-50</t>
  </si>
  <si>
    <t>WR104</t>
  </si>
  <si>
    <r>
      <rPr>
        <rFont val="Poppins, Arial, Helvetica, sans-serif"/>
        <color rgb="FF1155CC"/>
        <sz val="9.0"/>
        <u/>
      </rPr>
      <t>Kirk Cousins</t>
    </r>
    <r>
      <rPr>
        <rFont val="Poppins, Arial, Helvetica, sans-serif"/>
        <sz val="9.0"/>
      </rPr>
      <t xml:space="preserve"> (LV)</t>
    </r>
  </si>
  <si>
    <t>O. Delp</t>
  </si>
  <si>
    <t>DST20</t>
  </si>
  <si>
    <t>TE-55</t>
  </si>
  <si>
    <t>247 +51</t>
  </si>
  <si>
    <r>
      <rPr>
        <rFont val="Poppins, Arial, Helvetica, sans-serif"/>
        <color rgb="FF1155CC"/>
        <u/>
      </rPr>
      <t>Keon Coleman</t>
    </r>
    <r>
      <rPr>
        <rFont val="Poppins, Arial, Helvetica, sans-serif"/>
      </rPr>
      <t>BUF (7)</t>
    </r>
  </si>
  <si>
    <t>D. Drummond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</si>
  <si>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arrison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Mevis</t>
    </r>
    <r>
      <rPr>
        <rFont val="Roboto, sans-serif"/>
      </rPr>
      <t xml:space="preserve">
LARK10</t>
    </r>
  </si>
  <si>
    <t>WR-170</t>
  </si>
  <si>
    <r>
      <rPr>
        <rFont val="Poppins, Arial, Helvetica, sans-serif"/>
        <color rgb="FF1155CC"/>
        <sz val="9.0"/>
        <u/>
      </rPr>
      <t>Ja'Kobi Lane</t>
    </r>
    <r>
      <rPr>
        <rFont val="Poppins, Arial, Helvetica, sans-serif"/>
        <sz val="9.0"/>
      </rPr>
      <t xml:space="preserve"> (BAL)</t>
    </r>
  </si>
  <si>
    <t>A. Gould</t>
  </si>
  <si>
    <t>258 +41</t>
  </si>
  <si>
    <t>WR-171</t>
  </si>
  <si>
    <r>
      <rPr>
        <rFont val="Poppins, Arial, Helvetica, sans-serif"/>
        <color rgb="FF1155CC"/>
        <u/>
      </rPr>
      <t>Caleb Douglas</t>
    </r>
    <r>
      <rPr>
        <rFont val="Poppins, Arial, Helvetica, sans-serif"/>
      </rPr>
      <t>MIA (6)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</si>
  <si>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Kamara</t>
    </r>
    <r>
      <rPr>
        <rFont val="Roboto, sans-serif"/>
      </rPr>
      <t xml:space="preserve">
NORB52</t>
    </r>
  </si>
  <si>
    <t>WR105</t>
  </si>
  <si>
    <t>T. Jennings</t>
  </si>
  <si>
    <t>RB-125</t>
  </si>
  <si>
    <r>
      <rPr>
        <rFont val="Poppins, Arial, Helvetica, sans-serif"/>
        <color rgb="FF1155CC"/>
        <sz val="9.0"/>
        <u/>
      </rPr>
      <t>Shedeur Sanders</t>
    </r>
    <r>
      <rPr>
        <rFont val="Poppins, Arial, Helvetica, sans-serif"/>
        <sz val="9.0"/>
      </rPr>
      <t xml:space="preserve"> (CLE)</t>
    </r>
  </si>
  <si>
    <t>L. Wester</t>
  </si>
  <si>
    <t>WR-172</t>
  </si>
  <si>
    <r>
      <rPr>
        <rFont val="Poppins, Arial, Helvetica, sans-serif"/>
        <color rgb="FF1155CC"/>
        <u/>
      </rPr>
      <t>Jack Bech</t>
    </r>
    <r>
      <rPr>
        <rFont val="Poppins, Arial, Helvetica, sans-serif"/>
      </rPr>
      <t>LV (13)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</si>
  <si>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e'Zhaun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Stribling</t>
    </r>
    <r>
      <rPr>
        <rFont val="Roboto, sans-serif"/>
      </rPr>
      <t xml:space="preserve">
SFWR63</t>
    </r>
  </si>
  <si>
    <t>W. Howard</t>
  </si>
  <si>
    <r>
      <rPr>
        <rFont val="Poppins, Arial, Helvetica, sans-serif"/>
        <color rgb="FF1155CC"/>
        <sz val="9.0"/>
        <u/>
      </rPr>
      <t>Mack Hollins</t>
    </r>
    <r>
      <rPr>
        <rFont val="Poppins, Arial, Helvetica, sans-serif"/>
        <sz val="9.0"/>
      </rPr>
      <t xml:space="preserve"> (NE)</t>
    </r>
  </si>
  <si>
    <t>QB-51</t>
  </si>
  <si>
    <t>E. Henderson Jr.</t>
  </si>
  <si>
    <t>WR-173</t>
  </si>
  <si>
    <r>
      <rPr>
        <rFont val="Poppins, Arial, Helvetica, sans-serif"/>
        <color rgb="FF1155CC"/>
        <u/>
      </rPr>
      <t>Jake Elliott</t>
    </r>
    <r>
      <rPr>
        <rFont val="Poppins, Arial, Helvetica, sans-serif"/>
      </rPr>
      <t>PHI (10)</t>
    </r>
  </si>
  <si>
    <t>WR106</t>
  </si>
  <si>
    <r>
      <rPr>
        <rFont val="Poppins, Arial, Helvetica, sans-serif"/>
        <color rgb="FF1155CC"/>
        <sz val="9.0"/>
        <u/>
      </rPr>
      <t>LeQuint Allen Jr.</t>
    </r>
    <r>
      <rPr>
        <rFont val="Poppins, Arial, Helvetica, sans-serif"/>
        <sz val="9.0"/>
      </rPr>
      <t xml:space="preserve"> (JAC)</t>
    </r>
  </si>
  <si>
    <t>A. Hooper</t>
  </si>
  <si>
    <t>TE-56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</si>
  <si>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hiladelphia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Eagles</t>
    </r>
    <r>
      <rPr>
        <rFont val="Roboto, sans-serif"/>
      </rPr>
      <t xml:space="preserve">
PHIDEF9</t>
    </r>
  </si>
  <si>
    <t>K18</t>
  </si>
  <si>
    <t>Arizona Cardinals DST</t>
  </si>
  <si>
    <t>273 +29</t>
  </si>
  <si>
    <t>DST-32</t>
  </si>
  <si>
    <t>RB87</t>
  </si>
  <si>
    <r>
      <rPr>
        <rFont val="Poppins, Arial, Helvetica, sans-serif"/>
        <color rgb="FF1155CC"/>
        <u/>
      </rPr>
      <t>Cyrus Allen</t>
    </r>
    <r>
      <rPr>
        <rFont val="Poppins, Arial, Helvetica, sans-serif"/>
      </rPr>
      <t>KC (5)</t>
    </r>
  </si>
  <si>
    <r>
      <rPr>
        <rFont val="Poppins, Arial, Helvetica, sans-serif"/>
        <color rgb="FF1155CC"/>
        <sz val="9.0"/>
        <u/>
      </rPr>
      <t>Seth McGowan</t>
    </r>
    <r>
      <rPr>
        <rFont val="Poppins, Arial, Helvetica, sans-serif"/>
        <sz val="9.0"/>
      </rPr>
      <t xml:space="preserve"> (IND)</t>
    </r>
  </si>
  <si>
    <t>C. York</t>
  </si>
  <si>
    <t>K-32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</si>
  <si>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Ridley</t>
    </r>
    <r>
      <rPr>
        <rFont val="Roboto, sans-serif"/>
      </rPr>
      <t xml:space="preserve">
TENWR64</t>
    </r>
  </si>
  <si>
    <t>H. Luepke</t>
  </si>
  <si>
    <t>188 +115</t>
  </si>
  <si>
    <t>RB-126</t>
  </si>
  <si>
    <t>RB88</t>
  </si>
  <si>
    <r>
      <rPr>
        <rFont val="Poppins, Arial, Helvetica, sans-serif"/>
        <color rgb="FF1155CC"/>
        <u/>
      </rPr>
      <t>Max Klare</t>
    </r>
    <r>
      <rPr>
        <rFont val="Poppins, Arial, Helvetica, sans-serif"/>
      </rPr>
      <t>LAR (11)</t>
    </r>
  </si>
  <si>
    <t>WR-174</t>
  </si>
  <si>
    <r>
      <rPr>
        <rFont val="Poppins, Arial, Helvetica, sans-serif"/>
        <color rgb="FF1155CC"/>
        <sz val="9.0"/>
        <u/>
      </rPr>
      <t>New Orleans Saints</t>
    </r>
    <r>
      <rPr>
        <rFont val="Poppins, Arial, Helvetica, sans-serif"/>
        <sz val="9.0"/>
      </rPr>
      <t xml:space="preserve"> (NO)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</si>
  <si>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auan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Jennings</t>
    </r>
    <r>
      <rPr>
        <rFont val="Roboto, sans-serif"/>
      </rPr>
      <t xml:space="preserve">
MINWR65</t>
    </r>
  </si>
  <si>
    <t>TE38</t>
  </si>
  <si>
    <t>L. McCaffrey</t>
  </si>
  <si>
    <t>WR-175</t>
  </si>
  <si>
    <r>
      <rPr>
        <rFont val="Poppins, Arial, Helvetica, sans-serif"/>
        <color rgb="FF1155CC"/>
        <u/>
      </rPr>
      <t>Michael Trigg</t>
    </r>
    <r>
      <rPr>
        <rFont val="Poppins, Arial, Helvetica, sans-serif"/>
      </rPr>
      <t>DAL (14)</t>
    </r>
  </si>
  <si>
    <t>J. Horn Jr.</t>
  </si>
  <si>
    <t>WR-176</t>
  </si>
  <si>
    <r>
      <rPr>
        <rFont val="Poppins, Arial, Helvetica, sans-serif"/>
        <color rgb="FF1155CC"/>
        <sz val="9.0"/>
        <u/>
      </rPr>
      <t>Jerome Ford</t>
    </r>
    <r>
      <rPr>
        <rFont val="Poppins, Arial, Helvetica, sans-serif"/>
        <sz val="9.0"/>
      </rPr>
      <t xml:space="preserve"> (WAS)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</si>
  <si>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os Angeles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Rams</t>
    </r>
    <r>
      <rPr>
        <rFont val="Roboto, sans-serif"/>
      </rPr>
      <t xml:space="preserve">
LARDEF10</t>
    </r>
  </si>
  <si>
    <t>TE39</t>
  </si>
  <si>
    <t>J. Browning</t>
  </si>
  <si>
    <r>
      <rPr>
        <rFont val="Poppins, Arial, Helvetica, sans-serif"/>
        <color rgb="FF1155CC"/>
        <u/>
      </rPr>
      <t>Indianapolis Colts DST</t>
    </r>
    <r>
      <rPr>
        <rFont val="Poppins, Arial, Helvetica, sans-serif"/>
      </rPr>
      <t>(13)</t>
    </r>
  </si>
  <si>
    <t>QB-52</t>
  </si>
  <si>
    <t>RB89</t>
  </si>
  <si>
    <t>K. Juszczyk</t>
  </si>
  <si>
    <t>RB-127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</si>
  <si>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Blue</t>
    </r>
    <r>
      <rPr>
        <rFont val="Roboto, sans-serif"/>
      </rPr>
      <t xml:space="preserve">
DALRB53</t>
    </r>
  </si>
  <si>
    <t>DST21</t>
  </si>
  <si>
    <r>
      <rPr>
        <rFont val="Poppins, Arial, Helvetica, sans-serif"/>
        <color rgb="FF1155CC"/>
        <sz val="9.0"/>
        <u/>
      </rPr>
      <t>Skyler Bell</t>
    </r>
    <r>
      <rPr>
        <rFont val="Poppins, Arial, Helvetica, sans-serif"/>
        <sz val="9.0"/>
      </rPr>
      <t xml:space="preserve"> (BUF)</t>
    </r>
  </si>
  <si>
    <r>
      <rPr>
        <rFont val="Poppins, Arial, Helvetica, sans-serif"/>
        <color rgb="FF1155CC"/>
        <u/>
      </rPr>
      <t>Alexander Mattison</t>
    </r>
  </si>
  <si>
    <t>E. Higgins</t>
  </si>
  <si>
    <t>TE-57</t>
  </si>
  <si>
    <t>WR107</t>
  </si>
  <si>
    <t>T. Shavers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</si>
  <si>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Lutz</t>
    </r>
    <r>
      <rPr>
        <rFont val="Roboto, sans-serif"/>
      </rPr>
      <t xml:space="preserve">
DENK11</t>
    </r>
  </si>
  <si>
    <t>WR-177</t>
  </si>
  <si>
    <r>
      <rPr>
        <rFont val="Poppins, Arial, Helvetica, sans-serif"/>
        <color rgb="FF1155CC"/>
        <sz val="9.0"/>
        <u/>
      </rPr>
      <t>Najee Harris</t>
    </r>
    <r>
      <rPr>
        <rFont val="Poppins, Arial, Helvetica, sans-serif"/>
        <sz val="9.0"/>
      </rPr>
      <t xml:space="preserve"> (LAC)</t>
    </r>
  </si>
  <si>
    <r>
      <rPr>
        <rFont val="Poppins, Arial, Helvetica, sans-serif"/>
        <color rgb="FF1155CC"/>
        <u/>
      </rPr>
      <t>Atlanta Falcons DST</t>
    </r>
    <r>
      <rPr>
        <rFont val="Poppins, Arial, Helvetica, sans-serif"/>
      </rPr>
      <t>(11)</t>
    </r>
  </si>
  <si>
    <t>D. Dallas</t>
  </si>
  <si>
    <t>RB-128</t>
  </si>
  <si>
    <t>D. Burks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</si>
  <si>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DENRB54</t>
    </r>
  </si>
  <si>
    <t>WR-178</t>
  </si>
  <si>
    <t>RB90</t>
  </si>
  <si>
    <t>DST22</t>
  </si>
  <si>
    <t>272 +36</t>
  </si>
  <si>
    <r>
      <rPr>
        <rFont val="Poppins, Arial, Helvetica, sans-serif"/>
        <color rgb="FF1155CC"/>
        <sz val="9.0"/>
        <u/>
      </rPr>
      <t>Brashard Smith</t>
    </r>
    <r>
      <rPr>
        <rFont val="Poppins, Arial, Helvetica, sans-serif"/>
        <sz val="9.0"/>
      </rPr>
      <t xml:space="preserve"> (KC)</t>
    </r>
  </si>
  <si>
    <r>
      <rPr>
        <rFont val="Poppins, Arial, Helvetica, sans-serif"/>
        <color rgb="FF1155CC"/>
        <u/>
      </rPr>
      <t>Samaje Perine</t>
    </r>
    <r>
      <rPr>
        <rFont val="Poppins, Arial, Helvetica, sans-serif"/>
      </rPr>
      <t>CIN (6)</t>
    </r>
  </si>
  <si>
    <t>D. Davis</t>
  </si>
  <si>
    <t>WR-179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</si>
  <si>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etroit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Lions</t>
    </r>
    <r>
      <rPr>
        <rFont val="Roboto, sans-serif"/>
      </rPr>
      <t xml:space="preserve">
DETDEF11</t>
    </r>
  </si>
  <si>
    <t>RB91</t>
  </si>
  <si>
    <t>E. Raridon</t>
  </si>
  <si>
    <t>TE-58</t>
  </si>
  <si>
    <r>
      <rPr>
        <rFont val="Poppins, Arial, Helvetica, sans-serif"/>
        <color rgb="FF1155CC"/>
        <sz val="9.0"/>
        <u/>
      </rPr>
      <t>Isaiah Bond</t>
    </r>
    <r>
      <rPr>
        <rFont val="Poppins, Arial, Helvetica, sans-serif"/>
        <sz val="9.0"/>
      </rPr>
      <t xml:space="preserve"> (CLE)</t>
    </r>
  </si>
  <si>
    <t>250 +59</t>
  </si>
  <si>
    <r>
      <rPr>
        <rFont val="Poppins, Arial, Helvetica, sans-serif"/>
        <color rgb="FF1155CC"/>
        <u/>
      </rPr>
      <t>Tampa Bay Buccaneers DST</t>
    </r>
    <r>
      <rPr>
        <rFont val="Poppins, Arial, Helvetica, sans-serif"/>
      </rPr>
      <t>(10)</t>
    </r>
  </si>
  <si>
    <t>A. Smith</t>
  </si>
  <si>
    <t>WR-180</t>
  </si>
  <si>
    <t>DEF12</t>
  </si>
  <si>
    <t>WR108</t>
  </si>
  <si>
    <t>T. DeVito</t>
  </si>
  <si>
    <r>
      <rPr>
        <rFont val="Poppins, Arial, Helvetica, sans-serif"/>
        <color rgb="FF1155CC"/>
        <sz val="9.0"/>
        <u/>
      </rPr>
      <t>Jake Tonges</t>
    </r>
    <r>
      <rPr>
        <rFont val="Poppins, Arial, Helvetica, sans-serif"/>
        <sz val="9.0"/>
      </rPr>
      <t xml:space="preserve"> (SF)</t>
    </r>
  </si>
  <si>
    <t>DST23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</si>
  <si>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arrison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Butker</t>
    </r>
    <r>
      <rPr>
        <rFont val="Roboto, sans-serif"/>
      </rPr>
      <t xml:space="preserve">
KCK12</t>
    </r>
  </si>
  <si>
    <t>QB-53</t>
  </si>
  <si>
    <r>
      <rPr>
        <rFont val="Poppins, Arial, Helvetica, sans-serif"/>
        <color rgb="FF1155CC"/>
        <u/>
      </rPr>
      <t>Tyler Bass</t>
    </r>
    <r>
      <rPr>
        <rFont val="Poppins, Arial, Helvetica, sans-serif"/>
      </rPr>
      <t>BUF (7)</t>
    </r>
  </si>
  <si>
    <t>D. Sills V</t>
  </si>
  <si>
    <t>WR-181</t>
  </si>
  <si>
    <r>
      <rPr>
        <rFont val="Poppins, Arial, Helvetica, sans-serif"/>
        <color rgb="FF1155CC"/>
        <sz val="9.0"/>
        <u/>
      </rPr>
      <t>Trevor Etienne</t>
    </r>
    <r>
      <rPr>
        <rFont val="Poppins, Arial, Helvetica, sans-serif"/>
        <sz val="9.0"/>
      </rPr>
      <t xml:space="preserve"> (CAR)</t>
    </r>
  </si>
  <si>
    <t>K19</t>
  </si>
  <si>
    <t>D. Lock</t>
  </si>
  <si>
    <t>244 +67</t>
  </si>
  <si>
    <t>QB-54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</si>
  <si>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Nailor</t>
    </r>
    <r>
      <rPr>
        <rFont val="Roboto, sans-serif"/>
      </rPr>
      <t xml:space="preserve">
LVRWR66</t>
    </r>
  </si>
  <si>
    <r>
      <rPr>
        <rFont val="Poppins, Arial, Helvetica, sans-serif"/>
        <color rgb="FF1155CC"/>
        <u/>
      </rPr>
      <t>Jahan Dotson</t>
    </r>
    <r>
      <rPr>
        <rFont val="Poppins, Arial, Helvetica, sans-serif"/>
      </rPr>
      <t>ATL (11)</t>
    </r>
  </si>
  <si>
    <t>T. Koziol</t>
  </si>
  <si>
    <t>TE-59</t>
  </si>
  <si>
    <t>RB92</t>
  </si>
  <si>
    <r>
      <rPr>
        <rFont val="Poppins, Arial, Helvetica, sans-serif"/>
        <color rgb="FF1155CC"/>
        <sz val="9.0"/>
        <u/>
      </rPr>
      <t>Charlie Smyth</t>
    </r>
    <r>
      <rPr>
        <rFont val="Poppins, Arial, Helvetica, sans-serif"/>
        <sz val="9.0"/>
      </rPr>
      <t xml:space="preserve"> (NO)</t>
    </r>
  </si>
  <si>
    <t>B. Skowronek</t>
  </si>
  <si>
    <t>WR-182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</si>
  <si>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os Angeles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Chargers</t>
    </r>
    <r>
      <rPr>
        <rFont val="Roboto, sans-serif"/>
      </rPr>
      <t xml:space="preserve">
LACDEF12</t>
    </r>
  </si>
  <si>
    <r>
      <rPr>
        <rFont val="Poppins, Arial, Helvetica, sans-serif"/>
        <color rgb="FF1155CC"/>
        <u/>
      </rPr>
      <t>Carolina Panthers DST</t>
    </r>
    <r>
      <rPr>
        <rFont val="Poppins, Arial, Helvetica, sans-serif"/>
      </rPr>
      <t>(5)</t>
    </r>
  </si>
  <si>
    <t>T. Bridgewater</t>
  </si>
  <si>
    <t>QB-55</t>
  </si>
  <si>
    <t>Tier 13</t>
  </si>
  <si>
    <t>DST24</t>
  </si>
  <si>
    <r>
      <rPr>
        <rFont val="Poppins, Arial, Helvetica, sans-serif"/>
        <color rgb="FF1155CC"/>
        <u/>
      </rPr>
      <t>Customize Tiers</t>
    </r>
  </si>
  <si>
    <t>X. Restrepo</t>
  </si>
  <si>
    <r>
      <rPr>
        <rFont val="Poppins, Arial, Helvetica, sans-serif"/>
        <color rgb="FF1155CC"/>
        <sz val="9.0"/>
        <u/>
      </rPr>
      <t>Indianapolis Colts</t>
    </r>
    <r>
      <rPr>
        <rFont val="Poppins, Arial, Helvetica, sans-serif"/>
        <sz val="9.0"/>
      </rPr>
      <t xml:space="preserve"> (IND)</t>
    </r>
  </si>
  <si>
    <t>WR-183</t>
  </si>
  <si>
    <r>
      <rPr>
        <rFont val="Poppins, Arial, Helvetica, sans-serif"/>
        <color rgb="FF1155CC"/>
        <u/>
      </rPr>
      <t>Skyler Bell</t>
    </r>
    <r>
      <rPr>
        <rFont val="Poppins, Arial, Helvetica, sans-serif"/>
      </rPr>
      <t>BUF (7)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</si>
  <si>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York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Giants</t>
    </r>
    <r>
      <rPr>
        <rFont val="Roboto, sans-serif"/>
      </rPr>
      <t xml:space="preserve">
NYGDEF13</t>
    </r>
  </si>
  <si>
    <t>QB-56</t>
  </si>
  <si>
    <t>M. Klein</t>
  </si>
  <si>
    <r>
      <rPr>
        <rFont val="Poppins, Arial, Helvetica, sans-serif"/>
        <color rgb="FF1155CC"/>
        <sz val="9.0"/>
        <u/>
      </rPr>
      <t>Chicago Bears</t>
    </r>
    <r>
      <rPr>
        <rFont val="Poppins, Arial, Helvetica, sans-serif"/>
        <sz val="9.0"/>
      </rPr>
      <t xml:space="preserve"> (CHI)</t>
    </r>
  </si>
  <si>
    <t>TE-60</t>
  </si>
  <si>
    <t>DEF19</t>
  </si>
  <si>
    <r>
      <rPr>
        <rFont val="Poppins, Arial, Helvetica, sans-serif"/>
        <color rgb="FF1155CC"/>
        <u/>
      </rPr>
      <t>Cincinnati Bengals DST</t>
    </r>
    <r>
      <rPr>
        <rFont val="Poppins, Arial, Helvetica, sans-serif"/>
      </rPr>
      <t>(6)</t>
    </r>
  </si>
  <si>
    <t>D. Bell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</si>
  <si>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harlie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Smyth</t>
    </r>
    <r>
      <rPr>
        <rFont val="Roboto, sans-serif"/>
      </rPr>
      <t xml:space="preserve">
NOK13</t>
    </r>
  </si>
  <si>
    <t>WR-184</t>
  </si>
  <si>
    <t>DST25</t>
  </si>
  <si>
    <r>
      <rPr>
        <rFont val="Poppins, Arial, Helvetica, sans-serif"/>
        <color rgb="FF1155CC"/>
        <sz val="9.0"/>
        <u/>
      </rPr>
      <t>Isaac Guerendo</t>
    </r>
    <r>
      <rPr>
        <rFont val="Poppins, Arial, Helvetica, sans-serif"/>
        <sz val="9.0"/>
      </rPr>
      <t xml:space="preserve"> (SF)</t>
    </r>
  </si>
  <si>
    <t>S. Rattler</t>
  </si>
  <si>
    <r>
      <rPr>
        <rFont val="Poppins, Arial, Helvetica, sans-serif"/>
        <color rgb="FF1155CC"/>
        <u/>
      </rPr>
      <t>Jerome Ford</t>
    </r>
    <r>
      <rPr>
        <rFont val="Poppins, Arial, Helvetica, sans-serif"/>
      </rPr>
      <t>WAS (7)</t>
    </r>
  </si>
  <si>
    <t>QB-57</t>
  </si>
  <si>
    <t>M. Valdes-Scantling</t>
  </si>
  <si>
    <t>RB93</t>
  </si>
  <si>
    <t>K21</t>
  </si>
  <si>
    <t>WR-185</t>
  </si>
  <si>
    <r>
      <rPr>
        <rFont val="Poppins, Arial, Helvetica, sans-serif"/>
        <color rgb="FF1155CC"/>
        <sz val="9.0"/>
        <u/>
      </rPr>
      <t>Tahj Brooks</t>
    </r>
    <r>
      <rPr>
        <rFont val="Poppins, Arial, Helvetica, sans-serif"/>
        <sz val="9.0"/>
      </rPr>
      <t xml:space="preserve"> (CIN)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</si>
  <si>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ermie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Bernard</t>
    </r>
    <r>
      <rPr>
        <rFont val="Roboto, sans-serif"/>
      </rPr>
      <t xml:space="preserve">
PITWR67</t>
    </r>
  </si>
  <si>
    <r>
      <rPr>
        <rFont val="Poppins, Arial, Helvetica, sans-serif"/>
        <color rgb="FF1155CC"/>
        <u/>
      </rPr>
      <t>Matt Gay</t>
    </r>
    <r>
      <rPr>
        <rFont val="Poppins, Arial, Helvetica, sans-serif"/>
      </rPr>
      <t>LV (13)</t>
    </r>
  </si>
  <si>
    <t>J. Whyle</t>
  </si>
  <si>
    <t>TE-61</t>
  </si>
  <si>
    <t>RB94</t>
  </si>
  <si>
    <t>T. McKee</t>
  </si>
  <si>
    <r>
      <rPr>
        <rFont val="Poppins, Arial, Helvetica, sans-serif"/>
        <color rgb="FF1155CC"/>
        <sz val="9.0"/>
        <u/>
      </rPr>
      <t>Andrei Iosivas</t>
    </r>
    <r>
      <rPr>
        <rFont val="Poppins, Arial, Helvetica, sans-serif"/>
        <sz val="9.0"/>
      </rPr>
      <t xml:space="preserve"> (CIN)</t>
    </r>
  </si>
  <si>
    <t>QB-58</t>
  </si>
  <si>
    <t>K20</t>
  </si>
  <si>
    <r>
      <rPr>
        <rFont val="Poppins, Arial, Helvetica, sans-serif"/>
        <color rgb="FF1155CC"/>
        <u/>
      </rPr>
      <t>New Orleans Saints DST</t>
    </r>
    <r>
      <rPr>
        <rFont val="Poppins, Arial, Helvetica, sans-serif"/>
      </rPr>
      <t>(8)</t>
    </r>
  </si>
  <si>
    <t>J. Smith-Schuster</t>
  </si>
  <si>
    <t>WR-186</t>
  </si>
  <si>
    <t>WR109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</si>
  <si>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Boutte</t>
    </r>
    <r>
      <rPr>
        <rFont val="Roboto, sans-serif"/>
      </rPr>
      <t xml:space="preserve">
NEWR68</t>
    </r>
  </si>
  <si>
    <r>
      <rPr>
        <rFont val="Poppins, Arial, Helvetica, sans-serif"/>
        <color rgb="FF1155CC"/>
        <sz val="9.0"/>
        <u/>
      </rPr>
      <t>Darnell Washington</t>
    </r>
    <r>
      <rPr>
        <rFont val="Poppins, Arial, Helvetica, sans-serif"/>
        <sz val="9.0"/>
      </rPr>
      <t xml:space="preserve"> (PIT)</t>
    </r>
  </si>
  <si>
    <t>J. Milton III</t>
  </si>
  <si>
    <t>DST26</t>
  </si>
  <si>
    <t>QB-59</t>
  </si>
  <si>
    <r>
      <rPr>
        <rFont val="Poppins, Arial, Helvetica, sans-serif"/>
        <color rgb="FF1155CC"/>
        <u/>
      </rPr>
      <t>Tennessee Titans DST</t>
    </r>
    <r>
      <rPr>
        <rFont val="Poppins, Arial, Helvetica, sans-serif"/>
      </rPr>
      <t>(9)</t>
    </r>
  </si>
  <si>
    <t>E. Moore</t>
  </si>
  <si>
    <t>WR-187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</si>
  <si>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NYJRB55</t>
    </r>
  </si>
  <si>
    <r>
      <rPr>
        <rFont val="Poppins, Arial, Helvetica, sans-serif"/>
        <color rgb="FF1155CC"/>
        <sz val="9.0"/>
        <u/>
      </rPr>
      <t>Chris Brazzell II</t>
    </r>
    <r>
      <rPr>
        <rFont val="Poppins, Arial, Helvetica, sans-serif"/>
        <sz val="9.0"/>
      </rPr>
      <t xml:space="preserve"> (CAR)</t>
    </r>
  </si>
  <si>
    <t>DST27</t>
  </si>
  <si>
    <t>M. Hibner</t>
  </si>
  <si>
    <t>TE-62</t>
  </si>
  <si>
    <r>
      <rPr>
        <rFont val="Poppins, Arial, Helvetica, sans-serif"/>
        <color rgb="FF1155CC"/>
        <u/>
      </rPr>
      <t>Riley Patterson</t>
    </r>
    <r>
      <rPr>
        <rFont val="Poppins, Arial, Helvetica, sans-serif"/>
      </rPr>
      <t>MIA (6)</t>
    </r>
  </si>
  <si>
    <t>C. Klubnik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</si>
  <si>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errance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LARTE22</t>
    </r>
  </si>
  <si>
    <t>QB-60</t>
  </si>
  <si>
    <t>WR110</t>
  </si>
  <si>
    <t>E. Chism III</t>
  </si>
  <si>
    <r>
      <rPr>
        <rFont val="Poppins, Arial, Helvetica, sans-serif"/>
        <color rgb="FF1155CC"/>
        <sz val="9.0"/>
        <u/>
      </rPr>
      <t>Jarquez Hunter</t>
    </r>
    <r>
      <rPr>
        <rFont val="Poppins, Arial, Helvetica, sans-serif"/>
        <sz val="9.0"/>
      </rPr>
      <t xml:space="preserve"> (LAR)</t>
    </r>
  </si>
  <si>
    <r>
      <rPr>
        <rFont val="Poppins, Arial, Helvetica, sans-serif"/>
        <color rgb="FF1155CC"/>
        <u/>
      </rPr>
      <t>Charlie Smyth</t>
    </r>
    <r>
      <rPr>
        <rFont val="Poppins, Arial, Helvetica, sans-serif"/>
      </rPr>
      <t>NO (8)</t>
    </r>
  </si>
  <si>
    <t>WR-188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</si>
  <si>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aytron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WASRB56</t>
    </r>
  </si>
  <si>
    <t>L. Bond</t>
  </si>
  <si>
    <t>WR-189</t>
  </si>
  <si>
    <t>RB95</t>
  </si>
  <si>
    <r>
      <rPr>
        <rFont val="Poppins, Arial, Helvetica, sans-serif"/>
        <color rgb="FF1155CC"/>
        <sz val="9.0"/>
        <u/>
      </rPr>
      <t>Jaleel McLaughlin</t>
    </r>
    <r>
      <rPr>
        <rFont val="Poppins, Arial, Helvetica, sans-serif"/>
        <sz val="9.0"/>
      </rPr>
      <t xml:space="preserve"> (DEN)</t>
    </r>
  </si>
  <si>
    <t>K. Pickett</t>
  </si>
  <si>
    <r>
      <rPr>
        <rFont val="Poppins, Arial, Helvetica, sans-serif"/>
        <color rgb="FF1155CC"/>
        <u/>
      </rPr>
      <t>DJ Giddens</t>
    </r>
    <r>
      <rPr>
        <rFont val="Poppins, Arial, Helvetica, sans-serif"/>
      </rPr>
      <t>IND (13)</t>
    </r>
  </si>
  <si>
    <t>QB-61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</si>
  <si>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Schultz</t>
    </r>
    <r>
      <rPr>
        <rFont val="Roboto, sans-serif"/>
      </rPr>
      <t xml:space="preserve">
HOUTE23</t>
    </r>
  </si>
  <si>
    <t>N. Boerkircher</t>
  </si>
  <si>
    <t>TE-63</t>
  </si>
  <si>
    <t>RB96</t>
  </si>
  <si>
    <r>
      <rPr>
        <rFont val="Poppins, Arial, Helvetica, sans-serif"/>
        <color rgb="FF1155CC"/>
        <sz val="9.0"/>
        <u/>
      </rPr>
      <t>Caleb Douglas</t>
    </r>
    <r>
      <rPr>
        <rFont val="Poppins, Arial, Helvetica, sans-serif"/>
        <sz val="9.0"/>
      </rPr>
      <t xml:space="preserve"> (MIA)</t>
    </r>
  </si>
  <si>
    <r>
      <rPr>
        <rFont val="Poppins, Arial, Helvetica, sans-serif"/>
        <color rgb="FF1155CC"/>
        <u/>
      </rPr>
      <t>Ty Simpson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</si>
  <si>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acksonville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Jaguars</t>
    </r>
    <r>
      <rPr>
        <rFont val="Roboto, sans-serif"/>
      </rPr>
      <t xml:space="preserve">
JACDEF14</t>
    </r>
  </si>
  <si>
    <t>M. Corley</t>
  </si>
  <si>
    <t>WR-190</t>
  </si>
  <si>
    <t>R. Leonard</t>
  </si>
  <si>
    <t>WR111</t>
  </si>
  <si>
    <t>QB-62</t>
  </si>
  <si>
    <r>
      <rPr>
        <rFont val="Poppins, Arial, Helvetica, sans-serif"/>
        <color rgb="FF1155CC"/>
        <sz val="9.0"/>
        <u/>
      </rPr>
      <t>Audric Estime</t>
    </r>
    <r>
      <rPr>
        <rFont val="Poppins, Arial, Helvetica, sans-serif"/>
        <sz val="9.0"/>
      </rPr>
      <t xml:space="preserve"> (NO)</t>
    </r>
  </si>
  <si>
    <t>QB39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</si>
  <si>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ashod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Bateman</t>
    </r>
    <r>
      <rPr>
        <rFont val="Roboto, sans-serif"/>
      </rPr>
      <t xml:space="preserve">
BALWR69</t>
    </r>
  </si>
  <si>
    <r>
      <rPr>
        <rFont val="Poppins, Arial, Helvetica, sans-serif"/>
        <color rgb="FF1155CC"/>
        <u/>
      </rPr>
      <t>Nick Folk</t>
    </r>
    <r>
      <rPr>
        <rFont val="Poppins, Arial, Helvetica, sans-serif"/>
      </rPr>
      <t>ATL (11)</t>
    </r>
  </si>
  <si>
    <t>J. Watkins</t>
  </si>
  <si>
    <t>WR-191</t>
  </si>
  <si>
    <t>RB97</t>
  </si>
  <si>
    <t>S. Roush</t>
  </si>
  <si>
    <t>TE-64</t>
  </si>
  <si>
    <r>
      <rPr>
        <rFont val="Poppins, Arial, Helvetica, sans-serif"/>
        <color rgb="FF1155CC"/>
        <sz val="9.0"/>
        <u/>
      </rPr>
      <t>Joe Mixon</t>
    </r>
    <r>
      <rPr>
        <rFont val="Poppins, Arial, Helvetica, sans-serif"/>
        <sz val="9.0"/>
      </rPr>
      <t xml:space="preserve"> (FA)</t>
    </r>
  </si>
  <si>
    <t>K23</t>
  </si>
  <si>
    <r>
      <rPr>
        <rFont val="Poppins, Arial, Helvetica, sans-serif"/>
        <color rgb="FF1155CC"/>
        <u/>
      </rPr>
      <t>Arizona Cardinals DST</t>
    </r>
    <r>
      <rPr>
        <rFont val="Poppins, Arial, Helvetica, sans-serif"/>
      </rPr>
      <t>(14)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</si>
  <si>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 Jr.</t>
    </r>
    <r>
      <rPr>
        <rFont val="Roboto, sans-serif"/>
      </rPr>
      <t xml:space="preserve">
LVRRB57</t>
    </r>
  </si>
  <si>
    <t>G. Minshew</t>
  </si>
  <si>
    <t>QB-63</t>
  </si>
  <si>
    <t>RB98</t>
  </si>
  <si>
    <r>
      <rPr>
        <rFont val="Poppins, Arial, Helvetica, sans-serif"/>
        <color rgb="FF1155CC"/>
        <sz val="9.0"/>
        <u/>
      </rPr>
      <t>Cyrus Allen</t>
    </r>
    <r>
      <rPr>
        <rFont val="Poppins, Arial, Helvetica, sans-serif"/>
        <sz val="9.0"/>
      </rPr>
      <t xml:space="preserve"> (KC)</t>
    </r>
  </si>
  <si>
    <t>J. Watson</t>
  </si>
  <si>
    <t>WR-192</t>
  </si>
  <si>
    <t>DST28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</si>
  <si>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Hockenson</t>
    </r>
    <r>
      <rPr>
        <rFont val="Roboto, sans-serif"/>
      </rPr>
      <t xml:space="preserve">
MINTE24</t>
    </r>
  </si>
  <si>
    <r>
      <rPr>
        <rFont val="Poppins, Arial, Helvetica, sans-serif"/>
        <color rgb="FF1155CC"/>
        <u/>
      </rPr>
      <t>Chris Brazzell II</t>
    </r>
    <r>
      <rPr>
        <rFont val="Poppins, Arial, Helvetica, sans-serif"/>
      </rPr>
      <t>CAR (5)</t>
    </r>
  </si>
  <si>
    <t>WR112</t>
  </si>
  <si>
    <t>T. Taylor</t>
  </si>
  <si>
    <t>QB-64</t>
  </si>
  <si>
    <r>
      <rPr>
        <rFont val="Poppins, Arial, Helvetica, sans-serif"/>
        <color rgb="FF1155CC"/>
        <sz val="9.0"/>
        <u/>
      </rPr>
      <t>Luke McCaffrey</t>
    </r>
    <r>
      <rPr>
        <rFont val="Poppins, Arial, Helvetica, sans-serif"/>
        <sz val="9.0"/>
      </rPr>
      <t xml:space="preserve"> (WAS)</t>
    </r>
  </si>
  <si>
    <r>
      <rPr>
        <rFont val="Poppins, Arial, Helvetica, sans-serif"/>
        <color rgb="FF1155CC"/>
        <u/>
      </rPr>
      <t>Las Vegas Raiders DST</t>
    </r>
    <r>
      <rPr>
        <rFont val="Poppins, Arial, Helvetica, sans-serif"/>
      </rPr>
      <t>(13)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</si>
  <si>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Jeudy</t>
    </r>
    <r>
      <rPr>
        <rFont val="Roboto, sans-serif"/>
      </rPr>
      <t xml:space="preserve">
CLEWR70</t>
    </r>
  </si>
  <si>
    <t>WR113</t>
  </si>
  <si>
    <r>
      <rPr>
        <rFont val="Poppins, Arial, Helvetica, sans-serif"/>
        <color rgb="FF1155CC"/>
        <sz val="9.0"/>
        <u/>
      </rPr>
      <t>Cedric Tillman</t>
    </r>
    <r>
      <rPr>
        <rFont val="Poppins, Arial, Helvetica, sans-serif"/>
        <sz val="9.0"/>
      </rPr>
      <t xml:space="preserve"> (CLE)</t>
    </r>
  </si>
  <si>
    <t>DST29</t>
  </si>
  <si>
    <r>
      <rPr>
        <rFont val="Poppins, Arial, Helvetica, sans-serif"/>
        <color rgb="FF1155CC"/>
        <u/>
      </rPr>
      <t>New York Jets DST</t>
    </r>
    <r>
      <rPr>
        <rFont val="Poppins, Arial, Helvetica, sans-serif"/>
      </rPr>
      <t>(13)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</si>
  <si>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ean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TBRB58</t>
    </r>
  </si>
  <si>
    <t>WR114</t>
  </si>
  <si>
    <r>
      <rPr>
        <rFont val="Poppins, Arial, Helvetica, sans-serif"/>
        <color rgb="FF1155CC"/>
        <sz val="9.0"/>
        <u/>
      </rPr>
      <t>Tez Johnson</t>
    </r>
    <r>
      <rPr>
        <rFont val="Poppins, Arial, Helvetica, sans-serif"/>
        <sz val="9.0"/>
      </rPr>
      <t xml:space="preserve"> (TB)</t>
    </r>
  </si>
  <si>
    <t>DST30</t>
  </si>
  <si>
    <r>
      <rPr>
        <rFont val="Poppins, Arial, Helvetica, sans-serif"/>
        <color rgb="FF1155CC"/>
        <u/>
      </rPr>
      <t>Michael Mayer</t>
    </r>
    <r>
      <rPr>
        <rFont val="Poppins, Arial, Helvetica, sans-serif"/>
      </rPr>
      <t>LV (13)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</si>
  <si>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hicago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Bears</t>
    </r>
    <r>
      <rPr>
        <rFont val="Roboto, sans-serif"/>
      </rPr>
      <t xml:space="preserve">
CHIDEF15</t>
    </r>
  </si>
  <si>
    <t>WR115</t>
  </si>
  <si>
    <t>Avg Pos</t>
  </si>
  <si>
    <r>
      <rPr>
        <rFont val="Poppins, Arial, Helvetica, sans-serif"/>
        <color rgb="FF1155CC"/>
        <sz val="9.0"/>
        <u/>
      </rPr>
      <t>Will Shipley</t>
    </r>
    <r>
      <rPr>
        <rFont val="Poppins, Arial, Helvetica, sans-serif"/>
        <sz val="9.0"/>
      </rPr>
      <t xml:space="preserve"> (PHI)</t>
    </r>
  </si>
  <si>
    <t>Hi/Lo</t>
  </si>
  <si>
    <t>Pct</t>
  </si>
  <si>
    <t>TE40</t>
  </si>
  <si>
    <t>RB99</t>
  </si>
  <si>
    <r>
      <rPr>
        <rFont val="Poppins, Arial, Helvetica, sans-serif"/>
        <color rgb="FF1155CC"/>
        <sz val="9.0"/>
        <u/>
      </rPr>
      <t>Kareem Hunt</t>
    </r>
    <r>
      <rPr>
        <rFont val="Poppins, Arial, Helvetica, sans-serif"/>
        <sz val="9.0"/>
      </rPr>
      <t xml:space="preserve"> (FA)</t>
    </r>
  </si>
  <si>
    <r>
      <rPr>
        <rFont val="Poppins, Arial, Helvetica, sans-serif"/>
        <color rgb="FF1155CC"/>
        <u/>
      </rPr>
      <t>Chris Brooks</t>
    </r>
    <r>
      <rPr>
        <rFont val="Poppins, Arial, Helvetica, sans-serif"/>
      </rPr>
      <t>GB (11)</t>
    </r>
  </si>
  <si>
    <r>
      <rPr>
        <rFont val="&quot;TT Norms&quot;, ui-system, sans-serif"/>
        <color rgb="FF1155CC"/>
        <sz val="11.0"/>
        <u/>
      </rPr>
      <t>Jahmyr Gibbs</t>
    </r>
    <r>
      <rPr>
        <rFont val="&quot;TT Norms&quot;, ui-system, sans-serif"/>
        <sz val="11.0"/>
      </rPr>
      <t xml:space="preserve"> RB  DET</t>
    </r>
  </si>
  <si>
    <t>DEF17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</si>
  <si>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uffalo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Bills</t>
    </r>
    <r>
      <rPr>
        <rFont val="Roboto, sans-serif"/>
      </rPr>
      <t xml:space="preserve">
BUFDEF16</t>
    </r>
  </si>
  <si>
    <t>RB100</t>
  </si>
  <si>
    <r>
      <rPr>
        <rFont val="Poppins, Arial, Helvetica, sans-serif"/>
        <color rgb="FF1155CC"/>
        <sz val="9.0"/>
        <u/>
      </rPr>
      <t>Max Klare</t>
    </r>
    <r>
      <rPr>
        <rFont val="Poppins, Arial, Helvetica, sans-serif"/>
        <sz val="9.0"/>
      </rPr>
      <t xml:space="preserve"> (LAR)</t>
    </r>
  </si>
  <si>
    <r>
      <rPr>
        <rFont val="Poppins, Arial, Helvetica, sans-serif"/>
        <color rgb="FF1155CC"/>
        <u/>
      </rPr>
      <t>Miami Dolphins DST</t>
    </r>
    <r>
      <rPr>
        <rFont val="Poppins, Arial, Helvetica, sans-serif"/>
      </rPr>
      <t>(6)</t>
    </r>
  </si>
  <si>
    <t>DEF20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</si>
  <si>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icholas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Singleton</t>
    </r>
    <r>
      <rPr>
        <rFont val="Roboto, sans-serif"/>
      </rPr>
      <t xml:space="preserve">
TENRB59</t>
    </r>
  </si>
  <si>
    <t>DST31</t>
  </si>
  <si>
    <r>
      <rPr>
        <rFont val="Poppins, Arial, Helvetica, sans-serif"/>
        <color rgb="FF1155CC"/>
        <u/>
      </rPr>
      <t>Ollie Gordon II</t>
    </r>
    <r>
      <rPr>
        <rFont val="Poppins, Arial, Helvetica, sans-serif"/>
      </rPr>
      <t>MIA (6)</t>
    </r>
  </si>
  <si>
    <r>
      <rPr>
        <rFont val="Poppins, Arial, Helvetica, sans-serif"/>
        <color rgb="FF1155CC"/>
        <sz val="9.0"/>
        <u/>
      </rPr>
      <t>Jalen Tolbert</t>
    </r>
    <r>
      <rPr>
        <rFont val="Poppins, Arial, Helvetica, sans-serif"/>
        <sz val="9.0"/>
      </rPr>
      <t xml:space="preserve"> (MIA)</t>
    </r>
  </si>
  <si>
    <r>
      <rPr>
        <rFont val="&quot;TT Norms&quot;, ui-system, sans-serif"/>
        <color rgb="FF1155CC"/>
        <sz val="11.0"/>
        <u/>
      </rPr>
      <t>Bijan Robinson</t>
    </r>
    <r>
      <rPr>
        <rFont val="&quot;TT Norms&quot;, ui-system, sans-serif"/>
        <sz val="11.0"/>
      </rPr>
      <t xml:space="preserve"> RB  ATL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</si>
  <si>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ryce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Young</t>
    </r>
    <r>
      <rPr>
        <rFont val="Roboto, sans-serif"/>
      </rPr>
      <t xml:space="preserve">
CARQB26</t>
    </r>
  </si>
  <si>
    <t>WR116</t>
  </si>
  <si>
    <r>
      <rPr>
        <rFont val="Poppins, Arial, Helvetica, sans-serif"/>
        <color rgb="FF1155CC"/>
        <sz val="9.0"/>
        <u/>
      </rPr>
      <t>Konata Mumpfield</t>
    </r>
    <r>
      <rPr>
        <rFont val="Poppins, Arial, Helvetica, sans-serif"/>
        <sz val="9.0"/>
      </rPr>
      <t xml:space="preserve"> (LAR)</t>
    </r>
  </si>
  <si>
    <r>
      <rPr>
        <rFont val="Poppins, Arial, Helvetica, sans-serif"/>
        <color rgb="FF1155CC"/>
        <u/>
      </rPr>
      <t>Isaiah Davis</t>
    </r>
    <r>
      <rPr>
        <rFont val="Poppins, Arial, Helvetica, sans-serif"/>
      </rPr>
      <t>NYJ (13)</t>
    </r>
  </si>
  <si>
    <r>
      <rPr>
        <rFont val="&quot;TT Norms&quot;, ui-system, sans-serif"/>
        <color rgb="FF1155CC"/>
        <sz val="11.0"/>
        <u/>
      </rPr>
      <t>Jonathan Taylor</t>
    </r>
    <r>
      <rPr>
        <rFont val="&quot;TT Norms&quot;, ui-system, sans-serif"/>
        <sz val="11.0"/>
      </rPr>
      <t xml:space="preserve"> RB  IND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</si>
  <si>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ndres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Borregales</t>
    </r>
    <r>
      <rPr>
        <rFont val="Roboto, sans-serif"/>
      </rPr>
      <t xml:space="preserve">
NEK14</t>
    </r>
  </si>
  <si>
    <t>WR117</t>
  </si>
  <si>
    <r>
      <rPr>
        <rFont val="&quot;TT Norms&quot;, ui-system, sans-serif"/>
        <color rgb="FF1155CC"/>
        <sz val="11.0"/>
        <u/>
      </rPr>
      <t>Derrick Henry</t>
    </r>
    <r>
      <rPr>
        <rFont val="&quot;TT Norms&quot;, ui-system, sans-serif"/>
        <sz val="11.0"/>
      </rPr>
      <t xml:space="preserve"> RB  BAL</t>
    </r>
  </si>
  <si>
    <r>
      <rPr>
        <rFont val="Poppins, Arial, Helvetica, sans-serif"/>
        <color rgb="FF1155CC"/>
        <sz val="9.0"/>
        <u/>
      </rPr>
      <t>Tyler Higbee</t>
    </r>
    <r>
      <rPr>
        <rFont val="Poppins, Arial, Helvetica, sans-serif"/>
        <sz val="9.0"/>
      </rPr>
      <t xml:space="preserve"> (LAR)</t>
    </r>
  </si>
  <si>
    <r>
      <rPr>
        <rFont val="Poppins, Arial, Helvetica, sans-serif"/>
        <color rgb="FF1155CC"/>
        <u/>
      </rPr>
      <t>Brenen Thompson</t>
    </r>
    <r>
      <rPr>
        <rFont val="Poppins, Arial, Helvetica, sans-serif"/>
      </rPr>
      <t>LAC (7)</t>
    </r>
  </si>
  <si>
    <r>
      <rPr>
        <rFont val="&quot;TT Norms&quot;, ui-system, sans-serif"/>
        <color rgb="FF1155CC"/>
        <sz val="11.0"/>
        <u/>
      </rPr>
      <t>Puka Nacua</t>
    </r>
    <r>
      <rPr>
        <rFont val="&quot;TT Norms&quot;, ui-system, sans-serif"/>
        <sz val="11.0"/>
      </rPr>
      <t xml:space="preserve"> WR  LAR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</si>
  <si>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leveland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Browns</t>
    </r>
    <r>
      <rPr>
        <rFont val="Roboto, sans-serif"/>
      </rPr>
      <t xml:space="preserve">
CLEDEF17</t>
    </r>
  </si>
  <si>
    <t>TE41</t>
  </si>
  <si>
    <r>
      <rPr>
        <rFont val="Poppins, Arial, Helvetica, sans-serif"/>
        <color rgb="FF1155CC"/>
        <sz val="9.0"/>
        <u/>
      </rPr>
      <t>J.J. McCarthy</t>
    </r>
    <r>
      <rPr>
        <rFont val="Poppins, Arial, Helvetica, sans-serif"/>
        <sz val="9.0"/>
      </rPr>
      <t xml:space="preserve"> (MIN)</t>
    </r>
  </si>
  <si>
    <r>
      <rPr>
        <rFont val="Poppins, Arial, Helvetica, sans-serif"/>
        <color rgb="FF1155CC"/>
        <u/>
      </rPr>
      <t>Emari Demercado</t>
    </r>
    <r>
      <rPr>
        <rFont val="Poppins, Arial, Helvetica, sans-serif"/>
      </rPr>
      <t>KC (5)</t>
    </r>
  </si>
  <si>
    <r>
      <rPr>
        <rFont val="&quot;TT Norms&quot;, ui-system, sans-serif"/>
        <color rgb="FF1155CC"/>
        <sz val="11.0"/>
        <u/>
      </rPr>
      <t>Christian McCaffrey</t>
    </r>
    <r>
      <rPr>
        <rFont val="&quot;TT Norms&quot;, ui-system, sans-serif"/>
        <sz val="11.0"/>
      </rPr>
      <t xml:space="preserve"> RB  SF</t>
    </r>
  </si>
  <si>
    <t>DEF26</t>
  </si>
  <si>
    <r>
      <rPr>
        <rFont val="Poppins, Arial, Helvetica, sans-serif"/>
        <color rgb="FF1155CC"/>
        <sz val="9.0"/>
        <u/>
      </rPr>
      <t>Calvin Austin III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</si>
  <si>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eenan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UNSWR71</t>
    </r>
  </si>
  <si>
    <r>
      <rPr>
        <rFont val="&quot;TT Norms&quot;, ui-system, sans-serif"/>
        <color rgb="FF1155CC"/>
        <sz val="11.0"/>
        <u/>
      </rPr>
      <t>Ja'Marr Chase</t>
    </r>
    <r>
      <rPr>
        <rFont val="&quot;TT Norms&quot;, ui-system, sans-serif"/>
        <sz val="11.0"/>
      </rPr>
      <t xml:space="preserve"> WR  CIN</t>
    </r>
  </si>
  <si>
    <r>
      <rPr>
        <rFont val="Poppins, Arial, Helvetica, sans-serif"/>
        <color rgb="FF1155CC"/>
        <u/>
      </rPr>
      <t>Adam Randall</t>
    </r>
    <r>
      <rPr>
        <rFont val="Poppins, Arial, Helvetica, sans-serif"/>
      </rPr>
      <t>BAL (13)</t>
    </r>
  </si>
  <si>
    <t>WR118</t>
  </si>
  <si>
    <r>
      <rPr>
        <rFont val="&quot;TT Norms&quot;, ui-system, sans-serif"/>
        <color rgb="FF1155CC"/>
        <sz val="11.0"/>
        <u/>
      </rPr>
      <t>James Cook</t>
    </r>
    <r>
      <rPr>
        <rFont val="&quot;TT Norms&quot;, ui-system, sans-serif"/>
        <sz val="11.0"/>
      </rPr>
      <t xml:space="preserve"> RB  BUF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</si>
  <si>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Myers</t>
    </r>
    <r>
      <rPr>
        <rFont val="Roboto, sans-serif"/>
      </rPr>
      <t xml:space="preserve">
SEAK15</t>
    </r>
  </si>
  <si>
    <r>
      <rPr>
        <rFont val="Poppins, Arial, Helvetica, sans-serif"/>
        <color rgb="FF1155CC"/>
        <sz val="9.0"/>
        <u/>
      </rPr>
      <t>Jahan Dotson</t>
    </r>
    <r>
      <rPr>
        <rFont val="Poppins, Arial, Helvetica, sans-serif"/>
        <sz val="9.0"/>
      </rPr>
      <t xml:space="preserve"> (ATL)</t>
    </r>
  </si>
  <si>
    <r>
      <rPr>
        <rFont val="Poppins, Arial, Helvetica, sans-serif"/>
        <color rgb="FF1155CC"/>
        <u/>
      </rPr>
      <t>Seth McGowan</t>
    </r>
    <r>
      <rPr>
        <rFont val="Poppins, Arial, Helvetica, sans-serif"/>
      </rPr>
      <t>IND (13)</t>
    </r>
  </si>
  <si>
    <r>
      <rPr>
        <rFont val="&quot;TT Norms&quot;, ui-system, sans-serif"/>
        <color rgb="FF1155CC"/>
        <sz val="11.0"/>
        <u/>
      </rPr>
      <t>De'Von Achane</t>
    </r>
    <r>
      <rPr>
        <rFont val="&quot;TT Norms&quot;, ui-system, sans-serif"/>
        <sz val="11.0"/>
      </rPr>
      <t xml:space="preserve"> RB  MIA</t>
    </r>
  </si>
  <si>
    <t>WR119</t>
  </si>
  <si>
    <r>
      <rPr>
        <rFont val="Poppins, Arial, Helvetica, sans-serif"/>
        <color rgb="FF1155CC"/>
        <sz val="9.0"/>
        <u/>
      </rPr>
      <t>Jalen Royals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</si>
  <si>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Freiermuth</t>
    </r>
    <r>
      <rPr>
        <rFont val="Roboto, sans-serif"/>
      </rPr>
      <t xml:space="preserve">
PITTE25</t>
    </r>
  </si>
  <si>
    <r>
      <rPr>
        <rFont val="&quot;TT Norms&quot;, ui-system, sans-serif"/>
        <color rgb="FF1155CC"/>
        <sz val="11.0"/>
        <u/>
      </rPr>
      <t>Jaxon Smith-Njigba</t>
    </r>
    <r>
      <rPr>
        <rFont val="&quot;TT Norms&quot;, ui-system, sans-serif"/>
        <sz val="11.0"/>
      </rPr>
      <t xml:space="preserve"> WR  SEA</t>
    </r>
  </si>
  <si>
    <t>WR120</t>
  </si>
  <si>
    <r>
      <rPr>
        <rFont val="Poppins, Arial, Helvetica, sans-serif"/>
        <color rgb="FF1155CC"/>
        <sz val="9.0"/>
        <u/>
      </rPr>
      <t>Elijah Arroyo</t>
    </r>
    <r>
      <rPr>
        <rFont val="Poppins, Arial, Helvetica, sans-serif"/>
        <sz val="9.0"/>
      </rPr>
      <t xml:space="preserve"> (SEA)</t>
    </r>
  </si>
  <si>
    <r>
      <rPr>
        <rFont val="&quot;TT Norms&quot;, ui-system, sans-serif"/>
        <color rgb="FF1155CC"/>
        <sz val="11.0"/>
        <u/>
      </rPr>
      <t>Ashton Jeanty</t>
    </r>
    <r>
      <rPr>
        <rFont val="&quot;TT Norms&quot;, ui-system, sans-serif"/>
        <sz val="11.0"/>
      </rPr>
      <t xml:space="preserve"> RB  LV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</si>
  <si>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Conner</t>
    </r>
    <r>
      <rPr>
        <rFont val="Roboto, sans-serif"/>
      </rPr>
      <t xml:space="preserve">
ARIRB60</t>
    </r>
  </si>
  <si>
    <t>TE42</t>
  </si>
  <si>
    <r>
      <rPr>
        <rFont val="&quot;TT Norms&quot;, ui-system, sans-serif"/>
        <color rgb="FF1155CC"/>
        <sz val="11.0"/>
        <u/>
      </rPr>
      <t>Josh Allen</t>
    </r>
    <r>
      <rPr>
        <rFont val="&quot;TT Norms&quot;, ui-system, sans-serif"/>
        <sz val="11.0"/>
      </rPr>
      <t xml:space="preserve"> QB  BUF</t>
    </r>
  </si>
  <si>
    <r>
      <rPr>
        <rFont val="Poppins, Arial, Helvetica, sans-serif"/>
        <color rgb="FF1155CC"/>
        <sz val="9.0"/>
        <u/>
      </rPr>
      <t>Ja'Tavion Sanders</t>
    </r>
    <r>
      <rPr>
        <rFont val="Poppins, Arial, Helvetica, sans-serif"/>
        <sz val="9.0"/>
      </rPr>
      <t xml:space="preserve"> (CAR)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</si>
  <si>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ansas City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Chiefs</t>
    </r>
    <r>
      <rPr>
        <rFont val="Roboto, sans-serif"/>
      </rPr>
      <t xml:space="preserve">
KCDEF18</t>
    </r>
  </si>
  <si>
    <r>
      <rPr>
        <rFont val="&quot;TT Norms&quot;, ui-system, sans-serif"/>
        <color rgb="FF1155CC"/>
        <sz val="11.0"/>
        <u/>
      </rPr>
      <t>Saquon Barkley</t>
    </r>
    <r>
      <rPr>
        <rFont val="&quot;TT Norms&quot;, ui-system, sans-serif"/>
        <sz val="11.0"/>
      </rPr>
      <t xml:space="preserve"> RB  PHI</t>
    </r>
  </si>
  <si>
    <t>TE43</t>
  </si>
  <si>
    <r>
      <rPr>
        <rFont val="Poppins, Arial, Helvetica, sans-serif"/>
        <color rgb="FF1155CC"/>
        <sz val="9.0"/>
        <u/>
      </rPr>
      <t>Cole Kmet</t>
    </r>
    <r>
      <rPr>
        <rFont val="Poppins, Arial, Helvetica, sans-serif"/>
        <sz val="9.0"/>
      </rPr>
      <t xml:space="preserve"> (CHI)</t>
    </r>
  </si>
  <si>
    <t>DEF16</t>
  </si>
  <si>
    <r>
      <rPr>
        <rFont val="&quot;TT Norms&quot;, ui-system, sans-serif"/>
        <color rgb="FF1155CC"/>
        <sz val="11.0"/>
        <u/>
      </rPr>
      <t>Chase Brown</t>
    </r>
    <r>
      <rPr>
        <rFont val="&quot;TT Norms&quot;, ui-system, sans-serif"/>
        <sz val="11.0"/>
      </rPr>
      <t xml:space="preserve"> RB  CIN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</si>
  <si>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Boswell</t>
    </r>
    <r>
      <rPr>
        <rFont val="Roboto, sans-serif"/>
      </rPr>
      <t xml:space="preserve">
PITK16</t>
    </r>
  </si>
  <si>
    <t>TE44</t>
  </si>
  <si>
    <r>
      <rPr>
        <rFont val="Poppins, Arial, Helvetica, sans-serif"/>
        <color rgb="FF1155CC"/>
        <sz val="9.0"/>
        <u/>
      </rPr>
      <t>Michael Mayer</t>
    </r>
    <r>
      <rPr>
        <rFont val="Poppins, Arial, Helvetica, sans-serif"/>
        <sz val="9.0"/>
      </rPr>
      <t xml:space="preserve"> (LV)</t>
    </r>
  </si>
  <si>
    <r>
      <rPr>
        <rFont val="&quot;TT Norms&quot;, ui-system, sans-serif"/>
        <color rgb="FF1155CC"/>
        <sz val="11.0"/>
        <u/>
      </rPr>
      <t>Amon-Ra St. Brown</t>
    </r>
    <r>
      <rPr>
        <rFont val="&quot;TT Norms&quot;, ui-system, sans-serif"/>
        <sz val="11.0"/>
      </rPr>
      <t xml:space="preserve"> WR  DET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</si>
  <si>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ank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Bigsby</t>
    </r>
    <r>
      <rPr>
        <rFont val="Roboto, sans-serif"/>
      </rPr>
      <t xml:space="preserve">
PHIRB61</t>
    </r>
  </si>
  <si>
    <t>TE45</t>
  </si>
  <si>
    <r>
      <rPr>
        <rFont val="&quot;TT Norms&quot;, ui-system, sans-serif"/>
        <color rgb="FF1155CC"/>
        <sz val="11.0"/>
        <u/>
      </rPr>
      <t>Josh Jacobs</t>
    </r>
    <r>
      <rPr>
        <rFont val="&quot;TT Norms&quot;, ui-system, sans-serif"/>
        <sz val="11.0"/>
      </rPr>
      <t xml:space="preserve"> RB  GB</t>
    </r>
  </si>
  <si>
    <r>
      <rPr>
        <rFont val="Poppins, Arial, Helvetica, sans-serif"/>
        <color rgb="FF1155CC"/>
        <sz val="9.0"/>
        <u/>
      </rPr>
      <t>DeMario Douglas</t>
    </r>
    <r>
      <rPr>
        <rFont val="Poppins, Arial, Helvetica, sans-serif"/>
        <sz val="9.0"/>
      </rPr>
      <t xml:space="preserve"> (NE)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</si>
  <si>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Barner</t>
    </r>
    <r>
      <rPr>
        <rFont val="Roboto, sans-serif"/>
      </rPr>
      <t xml:space="preserve">
SEATE26</t>
    </r>
  </si>
  <si>
    <t>14/29</t>
  </si>
  <si>
    <r>
      <rPr>
        <rFont val="&quot;TT Norms&quot;, ui-system, sans-serif"/>
        <color rgb="FF1155CC"/>
        <sz val="11.0"/>
        <u/>
      </rPr>
      <t>Kyren Williams</t>
    </r>
    <r>
      <rPr>
        <rFont val="&quot;TT Norms&quot;, ui-system, sans-serif"/>
        <sz val="11.0"/>
      </rPr>
      <t xml:space="preserve"> RB  LAR</t>
    </r>
  </si>
  <si>
    <t>WR121</t>
  </si>
  <si>
    <r>
      <rPr>
        <rFont val="Poppins, Arial, Helvetica, sans-serif"/>
        <color rgb="FF1155CC"/>
        <sz val="9.0"/>
        <u/>
      </rPr>
      <t>Olamide Zaccheaus</t>
    </r>
    <r>
      <rPr>
        <rFont val="Poppins, Arial, Helvetica, sans-serif"/>
        <sz val="9.0"/>
      </rPr>
      <t xml:space="preserve"> (ATL)</t>
    </r>
  </si>
  <si>
    <t>12/44</t>
  </si>
  <si>
    <r>
      <rPr>
        <rFont val="&quot;TT Norms&quot;, ui-system, sans-serif"/>
        <color rgb="FF1155CC"/>
        <sz val="11.0"/>
        <u/>
      </rPr>
      <t>Drake London</t>
    </r>
    <r>
      <rPr>
        <rFont val="&quot;TT Norms&quot;, ui-system, sans-serif"/>
        <sz val="11.0"/>
      </rPr>
      <t xml:space="preserve"> WR  ATL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</si>
  <si>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McLaughlin</t>
    </r>
    <r>
      <rPr>
        <rFont val="Roboto, sans-serif"/>
      </rPr>
      <t xml:space="preserve">
TBK17</t>
    </r>
  </si>
  <si>
    <t>WR122</t>
  </si>
  <si>
    <r>
      <rPr>
        <rFont val="Poppins, Arial, Helvetica, sans-serif"/>
        <color rgb="FF1155CC"/>
        <sz val="9.0"/>
        <u/>
      </rPr>
      <t>Dawson Knox</t>
    </r>
    <r>
      <rPr>
        <rFont val="Poppins, Arial, Helvetica, sans-serif"/>
        <sz val="9.0"/>
      </rPr>
      <t xml:space="preserve"> (BUF)</t>
    </r>
  </si>
  <si>
    <t>15/29</t>
  </si>
  <si>
    <r>
      <rPr>
        <rFont val="&quot;TT Norms&quot;, ui-system, sans-serif"/>
        <color rgb="FF1155CC"/>
        <sz val="11.0"/>
        <u/>
      </rPr>
      <t>Omarion Hampton</t>
    </r>
    <r>
      <rPr>
        <rFont val="&quot;TT Norms&quot;, ui-system, sans-serif"/>
        <sz val="11.0"/>
      </rPr>
      <t xml:space="preserve"> RB  LAC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</si>
  <si>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ampa Bay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Buccaneers</t>
    </r>
    <r>
      <rPr>
        <rFont val="Roboto, sans-serif"/>
      </rPr>
      <t xml:space="preserve">
TBDEF19</t>
    </r>
  </si>
  <si>
    <t>TE46</t>
  </si>
  <si>
    <r>
      <rPr>
        <rFont val="Poppins, Arial, Helvetica, sans-serif"/>
        <color rgb="FF1155CC"/>
        <sz val="9.0"/>
        <u/>
      </rPr>
      <t>Noah Gray</t>
    </r>
    <r>
      <rPr>
        <rFont val="Poppins, Arial, Helvetica, sans-serif"/>
        <sz val="9.0"/>
      </rPr>
      <t xml:space="preserve"> (KC)</t>
    </r>
  </si>
  <si>
    <t>12/43</t>
  </si>
  <si>
    <r>
      <rPr>
        <rFont val="&quot;TT Norms&quot;, ui-system, sans-serif"/>
        <color rgb="FF1155CC"/>
        <sz val="11.0"/>
        <u/>
      </rPr>
      <t>Rashee Rice</t>
    </r>
    <r>
      <rPr>
        <rFont val="&quot;TT Norms&quot;, ui-system, sans-serif"/>
        <sz val="11.0"/>
      </rPr>
      <t xml:space="preserve"> WR  KC</t>
    </r>
  </si>
  <si>
    <t>DEF23</t>
  </si>
  <si>
    <t>DEF22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</si>
  <si>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mmett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KCRB62</t>
    </r>
  </si>
  <si>
    <t>TE47</t>
  </si>
  <si>
    <t>19/25</t>
  </si>
  <si>
    <r>
      <rPr>
        <rFont val="Poppins, Arial, Helvetica, sans-serif"/>
        <color rgb="FF1155CC"/>
        <sz val="9.0"/>
        <u/>
      </rPr>
      <t>Treylon Burks</t>
    </r>
    <r>
      <rPr>
        <rFont val="Poppins, Arial, Helvetica, sans-serif"/>
        <sz val="9.0"/>
      </rPr>
      <t xml:space="preserve"> (WAS)</t>
    </r>
  </si>
  <si>
    <r>
      <rPr>
        <rFont val="&quot;TT Norms&quot;, ui-system, sans-serif"/>
        <color rgb="FF1155CC"/>
        <sz val="11.0"/>
        <u/>
      </rPr>
      <t>CeeDee Lamb</t>
    </r>
    <r>
      <rPr>
        <rFont val="&quot;TT Norms&quot;, ui-system, sans-serif"/>
        <sz val="11.0"/>
      </rPr>
      <t xml:space="preserve"> WR  DAL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</si>
  <si>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LACWR72</t>
    </r>
  </si>
  <si>
    <t>9/46</t>
  </si>
  <si>
    <t>WR123</t>
  </si>
  <si>
    <r>
      <rPr>
        <rFont val="&quot;TT Norms&quot;, ui-system, sans-serif"/>
        <color rgb="FF1155CC"/>
        <sz val="11.0"/>
        <u/>
      </rPr>
      <t>Cam Skattebo</t>
    </r>
    <r>
      <rPr>
        <rFont val="&quot;TT Norms&quot;, ui-system, sans-serif"/>
        <sz val="11.0"/>
      </rPr>
      <t xml:space="preserve"> RB  NYG</t>
    </r>
  </si>
  <si>
    <r>
      <rPr>
        <rFont val="Poppins, Arial, Helvetica, sans-serif"/>
        <color rgb="FF1155CC"/>
        <sz val="9.0"/>
        <u/>
      </rPr>
      <t>Joshua Palmer</t>
    </r>
    <r>
      <rPr>
        <rFont val="Poppins, Arial, Helvetica, sans-serif"/>
        <sz val="9.0"/>
      </rPr>
      <t xml:space="preserve"> (BUF)</t>
    </r>
  </si>
  <si>
    <t>18/34</t>
  </si>
  <si>
    <r>
      <rPr>
        <rFont val="&quot;TT Norms&quot;, ui-system, sans-serif"/>
        <color rgb="FF1155CC"/>
        <sz val="11.0"/>
        <u/>
      </rPr>
      <t>Kenneth Walker III</t>
    </r>
    <r>
      <rPr>
        <rFont val="&quot;TT Norms&quot;, ui-system, sans-serif"/>
        <sz val="11.0"/>
      </rPr>
      <t xml:space="preserve"> RB  KC</t>
    </r>
  </si>
  <si>
    <t>WR124</t>
  </si>
  <si>
    <r>
      <rPr>
        <rFont val="Roboto, sans-serif"/>
        <color rgb="FF1155CC"/>
        <u/>
      </rPr>
      <t>F</t>
    </r>
    <r>
      <rPr>
        <rFont val="Roboto, sans-serif"/>
        <color rgb="FF1155CC"/>
        <u/>
      </rPr>
      <t>ernando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Mendoza</t>
    </r>
    <r>
      <rPr>
        <rFont val="Roboto, sans-serif"/>
      </rPr>
      <t xml:space="preserve">
LVRQB27</t>
    </r>
  </si>
  <si>
    <r>
      <rPr>
        <rFont val="Poppins, Arial, Helvetica, sans-serif"/>
        <color rgb="FF1155CC"/>
        <sz val="9.0"/>
        <u/>
      </rPr>
      <t>Bam Knight</t>
    </r>
    <r>
      <rPr>
        <rFont val="Poppins, Arial, Helvetica, sans-serif"/>
        <sz val="9.0"/>
      </rPr>
      <t xml:space="preserve"> (ARI)</t>
    </r>
  </si>
  <si>
    <t>16/34</t>
  </si>
  <si>
    <r>
      <rPr>
        <rFont val="&quot;TT Norms&quot;, ui-system, sans-serif"/>
        <color rgb="FF1155CC"/>
        <sz val="11.0"/>
        <u/>
      </rPr>
      <t>George Pickens</t>
    </r>
    <r>
      <rPr>
        <rFont val="&quot;TT Norms&quot;, ui-system, sans-serif"/>
        <sz val="11.0"/>
      </rPr>
      <t xml:space="preserve"> WR  DAL</t>
    </r>
  </si>
  <si>
    <t>RB101</t>
  </si>
  <si>
    <r>
      <rPr>
        <rFont val="Poppins, Arial, Helvetica, sans-serif"/>
        <color rgb="FF1155CC"/>
        <sz val="9.0"/>
        <u/>
      </rPr>
      <t>Dallas Cowboys</t>
    </r>
    <r>
      <rPr>
        <rFont val="Poppins, Arial, Helvetica, sans-serif"/>
        <sz val="9.0"/>
      </rPr>
      <t xml:space="preserve"> (DAL)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</si>
  <si>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Reichard</t>
    </r>
    <r>
      <rPr>
        <rFont val="Roboto, sans-serif"/>
      </rPr>
      <t xml:space="preserve">
MINK18</t>
    </r>
  </si>
  <si>
    <t>22/36</t>
  </si>
  <si>
    <r>
      <rPr>
        <rFont val="&quot;TT Norms&quot;, ui-system, sans-serif"/>
        <color rgb="FF1155CC"/>
        <sz val="11.0"/>
        <u/>
      </rPr>
      <t>A.J. Brown</t>
    </r>
    <r>
      <rPr>
        <rFont val="&quot;TT Norms&quot;, ui-system, sans-serif"/>
        <sz val="11.0"/>
      </rPr>
      <t xml:space="preserve"> WR  NE</t>
    </r>
  </si>
  <si>
    <r>
      <rPr>
        <rFont val="Poppins, Arial, Helvetica, sans-serif"/>
        <color rgb="FF1155CC"/>
        <sz val="9.0"/>
        <u/>
      </rPr>
      <t>Carolina Panthers</t>
    </r>
    <r>
      <rPr>
        <rFont val="Poppins, Arial, Helvetica, sans-serif"/>
        <sz val="9.0"/>
      </rPr>
      <t xml:space="preserve"> (CAR)</t>
    </r>
  </si>
  <si>
    <t>21/39</t>
  </si>
  <si>
    <r>
      <rPr>
        <rFont val="&quot;TT Norms&quot;, ui-system, sans-serif"/>
        <color rgb="FF1155CC"/>
        <sz val="11.0"/>
        <u/>
      </rPr>
      <t>Lamar Jackson</t>
    </r>
    <r>
      <rPr>
        <rFont val="&quot;TT Norms&quot;, ui-system, sans-serif"/>
        <sz val="11.0"/>
      </rPr>
      <t xml:space="preserve"> QB  BAL</t>
    </r>
  </si>
  <si>
    <r>
      <rPr>
        <rFont val="Poppins, Arial, Helvetica, sans-serif"/>
        <color rgb="FF1155CC"/>
        <sz val="9.0"/>
        <u/>
      </rPr>
      <t>Jake Elliott</t>
    </r>
    <r>
      <rPr>
        <rFont val="Poppins, Arial, Helvetica, sans-serif"/>
        <sz val="9.0"/>
      </rPr>
      <t xml:space="preserve"> (PHI)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</si>
  <si>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acoby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Brissett</t>
    </r>
    <r>
      <rPr>
        <rFont val="Roboto, sans-serif"/>
      </rPr>
      <t xml:space="preserve">
ARIQB28</t>
    </r>
  </si>
  <si>
    <t>6/58</t>
  </si>
  <si>
    <r>
      <rPr>
        <rFont val="&quot;TT Norms&quot;, ui-system, sans-serif"/>
        <color rgb="FF1155CC"/>
        <sz val="11.0"/>
        <u/>
      </rPr>
      <t>Javonte Williams</t>
    </r>
    <r>
      <rPr>
        <rFont val="&quot;TT Norms&quot;, ui-system, sans-serif"/>
        <sz val="11.0"/>
      </rPr>
      <t xml:space="preserve"> RB  DAL</t>
    </r>
  </si>
  <si>
    <r>
      <rPr>
        <rFont val="Poppins, Arial, Helvetica, sans-serif"/>
        <color rgb="FF1155CC"/>
        <sz val="9.0"/>
        <u/>
      </rPr>
      <t>Eli Heidenreich</t>
    </r>
    <r>
      <rPr>
        <rFont val="Poppins, Arial, Helvetica, sans-serif"/>
        <sz val="9.0"/>
      </rPr>
      <t xml:space="preserve"> (PIT)</t>
    </r>
  </si>
  <si>
    <t>24/51</t>
  </si>
  <si>
    <t>RB102</t>
  </si>
  <si>
    <r>
      <rPr>
        <rFont val="&quot;TT Norms&quot;, ui-system, sans-serif"/>
        <color rgb="FF1155CC"/>
        <sz val="11.0"/>
        <u/>
      </rPr>
      <t>Nico Collins</t>
    </r>
    <r>
      <rPr>
        <rFont val="&quot;TT Norms&quot;, ui-system, sans-serif"/>
        <sz val="11.0"/>
      </rPr>
      <t xml:space="preserve"> WR  HOU</t>
    </r>
  </si>
  <si>
    <r>
      <rPr>
        <rFont val="Poppins, Arial, Helvetica, sans-serif"/>
        <color rgb="FF1155CC"/>
        <sz val="9.0"/>
        <u/>
      </rPr>
      <t>Carson Beck</t>
    </r>
    <r>
      <rPr>
        <rFont val="Poppins, Arial, Helvetica, sans-serif"/>
        <sz val="9.0"/>
      </rPr>
      <t xml:space="preserve"> (ARI)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</si>
  <si>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an Francisco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49ers</t>
    </r>
    <r>
      <rPr>
        <rFont val="Roboto, sans-serif"/>
      </rPr>
      <t xml:space="preserve">
SFDEF20</t>
    </r>
  </si>
  <si>
    <t>28/42</t>
  </si>
  <si>
    <r>
      <rPr>
        <rFont val="&quot;TT Norms&quot;, ui-system, sans-serif"/>
        <color rgb="FF1155CC"/>
        <sz val="11.0"/>
        <u/>
      </rPr>
      <t>Dak Prescott</t>
    </r>
    <r>
      <rPr>
        <rFont val="&quot;TT Norms&quot;, ui-system, sans-serif"/>
        <sz val="11.0"/>
      </rPr>
      <t xml:space="preserve"> QB  DAL</t>
    </r>
  </si>
  <si>
    <r>
      <rPr>
        <rFont val="Poppins, Arial, Helvetica, sans-serif"/>
        <color rgb="FF1155CC"/>
        <sz val="9.0"/>
        <u/>
      </rPr>
      <t>Kendrick Bourne</t>
    </r>
    <r>
      <rPr>
        <rFont val="Poppins, Arial, Helvetica, sans-serif"/>
        <sz val="9.0"/>
      </rPr>
      <t xml:space="preserve"> (ARI)</t>
    </r>
  </si>
  <si>
    <t>DEF18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</si>
  <si>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Benson</t>
    </r>
    <r>
      <rPr>
        <rFont val="Roboto, sans-serif"/>
      </rPr>
      <t xml:space="preserve">
ARIRB63</t>
    </r>
  </si>
  <si>
    <t>7/64</t>
  </si>
  <si>
    <r>
      <rPr>
        <rFont val="&quot;TT Norms&quot;, ui-system, sans-serif"/>
        <color rgb="FF1155CC"/>
        <sz val="11.0"/>
        <u/>
      </rPr>
      <t>Justin Jefferson</t>
    </r>
    <r>
      <rPr>
        <rFont val="&quot;TT Norms&quot;, ui-system, sans-serif"/>
        <sz val="11.0"/>
      </rPr>
      <t xml:space="preserve"> WR  MIN</t>
    </r>
  </si>
  <si>
    <t>WR125</t>
  </si>
  <si>
    <r>
      <rPr>
        <rFont val="Poppins, Arial, Helvetica, sans-serif"/>
        <color rgb="FF1155CC"/>
        <sz val="9.0"/>
        <u/>
      </rPr>
      <t>Brenen Thompson</t>
    </r>
    <r>
      <rPr>
        <rFont val="Poppins, Arial, Helvetica, sans-serif"/>
        <sz val="9.0"/>
      </rPr>
      <t xml:space="preserve"> (LAC)</t>
    </r>
  </si>
  <si>
    <t>20/55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</si>
  <si>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Wright</t>
    </r>
    <r>
      <rPr>
        <rFont val="Roboto, sans-serif"/>
      </rPr>
      <t xml:space="preserve">
MIARB64</t>
    </r>
  </si>
  <si>
    <r>
      <rPr>
        <rFont val="&quot;TT Norms&quot;, ui-system, sans-serif"/>
        <color rgb="FF1155CC"/>
        <sz val="11.0"/>
        <u/>
      </rPr>
      <t>Jeremiyah Love</t>
    </r>
    <r>
      <rPr>
        <rFont val="&quot;TT Norms&quot;, ui-system, sans-serif"/>
        <sz val="11.0"/>
      </rPr>
      <t xml:space="preserve"> RB  ARI</t>
    </r>
  </si>
  <si>
    <t>WR126</t>
  </si>
  <si>
    <r>
      <rPr>
        <rFont val="Poppins, Arial, Helvetica, sans-serif"/>
        <color rgb="FF1155CC"/>
        <sz val="9.0"/>
        <u/>
      </rPr>
      <t>Bryce Lance</t>
    </r>
    <r>
      <rPr>
        <rFont val="Poppins, Arial, Helvetica, sans-serif"/>
        <sz val="9.0"/>
      </rPr>
      <t xml:space="preserve"> (NO)</t>
    </r>
  </si>
  <si>
    <t>20/56</t>
  </si>
  <si>
    <r>
      <rPr>
        <rFont val="&quot;TT Norms&quot;, ui-system, sans-serif"/>
        <color rgb="FF1155CC"/>
        <sz val="11.0"/>
        <u/>
      </rPr>
      <t>D'Andre Swift</t>
    </r>
    <r>
      <rPr>
        <rFont val="&quot;TT Norms&quot;, ui-system, sans-serif"/>
        <sz val="11.0"/>
      </rPr>
      <t xml:space="preserve"> RB  CHI</t>
    </r>
  </si>
  <si>
    <t>WR127</t>
  </si>
  <si>
    <r>
      <rPr>
        <rFont val="Poppins, Arial, Helvetica, sans-serif"/>
        <color rgb="FF1155CC"/>
        <sz val="9.0"/>
        <u/>
      </rPr>
      <t>Michael Carter</t>
    </r>
    <r>
      <rPr>
        <rFont val="Poppins, Arial, Helvetica, sans-serif"/>
        <sz val="9.0"/>
      </rPr>
      <t xml:space="preserve"> (TEN)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</si>
  <si>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Otton</t>
    </r>
    <r>
      <rPr>
        <rFont val="Roboto, sans-serif"/>
      </rPr>
      <t xml:space="preserve">
TBTE27</t>
    </r>
  </si>
  <si>
    <t>22/46</t>
  </si>
  <si>
    <r>
      <rPr>
        <rFont val="&quot;TT Norms&quot;, ui-system, sans-serif"/>
        <color rgb="FF1155CC"/>
        <sz val="11.0"/>
        <u/>
      </rPr>
      <t>Breece Hall</t>
    </r>
    <r>
      <rPr>
        <rFont val="&quot;TT Norms&quot;, ui-system, sans-serif"/>
        <sz val="11.0"/>
      </rPr>
      <t xml:space="preserve"> RB  NYJ</t>
    </r>
  </si>
  <si>
    <t>RB103</t>
  </si>
  <si>
    <r>
      <rPr>
        <rFont val="Poppins, Arial, Helvetica, sans-serif"/>
        <color rgb="FF1155CC"/>
        <sz val="9.0"/>
        <u/>
      </rPr>
      <t>Mac Jones</t>
    </r>
    <r>
      <rPr>
        <rFont val="Poppins, Arial, Helvetica, sans-serif"/>
        <sz val="9.0"/>
      </rPr>
      <t xml:space="preserve"> (SF)</t>
    </r>
  </si>
  <si>
    <t>19/59</t>
  </si>
  <si>
    <r>
      <rPr>
        <rFont val="&quot;TT Norms&quot;, ui-system, sans-serif"/>
        <color rgb="FF1155CC"/>
        <sz val="11.0"/>
        <u/>
      </rPr>
      <t>Joe Burrow</t>
    </r>
    <r>
      <rPr>
        <rFont val="&quot;TT Norms&quot;, ui-system, sans-serif"/>
        <sz val="11.0"/>
      </rPr>
      <t xml:space="preserve"> QB  CIN</t>
    </r>
  </si>
  <si>
    <t>Tier 14</t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</si>
  <si>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ndianapolis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Colts</t>
    </r>
    <r>
      <rPr>
        <rFont val="Roboto, sans-serif"/>
      </rPr>
      <t xml:space="preserve">
INDDEF21</t>
    </r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</si>
  <si>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</si>
  <si>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Erick All Jr.</t>
    </r>
    <r>
      <rPr>
        <rFont val="Poppins, Arial, Helvetica, sans-serif"/>
        <sz val="9.0"/>
      </rPr>
      <t xml:space="preserve"> (CIN)</t>
    </r>
  </si>
  <si>
    <t>3/53</t>
  </si>
  <si>
    <r>
      <rPr>
        <rFont val="&quot;TT Norms&quot;, ui-system, sans-serif"/>
        <color rgb="FF1155CC"/>
        <sz val="11.0"/>
        <u/>
      </rPr>
      <t>Chris Olave</t>
    </r>
    <r>
      <rPr>
        <rFont val="&quot;TT Norms&quot;, ui-system, sans-serif"/>
        <sz val="11.0"/>
      </rPr>
      <t xml:space="preserve"> WR  NO</t>
    </r>
  </si>
  <si>
    <t>TE48</t>
  </si>
  <si>
    <r>
      <rPr>
        <rFont val="Poppins, Arial, Helvetica, sans-serif"/>
        <color rgb="FF1155CC"/>
        <sz val="9.0"/>
        <u/>
      </rPr>
      <t>Eli Raridon</t>
    </r>
    <r>
      <rPr>
        <rFont val="Poppins, Arial, Helvetica, sans-serif"/>
        <sz val="9.0"/>
      </rPr>
      <t xml:space="preserve"> (NE)</t>
    </r>
  </si>
  <si>
    <t>27/41</t>
  </si>
  <si>
    <r>
      <rPr>
        <rFont val="&quot;TT Norms&quot;, ui-system, sans-serif"/>
        <color rgb="FF1155CC"/>
        <sz val="11.0"/>
        <u/>
      </rPr>
      <t>Trey McBride</t>
    </r>
    <r>
      <rPr>
        <rFont val="&quot;TT Norms&quot;, ui-system, sans-serif"/>
        <sz val="11.0"/>
      </rPr>
      <t xml:space="preserve"> TE  ARI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</si>
  <si>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Bass</t>
    </r>
    <r>
      <rPr>
        <rFont val="Roboto, sans-serif"/>
      </rPr>
      <t xml:space="preserve">
BUFK19</t>
    </r>
  </si>
  <si>
    <t>TE49</t>
  </si>
  <si>
    <r>
      <rPr>
        <rFont val="Poppins, Arial, Helvetica, sans-serif"/>
        <color rgb="FF1155CC"/>
        <sz val="9.0"/>
        <u/>
      </rPr>
      <t>Justin Joly</t>
    </r>
    <r>
      <rPr>
        <rFont val="Poppins, Arial, Helvetica, sans-serif"/>
        <sz val="9.0"/>
      </rPr>
      <t xml:space="preserve"> (DEN)</t>
    </r>
  </si>
  <si>
    <r>
      <rPr>
        <rFont val="&quot;TT Norms&quot;, ui-system, sans-serif"/>
        <color rgb="FF1155CC"/>
        <sz val="11.0"/>
        <u/>
      </rPr>
      <t>Drake Maye</t>
    </r>
    <r>
      <rPr>
        <rFont val="&quot;TT Norms&quot;, ui-system, sans-serif"/>
        <sz val="11.0"/>
      </rPr>
      <t xml:space="preserve"> QB  NE</t>
    </r>
  </si>
  <si>
    <t>TE50</t>
  </si>
  <si>
    <r>
      <rPr>
        <rFont val="Poppins, Arial, Helvetica, sans-serif"/>
        <color rgb="FF1155CC"/>
        <sz val="9.0"/>
        <u/>
      </rPr>
      <t>J'Mari Taylor</t>
    </r>
    <r>
      <rPr>
        <rFont val="Poppins, Arial, Helvetica, sans-serif"/>
        <sz val="9.0"/>
      </rPr>
      <t xml:space="preserve"> (JAC)</t>
    </r>
  </si>
  <si>
    <t>K24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</si>
  <si>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Hill</t>
    </r>
    <r>
      <rPr>
        <rFont val="Roboto, sans-serif"/>
      </rPr>
      <t xml:space="preserve">
BALRB65</t>
    </r>
  </si>
  <si>
    <t>8/61</t>
  </si>
  <si>
    <t>RB104</t>
  </si>
  <si>
    <r>
      <rPr>
        <rFont val="&quot;TT Norms&quot;, ui-system, sans-serif"/>
        <color rgb="FF1155CC"/>
        <sz val="11.0"/>
        <u/>
      </rPr>
      <t>Malik Nabers</t>
    </r>
    <r>
      <rPr>
        <rFont val="&quot;TT Norms&quot;, ui-system, sans-serif"/>
        <sz val="11.0"/>
      </rPr>
      <t xml:space="preserve"> WR  NYG</t>
    </r>
  </si>
  <si>
    <r>
      <rPr>
        <rFont val="Poppins, Arial, Helvetica, sans-serif"/>
        <color rgb="FF1155CC"/>
        <sz val="9.0"/>
        <u/>
      </rPr>
      <t>New York Giants</t>
    </r>
    <r>
      <rPr>
        <rFont val="Poppins, Arial, Helvetica, sans-serif"/>
        <sz val="9.0"/>
      </rPr>
      <t xml:space="preserve"> (NYG)</t>
    </r>
  </si>
  <si>
    <t>28/52</t>
  </si>
  <si>
    <r>
      <rPr>
        <rFont val="&quot;TT Norms&quot;, ui-system, sans-serif"/>
        <color rgb="FF1155CC"/>
        <sz val="11.0"/>
        <u/>
      </rPr>
      <t>Bucky Irving</t>
    </r>
    <r>
      <rPr>
        <rFont val="&quot;TT Norms&quot;, ui-system, sans-serif"/>
        <sz val="11.0"/>
      </rPr>
      <t xml:space="preserve"> RB  TB</t>
    </r>
  </si>
  <si>
    <r>
      <rPr>
        <rFont val="Poppins, Arial, Helvetica, sans-serif"/>
        <color rgb="FF1155CC"/>
        <sz val="9.0"/>
        <u/>
      </rPr>
      <t>Justin Fields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</si>
  <si>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Elliott</t>
    </r>
    <r>
      <rPr>
        <rFont val="Roboto, sans-serif"/>
      </rPr>
      <t xml:space="preserve">
PHIK20</t>
    </r>
  </si>
  <si>
    <t>24/78</t>
  </si>
  <si>
    <r>
      <rPr>
        <rFont val="&quot;TT Norms&quot;, ui-system, sans-serif"/>
        <color rgb="FF1155CC"/>
        <sz val="11.0"/>
        <u/>
      </rPr>
      <t>Brock Bowers</t>
    </r>
    <r>
      <rPr>
        <rFont val="&quot;TT Norms&quot;, ui-system, sans-serif"/>
        <sz val="11.0"/>
      </rPr>
      <t xml:space="preserve"> TE  LV</t>
    </r>
  </si>
  <si>
    <r>
      <rPr>
        <rFont val="Poppins, Arial, Helvetica, sans-serif"/>
        <color rgb="FF1155CC"/>
        <sz val="9.0"/>
        <u/>
      </rPr>
      <t>Jawhar Jordan</t>
    </r>
    <r>
      <rPr>
        <rFont val="Poppins, Arial, Helvetica, sans-serif"/>
        <sz val="9.0"/>
      </rPr>
      <t xml:space="preserve"> (HOU)</t>
    </r>
  </si>
  <si>
    <t>21/64</t>
  </si>
  <si>
    <r>
      <rPr>
        <rFont val="&quot;TT Norms&quot;, ui-system, sans-serif"/>
        <color rgb="FF1155CC"/>
        <sz val="11.0"/>
        <u/>
      </rPr>
      <t>Bhayshul Tuten</t>
    </r>
    <r>
      <rPr>
        <rFont val="&quot;TT Norms&quot;, ui-system, sans-serif"/>
        <sz val="11.0"/>
      </rPr>
      <t xml:space="preserve"> RB  JAC</t>
    </r>
  </si>
  <si>
    <t>RB105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</si>
  <si>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Moody</t>
    </r>
    <r>
      <rPr>
        <rFont val="Roboto, sans-serif"/>
      </rPr>
      <t xml:space="preserve">
WASK21</t>
    </r>
  </si>
  <si>
    <r>
      <rPr>
        <rFont val="Poppins, Arial, Helvetica, sans-serif"/>
        <color rgb="FF1155CC"/>
        <sz val="9.0"/>
        <u/>
      </rPr>
      <t>Xavier Hutchinson</t>
    </r>
    <r>
      <rPr>
        <rFont val="Poppins, Arial, Helvetica, sans-serif"/>
        <sz val="9.0"/>
      </rPr>
      <t xml:space="preserve"> (HOU)</t>
    </r>
  </si>
  <si>
    <t>30/60</t>
  </si>
  <si>
    <r>
      <rPr>
        <rFont val="&quot;TT Norms&quot;, ui-system, sans-serif"/>
        <color rgb="FF1155CC"/>
        <sz val="11.0"/>
        <u/>
      </rPr>
      <t>Tee Higgins</t>
    </r>
    <r>
      <rPr>
        <rFont val="&quot;TT Norms&quot;, ui-system, sans-serif"/>
        <sz val="11.0"/>
      </rPr>
      <t xml:space="preserve"> WR  CIN</t>
    </r>
  </si>
  <si>
    <t>WR128</t>
  </si>
  <si>
    <r>
      <rPr>
        <rFont val="Poppins, Arial, Helvetica, sans-serif"/>
        <color rgb="FF1155CC"/>
        <sz val="9.0"/>
        <u/>
      </rPr>
      <t>Tampa Bay Buccaneers</t>
    </r>
    <r>
      <rPr>
        <rFont val="Poppins, Arial, Helvetica, sans-serif"/>
        <sz val="9.0"/>
      </rPr>
      <t xml:space="preserve"> (TB)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</si>
  <si>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Noel</t>
    </r>
    <r>
      <rPr>
        <rFont val="Roboto, sans-serif"/>
      </rPr>
      <t xml:space="preserve">
HOUWR73</t>
    </r>
  </si>
  <si>
    <t>36/50</t>
  </si>
  <si>
    <r>
      <rPr>
        <rFont val="&quot;TT Norms&quot;, ui-system, sans-serif"/>
        <color rgb="FF1155CC"/>
        <sz val="11.0"/>
        <u/>
      </rPr>
      <t>Travis Etienne</t>
    </r>
    <r>
      <rPr>
        <rFont val="&quot;TT Norms&quot;, ui-system, sans-serif"/>
        <sz val="11.0"/>
      </rPr>
      <t xml:space="preserve"> RB  NO</t>
    </r>
  </si>
  <si>
    <r>
      <rPr>
        <rFont val="Poppins, Arial, Helvetica, sans-serif"/>
        <color rgb="FF1155CC"/>
        <sz val="9.0"/>
        <u/>
      </rPr>
      <t>Raheim Sanders</t>
    </r>
    <r>
      <rPr>
        <rFont val="Poppins, Arial, Helvetica, sans-serif"/>
        <sz val="9.0"/>
      </rPr>
      <t xml:space="preserve"> (CLE)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</si>
  <si>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ajee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UNSRB66</t>
    </r>
  </si>
  <si>
    <t>28/55</t>
  </si>
  <si>
    <t>RB106</t>
  </si>
  <si>
    <r>
      <rPr>
        <rFont val="&quot;TT Norms&quot;, ui-system, sans-serif"/>
        <color rgb="FF1155CC"/>
        <sz val="11.0"/>
        <u/>
      </rPr>
      <t>Quinshon Judkins</t>
    </r>
    <r>
      <rPr>
        <rFont val="&quot;TT Norms&quot;, ui-system, sans-serif"/>
        <sz val="11.0"/>
      </rPr>
      <t xml:space="preserve"> RB  CLE</t>
    </r>
  </si>
  <si>
    <r>
      <rPr>
        <rFont val="Poppins, Arial, Helvetica, sans-serif"/>
        <color rgb="FF1155CC"/>
        <sz val="9.0"/>
        <u/>
      </rPr>
      <t>Nick Chubb</t>
    </r>
    <r>
      <rPr>
        <rFont val="Poppins, Arial, Helvetica, sans-serif"/>
        <sz val="9.0"/>
      </rPr>
      <t xml:space="preserve"> (FA)</t>
    </r>
  </si>
  <si>
    <t>RB107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</si>
  <si>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Orleans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Saints</t>
    </r>
    <r>
      <rPr>
        <rFont val="Roboto, sans-serif"/>
      </rPr>
      <t xml:space="preserve">
NODEF22</t>
    </r>
  </si>
  <si>
    <r>
      <rPr>
        <rFont val="Poppins, Arial, Helvetica, sans-serif"/>
        <color rgb="FF1155CC"/>
        <sz val="9.0"/>
        <u/>
      </rPr>
      <t>Dont'e Thornton Jr.</t>
    </r>
    <r>
      <rPr>
        <rFont val="Poppins, Arial, Helvetica, sans-serif"/>
        <sz val="9.0"/>
      </rPr>
      <t xml:space="preserve"> (LV)</t>
    </r>
  </si>
  <si>
    <t>32/71</t>
  </si>
  <si>
    <r>
      <rPr>
        <rFont val="&quot;TT Norms&quot;, ui-system, sans-serif"/>
        <color rgb="FF1155CC"/>
        <sz val="11.0"/>
        <u/>
      </rPr>
      <t>Zay Flowers</t>
    </r>
    <r>
      <rPr>
        <rFont val="&quot;TT Norms&quot;, ui-system, sans-serif"/>
        <sz val="11.0"/>
      </rPr>
      <t xml:space="preserve"> WR  BAL</t>
    </r>
  </si>
  <si>
    <t>WR129</t>
  </si>
  <si>
    <r>
      <rPr>
        <rFont val="Poppins, Arial, Helvetica, sans-serif"/>
        <color rgb="FF1155CC"/>
        <sz val="9.0"/>
        <u/>
      </rPr>
      <t>John Metchie III</t>
    </r>
    <r>
      <rPr>
        <rFont val="Poppins, Arial, Helvetica, sans-serif"/>
        <sz val="9.0"/>
      </rPr>
      <t xml:space="preserve"> (CAR)</t>
    </r>
  </si>
  <si>
    <t>38/52</t>
  </si>
  <si>
    <r>
      <rPr>
        <rFont val="&quot;TT Norms&quot;, ui-system, sans-serif"/>
        <color rgb="FF1155CC"/>
        <sz val="11.0"/>
        <u/>
      </rPr>
      <t>Jadarian Price</t>
    </r>
    <r>
      <rPr>
        <rFont val="&quot;TT Norms&quot;, ui-system, sans-serif"/>
        <sz val="11.0"/>
      </rPr>
      <t xml:space="preserve"> RB  SEA</t>
    </r>
  </si>
  <si>
    <t>DEF25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</si>
  <si>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ennessee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Titans</t>
    </r>
    <r>
      <rPr>
        <rFont val="Roboto, sans-serif"/>
      </rPr>
      <t xml:space="preserve">
TENDEF23</t>
    </r>
  </si>
  <si>
    <t>WR130</t>
  </si>
  <si>
    <r>
      <rPr>
        <rFont val="Poppins, Arial, Helvetica, sans-serif"/>
        <color rgb="FF1155CC"/>
        <sz val="9.0"/>
        <u/>
      </rPr>
      <t>Noah Fant</t>
    </r>
    <r>
      <rPr>
        <rFont val="Poppins, Arial, Helvetica, sans-serif"/>
        <sz val="9.0"/>
      </rPr>
      <t xml:space="preserve"> (NO)</t>
    </r>
  </si>
  <si>
    <t>33/72</t>
  </si>
  <si>
    <r>
      <rPr>
        <rFont val="&quot;TT Norms&quot;, ui-system, sans-serif"/>
        <color rgb="FF1155CC"/>
        <sz val="11.0"/>
        <u/>
      </rPr>
      <t>Jayden Daniels</t>
    </r>
    <r>
      <rPr>
        <rFont val="&quot;TT Norms&quot;, ui-system, sans-serif"/>
        <sz val="11.0"/>
      </rPr>
      <t xml:space="preserve"> QB  WAS</t>
    </r>
  </si>
  <si>
    <t>TE51</t>
  </si>
  <si>
    <t>DEF27</t>
  </si>
  <si>
    <r>
      <rPr>
        <rFont val="Poppins, Arial, Helvetica, sans-serif"/>
        <color rgb="FF1155CC"/>
        <sz val="9.0"/>
        <u/>
      </rPr>
      <t>Ty Simpson</t>
    </r>
    <r>
      <rPr>
        <rFont val="Poppins, Arial, Helvetica, sans-serif"/>
        <sz val="9.0"/>
      </rPr>
      <t xml:space="preserve"> (LAR)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</si>
  <si>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Black</t>
    </r>
    <r>
      <rPr>
        <rFont val="Roboto, sans-serif"/>
      </rPr>
      <t xml:space="preserve">
SFRB67</t>
    </r>
  </si>
  <si>
    <t>28/70</t>
  </si>
  <si>
    <r>
      <rPr>
        <rFont val="&quot;TT Norms&quot;, ui-system, sans-serif"/>
        <color rgb="FF1155CC"/>
        <sz val="11.0"/>
        <u/>
      </rPr>
      <t>Emeka Egbuka</t>
    </r>
    <r>
      <rPr>
        <rFont val="&quot;TT Norms&quot;, ui-system, sans-serif"/>
        <sz val="11.0"/>
      </rPr>
      <t xml:space="preserve"> WR  TB</t>
    </r>
  </si>
  <si>
    <t>QB40</t>
  </si>
  <si>
    <r>
      <rPr>
        <rFont val="Poppins, Arial, Helvetica, sans-serif"/>
        <color rgb="FF1155CC"/>
        <sz val="9.0"/>
        <u/>
      </rPr>
      <t>KaVontae Turpin</t>
    </r>
    <r>
      <rPr>
        <rFont val="Poppins, Arial, Helvetica, sans-serif"/>
        <sz val="9.0"/>
      </rPr>
      <t xml:space="preserve"> (DAL)</t>
    </r>
  </si>
  <si>
    <t>39/67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</si>
  <si>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manuel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SEARB68</t>
    </r>
  </si>
  <si>
    <r>
      <rPr>
        <rFont val="&quot;TT Norms&quot;, ui-system, sans-serif"/>
        <color rgb="FF1155CC"/>
        <sz val="11.0"/>
        <u/>
      </rPr>
      <t>Jalen Hurts</t>
    </r>
    <r>
      <rPr>
        <rFont val="&quot;TT Norms&quot;, ui-system, sans-serif"/>
        <sz val="11.0"/>
      </rPr>
      <t xml:space="preserve"> QB  PHI</t>
    </r>
  </si>
  <si>
    <t>WR131</t>
  </si>
  <si>
    <r>
      <rPr>
        <rFont val="Poppins, Arial, Helvetica, sans-serif"/>
        <color rgb="FF1155CC"/>
        <sz val="9.0"/>
        <u/>
      </rPr>
      <t>Tutu Atwell</t>
    </r>
    <r>
      <rPr>
        <rFont val="Poppins, Arial, Helvetica, sans-serif"/>
        <sz val="9.0"/>
      </rPr>
      <t xml:space="preserve"> (MIA)</t>
    </r>
  </si>
  <si>
    <t>22/66</t>
  </si>
  <si>
    <r>
      <rPr>
        <rFont val="&quot;TT Norms&quot;, ui-system, sans-serif"/>
        <color rgb="FF1155CC"/>
        <sz val="11.0"/>
        <u/>
      </rPr>
      <t>Jameson Williams</t>
    </r>
    <r>
      <rPr>
        <rFont val="&quot;TT Norms&quot;, ui-system, sans-serif"/>
        <sz val="11.0"/>
      </rPr>
      <t xml:space="preserve"> WR  DET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</si>
  <si>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unnar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Helm</t>
    </r>
    <r>
      <rPr>
        <rFont val="Roboto, sans-serif"/>
      </rPr>
      <t xml:space="preserve">
TENTE28</t>
    </r>
  </si>
  <si>
    <t>WR132</t>
  </si>
  <si>
    <r>
      <rPr>
        <rFont val="Poppins, Arial, Helvetica, sans-serif"/>
        <color rgb="FF1155CC"/>
        <sz val="9.0"/>
        <u/>
      </rPr>
      <t>Kalif Raymond</t>
    </r>
    <r>
      <rPr>
        <rFont val="Poppins, Arial, Helvetica, sans-serif"/>
        <sz val="9.0"/>
      </rPr>
      <t xml:space="preserve"> (CHI)</t>
    </r>
  </si>
  <si>
    <t>33/62</t>
  </si>
  <si>
    <r>
      <rPr>
        <rFont val="&quot;TT Norms&quot;, ui-system, sans-serif"/>
        <color rgb="FF1155CC"/>
        <sz val="11.0"/>
        <u/>
      </rPr>
      <t>DeVonta Smith</t>
    </r>
    <r>
      <rPr>
        <rFont val="&quot;TT Norms&quot;, ui-system, sans-serif"/>
        <sz val="11.0"/>
      </rPr>
      <t xml:space="preserve"> WR  PHI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</si>
  <si>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ooper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Kupp</t>
    </r>
    <r>
      <rPr>
        <rFont val="Roboto, sans-serif"/>
      </rPr>
      <t xml:space="preserve">
SEAWR74</t>
    </r>
  </si>
  <si>
    <t>WR133</t>
  </si>
  <si>
    <r>
      <rPr>
        <rFont val="Poppins, Arial, Helvetica, sans-serif"/>
        <color rgb="FF1155CC"/>
        <sz val="9.0"/>
        <u/>
      </rPr>
      <t>Jaylin Lane</t>
    </r>
    <r>
      <rPr>
        <rFont val="Poppins, Arial, Helvetica, sans-serif"/>
        <sz val="9.0"/>
      </rPr>
      <t xml:space="preserve"> (WAS)</t>
    </r>
  </si>
  <si>
    <t>31/69</t>
  </si>
  <si>
    <r>
      <rPr>
        <rFont val="&quot;TT Norms&quot;, ui-system, sans-serif"/>
        <color rgb="FF1155CC"/>
        <sz val="11.0"/>
        <u/>
      </rPr>
      <t>Colston Loveland</t>
    </r>
    <r>
      <rPr>
        <rFont val="&quot;TT Norms&quot;, ui-system, sans-serif"/>
        <sz val="11.0"/>
      </rPr>
      <t xml:space="preserve"> TE  CHI</t>
    </r>
  </si>
  <si>
    <t>WR134</t>
  </si>
  <si>
    <r>
      <rPr>
        <rFont val="Poppins, Arial, Helvetica, sans-serif"/>
        <color rgb="FF1155CC"/>
        <sz val="9.0"/>
        <u/>
      </rPr>
      <t>Luke Musgrave</t>
    </r>
    <r>
      <rPr>
        <rFont val="Poppins, Arial, Helvetica, sans-serif"/>
        <sz val="9.0"/>
      </rPr>
      <t xml:space="preserve"> (GB)</t>
    </r>
  </si>
  <si>
    <t>47/72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</si>
  <si>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yan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Fitzgerald</t>
    </r>
    <r>
      <rPr>
        <rFont val="Roboto, sans-serif"/>
      </rPr>
      <t xml:space="preserve">
CARK22</t>
    </r>
  </si>
  <si>
    <r>
      <rPr>
        <rFont val="&quot;TT Norms&quot;, ui-system, sans-serif"/>
        <color rgb="FF1155CC"/>
        <sz val="11.0"/>
        <u/>
      </rPr>
      <t>David Montgomery</t>
    </r>
    <r>
      <rPr>
        <rFont val="&quot;TT Norms&quot;, ui-system, sans-serif"/>
        <sz val="11.0"/>
      </rPr>
      <t xml:space="preserve"> RB  HOU</t>
    </r>
  </si>
  <si>
    <t>TE52</t>
  </si>
  <si>
    <r>
      <rPr>
        <rFont val="Poppins, Arial, Helvetica, sans-serif"/>
        <color rgb="FF1155CC"/>
        <sz val="9.0"/>
        <u/>
      </rPr>
      <t>Nick Folk</t>
    </r>
    <r>
      <rPr>
        <rFont val="Poppins, Arial, Helvetica, sans-serif"/>
        <sz val="9.0"/>
      </rPr>
      <t xml:space="preserve"> (ATL)</t>
    </r>
  </si>
  <si>
    <t>35/97</t>
  </si>
  <si>
    <r>
      <rPr>
        <rFont val="&quot;TT Norms&quot;, ui-system, sans-serif"/>
        <color rgb="FF1155CC"/>
        <sz val="11.0"/>
        <u/>
      </rPr>
      <t>Rico Dowdle</t>
    </r>
    <r>
      <rPr>
        <rFont val="&quot;TT Norms&quot;, ui-system, sans-serif"/>
        <sz val="11.0"/>
      </rPr>
      <t xml:space="preserve"> RB  PIT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</si>
  <si>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randon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Aiyuk</t>
    </r>
    <r>
      <rPr>
        <rFont val="Roboto, sans-serif"/>
      </rPr>
      <t xml:space="preserve">
UNSWR75</t>
    </r>
  </si>
  <si>
    <r>
      <rPr>
        <rFont val="Poppins, Arial, Helvetica, sans-serif"/>
        <color rgb="FF1155CC"/>
        <sz val="9.0"/>
        <u/>
      </rPr>
      <t>Tennessee Titans</t>
    </r>
    <r>
      <rPr>
        <rFont val="Poppins, Arial, Helvetica, sans-serif"/>
        <sz val="9.0"/>
      </rPr>
      <t xml:space="preserve"> (TEN)</t>
    </r>
  </si>
  <si>
    <t>39/68</t>
  </si>
  <si>
    <r>
      <rPr>
        <rFont val="&quot;TT Norms&quot;, ui-system, sans-serif"/>
        <color rgb="FF1155CC"/>
        <sz val="11.0"/>
        <u/>
      </rPr>
      <t>Terry McLaurin</t>
    </r>
    <r>
      <rPr>
        <rFont val="&quot;TT Norms&quot;, ui-system, sans-serif"/>
        <sz val="11.0"/>
      </rPr>
      <t xml:space="preserve"> WR  WAS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</si>
  <si>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incinnati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Bengals</t>
    </r>
    <r>
      <rPr>
        <rFont val="Roboto, sans-serif"/>
      </rPr>
      <t xml:space="preserve">
CINDEF24</t>
    </r>
  </si>
  <si>
    <t>46/73</t>
  </si>
  <si>
    <r>
      <rPr>
        <rFont val="Poppins, Arial, Helvetica, sans-serif"/>
        <color rgb="FF1155CC"/>
        <sz val="9.0"/>
        <u/>
      </rPr>
      <t>Anthony Richardson Sr.</t>
    </r>
    <r>
      <rPr>
        <rFont val="Poppins, Arial, Helvetica, sans-serif"/>
        <sz val="9.0"/>
      </rPr>
      <t xml:space="preserve"> (IND)</t>
    </r>
  </si>
  <si>
    <r>
      <rPr>
        <rFont val="&quot;TT Norms&quot;, ui-system, sans-serif"/>
        <color rgb="FF1155CC"/>
        <sz val="11.0"/>
        <u/>
      </rPr>
      <t>RJ Harvey</t>
    </r>
    <r>
      <rPr>
        <rFont val="&quot;TT Norms&quot;, ui-system, sans-serif"/>
        <sz val="11.0"/>
      </rPr>
      <t xml:space="preserve"> RB  DEN</t>
    </r>
  </si>
  <si>
    <t>QB41</t>
  </si>
  <si>
    <r>
      <rPr>
        <rFont val="Poppins, Arial, Helvetica, sans-serif"/>
        <color rgb="FF1155CC"/>
        <sz val="9.0"/>
        <u/>
      </rPr>
      <t>Tyler Bass</t>
    </r>
    <r>
      <rPr>
        <rFont val="Poppins, Arial, Helvetica, sans-serif"/>
        <sz val="9.0"/>
      </rPr>
      <t xml:space="preserve"> (BUF)</t>
    </r>
  </si>
  <si>
    <t>DEF24</t>
  </si>
  <si>
    <t>43/68</t>
  </si>
  <si>
    <r>
      <rPr>
        <rFont val="&quot;TT Norms&quot;, ui-system, sans-serif"/>
        <color rgb="FF1155CC"/>
        <sz val="11.0"/>
        <u/>
      </rPr>
      <t>Rome Odunze</t>
    </r>
    <r>
      <rPr>
        <rFont val="&quot;TT Norms&quot;, ui-system, sans-serif"/>
        <sz val="11.0"/>
      </rPr>
      <t xml:space="preserve"> WR  CHI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</si>
  <si>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yan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Flournoy</t>
    </r>
    <r>
      <rPr>
        <rFont val="Roboto, sans-serif"/>
      </rPr>
      <t xml:space="preserve">
DALWR76</t>
    </r>
  </si>
  <si>
    <t>48/67</t>
  </si>
  <si>
    <r>
      <rPr>
        <rFont val="Poppins, Arial, Helvetica, sans-serif"/>
        <color rgb="FF1155CC"/>
        <sz val="9.0"/>
        <u/>
      </rPr>
      <t>Savion Williams</t>
    </r>
    <r>
      <rPr>
        <rFont val="Poppins, Arial, Helvetica, sans-serif"/>
        <sz val="9.0"/>
      </rPr>
      <t xml:space="preserve"> (GB)</t>
    </r>
  </si>
  <si>
    <r>
      <rPr>
        <rFont val="&quot;TT Norms&quot;, ui-system, sans-serif"/>
        <color rgb="FF1155CC"/>
        <sz val="11.0"/>
        <u/>
      </rPr>
      <t>Davante Adams</t>
    </r>
    <r>
      <rPr>
        <rFont val="&quot;TT Norms&quot;, ui-system, sans-serif"/>
        <sz val="11.0"/>
      </rPr>
      <t xml:space="preserve"> WR  LAR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</si>
  <si>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achariah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Branch</t>
    </r>
    <r>
      <rPr>
        <rFont val="Roboto, sans-serif"/>
      </rPr>
      <t xml:space="preserve">
ATLWR77</t>
    </r>
  </si>
  <si>
    <t>WR135</t>
  </si>
  <si>
    <r>
      <rPr>
        <rFont val="Poppins, Arial, Helvetica, sans-serif"/>
        <color rgb="FF1155CC"/>
        <sz val="9.0"/>
        <u/>
      </rPr>
      <t>Nick Westbrook-Ikhine</t>
    </r>
    <r>
      <rPr>
        <rFont val="Poppins, Arial, Helvetica, sans-serif"/>
        <sz val="9.0"/>
      </rPr>
      <t xml:space="preserve"> (IND)</t>
    </r>
  </si>
  <si>
    <t>37/79</t>
  </si>
  <si>
    <r>
      <rPr>
        <rFont val="&quot;TT Norms&quot;, ui-system, sans-serif"/>
        <color rgb="FF1155CC"/>
        <sz val="11.0"/>
        <u/>
      </rPr>
      <t>TreVeyon Henderson</t>
    </r>
    <r>
      <rPr>
        <rFont val="&quot;TT Norms&quot;, ui-system, sans-serif"/>
        <sz val="11.0"/>
      </rPr>
      <t xml:space="preserve"> RB  NE</t>
    </r>
  </si>
  <si>
    <t>WR136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</si>
  <si>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Miller</t>
    </r>
    <r>
      <rPr>
        <rFont val="Roboto, sans-serif"/>
      </rPr>
      <t xml:space="preserve">
NORB69</t>
    </r>
  </si>
  <si>
    <r>
      <rPr>
        <rFont val="Poppins, Arial, Helvetica, sans-serif"/>
        <color rgb="FF1155CC"/>
        <sz val="9.0"/>
        <u/>
      </rPr>
      <t>Kevin Coleman Jr.</t>
    </r>
    <r>
      <rPr>
        <rFont val="Poppins, Arial, Helvetica, sans-serif"/>
        <sz val="9.0"/>
      </rPr>
      <t xml:space="preserve"> (MIA)</t>
    </r>
  </si>
  <si>
    <t>47/74</t>
  </si>
  <si>
    <r>
      <rPr>
        <rFont val="&quot;TT Norms&quot;, ui-system, sans-serif"/>
        <color rgb="FF1155CC"/>
        <sz val="11.0"/>
        <u/>
      </rPr>
      <t>Brock Purdy</t>
    </r>
    <r>
      <rPr>
        <rFont val="&quot;TT Norms&quot;, ui-system, sans-serif"/>
        <sz val="11.0"/>
      </rPr>
      <t xml:space="preserve"> QB  SF</t>
    </r>
  </si>
  <si>
    <t>WR137</t>
  </si>
  <si>
    <r>
      <rPr>
        <rFont val="Poppins, Arial, Helvetica, sans-serif"/>
        <color rgb="FF1155CC"/>
        <sz val="9.0"/>
        <u/>
      </rPr>
      <t>Zane Gonzalez</t>
    </r>
    <r>
      <rPr>
        <rFont val="Poppins, Arial, Helvetica, sans-serif"/>
        <sz val="9.0"/>
      </rPr>
      <t xml:space="preserve"> (MIA)</t>
    </r>
  </si>
  <si>
    <t>41/110</t>
  </si>
  <si>
    <r>
      <rPr>
        <rFont val="&quot;TT Norms&quot;, ui-system, sans-serif"/>
        <color rgb="FF1155CC"/>
        <sz val="11.0"/>
        <u/>
      </rPr>
      <t>Tetairoa McMillan</t>
    </r>
    <r>
      <rPr>
        <rFont val="&quot;TT Norms&quot;, ui-system, sans-serif"/>
        <sz val="11.0"/>
      </rPr>
      <t xml:space="preserve"> WR  CAR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</si>
  <si>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York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Jets</t>
    </r>
    <r>
      <rPr>
        <rFont val="Roboto, sans-serif"/>
      </rPr>
      <t xml:space="preserve">
NYJDEF25</t>
    </r>
  </si>
  <si>
    <t>47/90</t>
  </si>
  <si>
    <r>
      <rPr>
        <rFont val="&quot;TT Norms&quot;, ui-system, sans-serif"/>
        <color rgb="FF1155CC"/>
        <sz val="11.0"/>
        <u/>
      </rPr>
      <t>Alec Pierce</t>
    </r>
    <r>
      <rPr>
        <rFont val="&quot;TT Norms&quot;, ui-system, sans-serif"/>
        <sz val="11.0"/>
      </rPr>
      <t xml:space="preserve"> WR  IND</t>
    </r>
  </si>
  <si>
    <t>49/79</t>
  </si>
  <si>
    <r>
      <rPr>
        <rFont val="&quot;TT Norms&quot;, ui-system, sans-serif"/>
        <color rgb="FF1155CC"/>
        <sz val="11.0"/>
        <u/>
      </rPr>
      <t>Dallas Goedert</t>
    </r>
    <r>
      <rPr>
        <rFont val="&quot;TT Norms&quot;, ui-system, sans-serif"/>
        <sz val="11.0"/>
      </rPr>
      <t xml:space="preserve"> TE  PHI</t>
    </r>
  </si>
  <si>
    <r>
      <rPr>
        <rFont val="Poppins, Arial, Helvetica, sans-serif"/>
        <color rgb="FF1155CC"/>
        <sz val="9.0"/>
        <u/>
      </rPr>
      <t>Washington Commanders</t>
    </r>
    <r>
      <rPr>
        <rFont val="Poppins, Arial, Helvetica, sans-serif"/>
        <sz val="9.0"/>
      </rPr>
      <t xml:space="preserve"> (WAS)</t>
    </r>
  </si>
  <si>
    <t>DEF30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</si>
  <si>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emond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Claiborne</t>
    </r>
    <r>
      <rPr>
        <rFont val="Roboto, sans-serif"/>
      </rPr>
      <t xml:space="preserve">
MINRB70</t>
    </r>
  </si>
  <si>
    <t>42/92</t>
  </si>
  <si>
    <r>
      <rPr>
        <rFont val="&quot;TT Norms&quot;, ui-system, sans-serif"/>
        <color rgb="FF1155CC"/>
        <sz val="11.0"/>
        <u/>
      </rPr>
      <t>Garrett Wilson</t>
    </r>
    <r>
      <rPr>
        <rFont val="&quot;TT Norms&quot;, ui-system, sans-serif"/>
        <sz val="11.0"/>
      </rPr>
      <t xml:space="preserve"> WR  NYJ</t>
    </r>
  </si>
  <si>
    <r>
      <rPr>
        <rFont val="Poppins, Arial, Helvetica, sans-serif"/>
        <color rgb="FF1155CC"/>
        <sz val="9.0"/>
        <u/>
      </rPr>
      <t>Trey Smack</t>
    </r>
    <r>
      <rPr>
        <rFont val="Poppins, Arial, Helvetica, sans-serif"/>
        <sz val="9.0"/>
      </rPr>
      <t xml:space="preserve"> (GB)</t>
    </r>
  </si>
  <si>
    <t>49/81</t>
  </si>
  <si>
    <r>
      <rPr>
        <rFont val="&quot;TT Norms&quot;, ui-system, sans-serif"/>
        <color rgb="FF1155CC"/>
        <sz val="11.0"/>
        <u/>
      </rPr>
      <t>Matthew Stafford</t>
    </r>
    <r>
      <rPr>
        <rFont val="&quot;TT Norms&quot;, ui-system, sans-serif"/>
        <sz val="11.0"/>
      </rPr>
      <t xml:space="preserve"> QB  LAR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</si>
  <si>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Cowboys</t>
    </r>
    <r>
      <rPr>
        <rFont val="Roboto, sans-serif"/>
      </rPr>
      <t xml:space="preserve">
DALDEF26</t>
    </r>
  </si>
  <si>
    <r>
      <rPr>
        <rFont val="Poppins, Arial, Helvetica, sans-serif"/>
        <color rgb="FF1155CC"/>
        <sz val="9.0"/>
        <u/>
      </rPr>
      <t>Kyle Juszczyk</t>
    </r>
    <r>
      <rPr>
        <rFont val="Poppins, Arial, Helvetica, sans-serif"/>
        <sz val="9.0"/>
      </rPr>
      <t xml:space="preserve"> (SF)</t>
    </r>
  </si>
  <si>
    <t>27/106</t>
  </si>
  <si>
    <r>
      <rPr>
        <rFont val="&quot;TT Norms&quot;, ui-system, sans-serif"/>
        <color rgb="FF1155CC"/>
        <sz val="11.0"/>
        <u/>
      </rPr>
      <t>Tyler Warren</t>
    </r>
    <r>
      <rPr>
        <rFont val="&quot;TT Norms&quot;, ui-system, sans-serif"/>
        <sz val="11.0"/>
      </rPr>
      <t xml:space="preserve"> TE  IND</t>
    </r>
  </si>
  <si>
    <t>RB108</t>
  </si>
  <si>
    <r>
      <rPr>
        <rFont val="Poppins, Arial, Helvetica, sans-serif"/>
        <color rgb="FF1155CC"/>
        <sz val="9.0"/>
        <u/>
      </rPr>
      <t>Ryan Fitzgerald</t>
    </r>
    <r>
      <rPr>
        <rFont val="Poppins, Arial, Helvetica, sans-serif"/>
        <sz val="9.0"/>
      </rPr>
      <t xml:space="preserve"> (CAR)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</si>
  <si>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as Vegas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Raiders</t>
    </r>
    <r>
      <rPr>
        <rFont val="Roboto, sans-serif"/>
      </rPr>
      <t xml:space="preserve">
LVRDEF27</t>
    </r>
  </si>
  <si>
    <t>62/87</t>
  </si>
  <si>
    <r>
      <rPr>
        <rFont val="&quot;TT Norms&quot;, ui-system, sans-serif"/>
        <color rgb="FF1155CC"/>
        <sz val="11.0"/>
        <u/>
      </rPr>
      <t>Ladd McConkey</t>
    </r>
    <r>
      <rPr>
        <rFont val="&quot;TT Norms&quot;, ui-system, sans-serif"/>
        <sz val="11.0"/>
      </rPr>
      <t xml:space="preserve"> WR  LAC</t>
    </r>
  </si>
  <si>
    <r>
      <rPr>
        <rFont val="Poppins, Arial, Helvetica, sans-serif"/>
        <color rgb="FF1155CC"/>
        <sz val="9.0"/>
        <u/>
      </rPr>
      <t>Phil Mafah</t>
    </r>
    <r>
      <rPr>
        <rFont val="Poppins, Arial, Helvetica, sans-serif"/>
        <sz val="9.0"/>
      </rPr>
      <t xml:space="preserve"> (DAL)</t>
    </r>
  </si>
  <si>
    <t>DEF29</t>
  </si>
  <si>
    <t>49/92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</si>
  <si>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James</t>
    </r>
    <r>
      <rPr>
        <rFont val="Roboto, sans-serif"/>
      </rPr>
      <t xml:space="preserve">
SFRB71</t>
    </r>
  </si>
  <si>
    <t>RB109</t>
  </si>
  <si>
    <r>
      <rPr>
        <rFont val="&quot;TT Norms&quot;, ui-system, sans-serif"/>
        <color rgb="FF1155CC"/>
        <sz val="11.0"/>
        <u/>
      </rPr>
      <t>J.K. Dobbins</t>
    </r>
    <r>
      <rPr>
        <rFont val="&quot;TT Norms&quot;, ui-system, sans-serif"/>
        <sz val="11.0"/>
      </rPr>
      <t xml:space="preserve"> RB  DEN</t>
    </r>
  </si>
  <si>
    <r>
      <rPr>
        <rFont val="Poppins, Arial, Helvetica, sans-serif"/>
        <color rgb="FF1155CC"/>
        <sz val="9.0"/>
        <u/>
      </rPr>
      <t>Jordan Whittington</t>
    </r>
    <r>
      <rPr>
        <rFont val="Poppins, Arial, Helvetica, sans-serif"/>
        <sz val="9.0"/>
      </rPr>
      <t xml:space="preserve"> (LAR)</t>
    </r>
  </si>
  <si>
    <t>45/92</t>
  </si>
  <si>
    <r>
      <rPr>
        <rFont val="&quot;TT Norms&quot;, ui-system, sans-serif"/>
        <color rgb="FF1155CC"/>
        <sz val="11.0"/>
        <u/>
      </rPr>
      <t>Chuba Hubbard</t>
    </r>
    <r>
      <rPr>
        <rFont val="&quot;TT Norms&quot;, ui-system, sans-serif"/>
        <sz val="11.0"/>
      </rPr>
      <t xml:space="preserve"> RB  CAR</t>
    </r>
  </si>
  <si>
    <t>WR138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</si>
  <si>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Bryant</t>
    </r>
    <r>
      <rPr>
        <rFont val="Roboto, sans-serif"/>
      </rPr>
      <t xml:space="preserve">
DENWR78</t>
    </r>
  </si>
  <si>
    <r>
      <rPr>
        <rFont val="Poppins, Arial, Helvetica, sans-serif"/>
        <color rgb="FF1155CC"/>
        <sz val="9.0"/>
        <u/>
      </rPr>
      <t>Blake Grupe</t>
    </r>
    <r>
      <rPr>
        <rFont val="Poppins, Arial, Helvetica, sans-serif"/>
        <sz val="9.0"/>
      </rPr>
      <t xml:space="preserve"> (IND)</t>
    </r>
  </si>
  <si>
    <t>47/125</t>
  </si>
  <si>
    <r>
      <rPr>
        <rFont val="&quot;TT Norms&quot;, ui-system, sans-serif"/>
        <color rgb="FF1155CC"/>
        <sz val="11.0"/>
        <u/>
      </rPr>
      <t>Luther Burden III</t>
    </r>
    <r>
      <rPr>
        <rFont val="&quot;TT Norms&quot;, ui-system, sans-serif"/>
        <sz val="11.0"/>
      </rPr>
      <t xml:space="preserve"> WR  CHI</t>
    </r>
  </si>
  <si>
    <t>K25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</si>
  <si>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Hunter</t>
    </r>
    <r>
      <rPr>
        <rFont val="Roboto, sans-serif"/>
      </rPr>
      <t xml:space="preserve">
JACWR79</t>
    </r>
  </si>
  <si>
    <t>60/88</t>
  </si>
  <si>
    <r>
      <rPr>
        <rFont val="Poppins, Arial, Helvetica, sans-serif"/>
        <color rgb="FF1155CC"/>
        <sz val="9.0"/>
        <u/>
      </rPr>
      <t>Zavion Thomas</t>
    </r>
    <r>
      <rPr>
        <rFont val="Poppins, Arial, Helvetica, sans-serif"/>
        <sz val="9.0"/>
      </rPr>
      <t xml:space="preserve"> (CHI)</t>
    </r>
  </si>
  <si>
    <r>
      <rPr>
        <rFont val="&quot;TT Norms&quot;, ui-system, sans-serif"/>
        <color rgb="FF1155CC"/>
        <sz val="11.0"/>
        <u/>
      </rPr>
      <t>DJ Moore</t>
    </r>
    <r>
      <rPr>
        <rFont val="&quot;TT Norms&quot;, ui-system, sans-serif"/>
        <sz val="11.0"/>
      </rPr>
      <t xml:space="preserve"> WR  BUF</t>
    </r>
  </si>
  <si>
    <t>21/98</t>
  </si>
  <si>
    <r>
      <rPr>
        <rFont val="&quot;TT Norms&quot;, ui-system, sans-serif"/>
        <color rgb="FF1155CC"/>
        <sz val="11.0"/>
        <u/>
      </rPr>
      <t>Justin Herbert</t>
    </r>
    <r>
      <rPr>
        <rFont val="&quot;TT Norms&quot;, ui-system, sans-serif"/>
        <sz val="11.0"/>
      </rPr>
      <t xml:space="preserve"> QB  LAC</t>
    </r>
  </si>
  <si>
    <t>WR139</t>
  </si>
  <si>
    <r>
      <rPr>
        <rFont val="Poppins, Arial, Helvetica, sans-serif"/>
        <color rgb="FF1155CC"/>
        <sz val="9.0"/>
        <u/>
      </rPr>
      <t>Dameon Pierce</t>
    </r>
    <r>
      <rPr>
        <rFont val="Poppins, Arial, Helvetica, sans-serif"/>
        <sz val="9.0"/>
      </rPr>
      <t xml:space="preserve"> (PHI)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</si>
  <si>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olby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Parkinson</t>
    </r>
    <r>
      <rPr>
        <rFont val="Roboto, sans-serif"/>
      </rPr>
      <t xml:space="preserve">
LARTE29</t>
    </r>
  </si>
  <si>
    <t>64/91</t>
  </si>
  <si>
    <r>
      <rPr>
        <rFont val="&quot;TT Norms&quot;, ui-system, sans-serif"/>
        <color rgb="FF1155CC"/>
        <sz val="11.0"/>
        <u/>
      </rPr>
      <t>Mike Evans</t>
    </r>
    <r>
      <rPr>
        <rFont val="&quot;TT Norms&quot;, ui-system, sans-serif"/>
        <sz val="11.0"/>
      </rPr>
      <t xml:space="preserve"> WR  SF</t>
    </r>
  </si>
  <si>
    <t>RB110</t>
  </si>
  <si>
    <r>
      <rPr>
        <rFont val="Poppins, Arial, Helvetica, sans-serif"/>
        <color rgb="FF1155CC"/>
        <sz val="9.0"/>
        <u/>
      </rPr>
      <t>Jam Miller</t>
    </r>
    <r>
      <rPr>
        <rFont val="Poppins, Arial, Helvetica, sans-serif"/>
        <sz val="9.0"/>
      </rPr>
      <t xml:space="preserve"> (NE)</t>
    </r>
  </si>
  <si>
    <t>62/94</t>
  </si>
  <si>
    <r>
      <rPr>
        <rFont val="&quot;TT Norms&quot;, ui-system, sans-serif"/>
        <color rgb="FF1155CC"/>
        <sz val="11.0"/>
        <u/>
      </rPr>
      <t>Tucker Kraft</t>
    </r>
    <r>
      <rPr>
        <rFont val="&quot;TT Norms&quot;, ui-system, sans-serif"/>
        <sz val="11.0"/>
      </rPr>
      <t xml:space="preserve"> TE  GB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</si>
  <si>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reg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Dulcich</t>
    </r>
    <r>
      <rPr>
        <rFont val="Roboto, sans-serif"/>
      </rPr>
      <t xml:space="preserve">
MIATE30</t>
    </r>
  </si>
  <si>
    <t>RB111</t>
  </si>
  <si>
    <t>59/91</t>
  </si>
  <si>
    <r>
      <rPr>
        <rFont val="&quot;TT Norms&quot;, ui-system, sans-serif"/>
        <color rgb="FF1155CC"/>
        <sz val="11.0"/>
        <u/>
      </rPr>
      <t>Jaxson Dart</t>
    </r>
    <r>
      <rPr>
        <rFont val="&quot;TT Norms&quot;, ui-system, sans-serif"/>
        <sz val="11.0"/>
      </rPr>
      <t xml:space="preserve"> QB  NYG</t>
    </r>
  </si>
  <si>
    <r>
      <rPr>
        <rFont val="Poppins, Arial, Helvetica, sans-serif"/>
        <color rgb="FF1155CC"/>
        <sz val="9.0"/>
        <u/>
      </rPr>
      <t>Ben Sinnott</t>
    </r>
    <r>
      <rPr>
        <rFont val="Poppins, Arial, Helvetica, sans-serif"/>
        <sz val="9.0"/>
      </rPr>
      <t xml:space="preserve"> (WAS)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</si>
  <si>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ontayvion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Wicks</t>
    </r>
    <r>
      <rPr>
        <rFont val="Roboto, sans-serif"/>
      </rPr>
      <t xml:space="preserve">
PHIWR80</t>
    </r>
  </si>
  <si>
    <t>41/116</t>
  </si>
  <si>
    <r>
      <rPr>
        <rFont val="&quot;TT Norms&quot;, ui-system, sans-serif"/>
        <color rgb="FF1155CC"/>
        <sz val="11.0"/>
        <u/>
      </rPr>
      <t>Tony Pollard</t>
    </r>
    <r>
      <rPr>
        <rFont val="&quot;TT Norms&quot;, ui-system, sans-serif"/>
        <sz val="11.0"/>
      </rPr>
      <t xml:space="preserve"> RB  TEN</t>
    </r>
  </si>
  <si>
    <t>TE53</t>
  </si>
  <si>
    <r>
      <rPr>
        <rFont val="Poppins, Arial, Helvetica, sans-serif"/>
        <color rgb="FF1155CC"/>
        <sz val="9.0"/>
        <u/>
      </rPr>
      <t>Ben Sauls</t>
    </r>
    <r>
      <rPr>
        <rFont val="Poppins, Arial, Helvetica, sans-serif"/>
        <sz val="9.0"/>
      </rPr>
      <t xml:space="preserve"> (NYG)</t>
    </r>
  </si>
  <si>
    <t>60/131</t>
  </si>
  <si>
    <r>
      <rPr>
        <rFont val="&quot;TT Norms&quot;, ui-system, sans-serif"/>
        <color rgb="FF1155CC"/>
        <sz val="11.0"/>
        <u/>
      </rPr>
      <t>Patrick Mahomes</t>
    </r>
    <r>
      <rPr>
        <rFont val="&quot;TT Norms&quot;, ui-system, sans-serif"/>
        <sz val="11.0"/>
      </rPr>
      <t xml:space="preserve"> QB  KC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</si>
  <si>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rashard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KCRB72</t>
    </r>
  </si>
  <si>
    <t>35/138</t>
  </si>
  <si>
    <t>K26</t>
  </si>
  <si>
    <r>
      <rPr>
        <rFont val="&quot;TT Norms&quot;, ui-system, sans-serif"/>
        <color rgb="FF1155CC"/>
        <sz val="11.0"/>
        <u/>
      </rPr>
      <t>Caleb Williams</t>
    </r>
    <r>
      <rPr>
        <rFont val="&quot;TT Norms&quot;, ui-system, sans-serif"/>
        <sz val="11.0"/>
      </rPr>
      <t xml:space="preserve"> QB  CHI</t>
    </r>
  </si>
  <si>
    <r>
      <rPr>
        <rFont val="Poppins, Arial, Helvetica, sans-serif"/>
        <color rgb="FF1155CC"/>
        <sz val="9.0"/>
        <u/>
      </rPr>
      <t>Austin Ekeler</t>
    </r>
    <r>
      <rPr>
        <rFont val="Poppins, Arial, Helvetica, sans-serif"/>
        <sz val="9.0"/>
      </rPr>
      <t xml:space="preserve"> (FA)</t>
    </r>
  </si>
  <si>
    <t>54/111</t>
  </si>
  <si>
    <r>
      <rPr>
        <rFont val="&quot;TT Norms&quot;, ui-system, sans-serif"/>
        <color rgb="FF1155CC"/>
        <sz val="11.0"/>
        <u/>
      </rPr>
      <t>Trevor Lawrence</t>
    </r>
    <r>
      <rPr>
        <rFont val="&quot;TT Norms&quot;, ui-system, sans-serif"/>
        <sz val="11.0"/>
      </rPr>
      <t xml:space="preserve"> QB  JAC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</si>
  <si>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van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McPherson</t>
    </r>
    <r>
      <rPr>
        <rFont val="Roboto, sans-serif"/>
      </rPr>
      <t xml:space="preserve">
CINK23</t>
    </r>
  </si>
  <si>
    <t>RB112</t>
  </si>
  <si>
    <r>
      <rPr>
        <rFont val="Poppins, Arial, Helvetica, sans-serif"/>
        <color rgb="FF1155CC"/>
        <sz val="9.0"/>
        <u/>
      </rPr>
      <t>Rasheen Ali</t>
    </r>
    <r>
      <rPr>
        <rFont val="Poppins, Arial, Helvetica, sans-serif"/>
        <sz val="9.0"/>
      </rPr>
      <t xml:space="preserve"> (BAL)</t>
    </r>
  </si>
  <si>
    <t>50/123</t>
  </si>
  <si>
    <r>
      <rPr>
        <rFont val="&quot;TT Norms&quot;, ui-system, sans-serif"/>
        <color rgb="FF1155CC"/>
        <sz val="11.0"/>
        <u/>
      </rPr>
      <t>Kyle Pitts</t>
    </r>
    <r>
      <rPr>
        <rFont val="&quot;TT Norms&quot;, ui-system, sans-serif"/>
        <sz val="11.0"/>
      </rPr>
      <t xml:space="preserve"> TE  ATL</t>
    </r>
  </si>
  <si>
    <t>RB113</t>
  </si>
  <si>
    <r>
      <rPr>
        <rFont val="Poppins, Arial, Helvetica, sans-serif"/>
        <color rgb="FF1155CC"/>
        <sz val="9.0"/>
        <u/>
      </rPr>
      <t>Miami Dolphins</t>
    </r>
    <r>
      <rPr>
        <rFont val="Poppins, Arial, Helvetica, sans-serif"/>
        <sz val="9.0"/>
      </rPr>
      <t xml:space="preserve"> (MIA)</t>
    </r>
  </si>
  <si>
    <t>63/134</t>
  </si>
  <si>
    <r>
      <rPr>
        <rFont val="&quot;TT Norms&quot;, ui-system, sans-serif"/>
        <color rgb="FF1155CC"/>
        <sz val="11.0"/>
        <u/>
      </rPr>
      <t>Matthew Golden</t>
    </r>
    <r>
      <rPr>
        <rFont val="&quot;TT Norms&quot;, ui-system, sans-serif"/>
        <sz val="11.0"/>
      </rPr>
      <t xml:space="preserve"> WR  GB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</si>
  <si>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Sauls</t>
    </r>
    <r>
      <rPr>
        <rFont val="Roboto, sans-serif"/>
      </rPr>
      <t xml:space="preserve">
NYGK24</t>
    </r>
  </si>
  <si>
    <t>80/85</t>
  </si>
  <si>
    <r>
      <rPr>
        <rFont val="&quot;TT Norms&quot;, ui-system, sans-serif"/>
        <color rgb="FF1155CC"/>
        <sz val="11.0"/>
        <u/>
      </rPr>
      <t>Rhamondre Stevenson</t>
    </r>
    <r>
      <rPr>
        <rFont val="&quot;TT Norms&quot;, ui-system, sans-serif"/>
        <sz val="11.0"/>
      </rPr>
      <t xml:space="preserve"> RB  NE</t>
    </r>
  </si>
  <si>
    <r>
      <rPr>
        <rFont val="Poppins, Arial, Helvetica, sans-serif"/>
        <color rgb="FF1155CC"/>
        <sz val="9.0"/>
        <u/>
      </rPr>
      <t>Tommy Tremble</t>
    </r>
    <r>
      <rPr>
        <rFont val="Poppins, Arial, Helvetica, sans-serif"/>
        <sz val="9.0"/>
      </rPr>
      <t xml:space="preserve"> (CAR)</t>
    </r>
  </si>
  <si>
    <t>62/118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</si>
  <si>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PITRB73</t>
    </r>
  </si>
  <si>
    <r>
      <rPr>
        <rFont val="&quot;TT Norms&quot;, ui-system, sans-serif"/>
        <color rgb="FF1155CC"/>
        <sz val="11.0"/>
        <u/>
      </rPr>
      <t>Jared Goff</t>
    </r>
    <r>
      <rPr>
        <rFont val="&quot;TT Norms&quot;, ui-system, sans-serif"/>
        <sz val="11.0"/>
      </rPr>
      <t xml:space="preserve"> QB  DET</t>
    </r>
  </si>
  <si>
    <t>TE54</t>
  </si>
  <si>
    <r>
      <rPr>
        <rFont val="Poppins, Arial, Helvetica, sans-serif"/>
        <color rgb="FF1155CC"/>
        <sz val="9.0"/>
        <u/>
      </rPr>
      <t>Chad Ryland</t>
    </r>
    <r>
      <rPr>
        <rFont val="Poppins, Arial, Helvetica, sans-serif"/>
        <sz val="9.0"/>
      </rPr>
      <t xml:space="preserve"> (ARI)</t>
    </r>
  </si>
  <si>
    <t>32/117</t>
  </si>
  <si>
    <r>
      <rPr>
        <rFont val="&quot;TT Norms&quot;, ui-system, sans-serif"/>
        <color rgb="FF1155CC"/>
        <sz val="11.0"/>
        <u/>
      </rPr>
      <t>Jaylen Warren</t>
    </r>
    <r>
      <rPr>
        <rFont val="&quot;TT Norms&quot;, ui-system, sans-serif"/>
        <sz val="11.0"/>
      </rPr>
      <t xml:space="preserve"> RB  PIT</t>
    </r>
  </si>
  <si>
    <t>K27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</si>
  <si>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Mooney</t>
    </r>
    <r>
      <rPr>
        <rFont val="Roboto, sans-serif"/>
      </rPr>
      <t xml:space="preserve">
NYGWR81</t>
    </r>
  </si>
  <si>
    <t>41/153</t>
  </si>
  <si>
    <r>
      <rPr>
        <rFont val="&quot;TT Norms&quot;, ui-system, sans-serif"/>
        <color rgb="FF1155CC"/>
        <sz val="11.0"/>
        <u/>
      </rPr>
      <t>Jaylen Waddle</t>
    </r>
    <r>
      <rPr>
        <rFont val="&quot;TT Norms&quot;, ui-system, sans-serif"/>
        <sz val="11.0"/>
      </rPr>
      <t xml:space="preserve"> WR  DEN</t>
    </r>
  </si>
  <si>
    <r>
      <rPr>
        <rFont val="Poppins, Arial, Helvetica, sans-serif"/>
        <color rgb="FF1155CC"/>
        <sz val="9.0"/>
        <u/>
      </rPr>
      <t>Devontez Walker</t>
    </r>
    <r>
      <rPr>
        <rFont val="Poppins, Arial, Helvetica, sans-serif"/>
        <sz val="9.0"/>
      </rPr>
      <t xml:space="preserve"> (BAL)</t>
    </r>
  </si>
  <si>
    <t>62/157</t>
  </si>
  <si>
    <r>
      <rPr>
        <rFont val="&quot;TT Norms&quot;, ui-system, sans-serif"/>
        <color rgb="FF1155CC"/>
        <sz val="11.0"/>
        <u/>
      </rPr>
      <t>George Kittle</t>
    </r>
    <r>
      <rPr>
        <rFont val="&quot;TT Norms&quot;, ui-system, sans-serif"/>
        <sz val="11.0"/>
      </rPr>
      <t xml:space="preserve"> TE  SF</t>
    </r>
  </si>
  <si>
    <t>WR140</t>
  </si>
  <si>
    <r>
      <rPr>
        <rFont val="Poppins, Arial, Helvetica, sans-serif"/>
        <color rgb="FF1155CC"/>
        <sz val="9.0"/>
        <u/>
      </rPr>
      <t>Dyami Brown</t>
    </r>
    <r>
      <rPr>
        <rFont val="Poppins, Arial, Helvetica, sans-serif"/>
        <sz val="9.0"/>
      </rPr>
      <t xml:space="preserve"> (WAS)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</si>
  <si>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Davis</t>
    </r>
    <r>
      <rPr>
        <rFont val="Roboto, sans-serif"/>
      </rPr>
      <t xml:space="preserve">
DALRB74</t>
    </r>
  </si>
  <si>
    <t>61/135</t>
  </si>
  <si>
    <r>
      <rPr>
        <rFont val="&quot;TT Norms&quot;, ui-system, sans-serif"/>
        <color rgb="FF1155CC"/>
        <sz val="11.0"/>
        <u/>
      </rPr>
      <t>Broncos</t>
    </r>
    <r>
      <rPr>
        <rFont val="&quot;TT Norms&quot;, ui-system, sans-serif"/>
        <sz val="11.0"/>
      </rPr>
      <t xml:space="preserve"> DST  DEN</t>
    </r>
  </si>
  <si>
    <t>WR141</t>
  </si>
  <si>
    <t>66/114</t>
  </si>
  <si>
    <r>
      <rPr>
        <rFont val="&quot;TT Norms&quot;, ui-system, sans-serif"/>
        <color rgb="FF1155CC"/>
        <sz val="11.0"/>
        <u/>
      </rPr>
      <t>Jacory Croskey-Merritt</t>
    </r>
    <r>
      <rPr>
        <rFont val="&quot;TT Norms&quot;, ui-system, sans-serif"/>
        <sz val="11.0"/>
      </rPr>
      <t xml:space="preserve"> RB  WAS</t>
    </r>
  </si>
  <si>
    <r>
      <rPr>
        <rFont val="Poppins, Arial, Helvetica, sans-serif"/>
        <color rgb="FF1155CC"/>
        <sz val="9.0"/>
        <u/>
      </rPr>
      <t>Joey Slye</t>
    </r>
    <r>
      <rPr>
        <rFont val="Poppins, Arial, Helvetica, sans-serif"/>
        <sz val="9.0"/>
      </rPr>
      <t xml:space="preserve"> (TEN)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</si>
  <si>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yreek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Hill</t>
    </r>
    <r>
      <rPr>
        <rFont val="Roboto, sans-serif"/>
      </rPr>
      <t xml:space="preserve">
UNSWR82</t>
    </r>
  </si>
  <si>
    <t>73/122</t>
  </si>
  <si>
    <r>
      <rPr>
        <rFont val="&quot;TT Norms&quot;, ui-system, sans-serif"/>
        <color rgb="FF1155CC"/>
        <sz val="11.0"/>
        <u/>
      </rPr>
      <t>Christian Watson</t>
    </r>
    <r>
      <rPr>
        <rFont val="&quot;TT Norms&quot;, ui-system, sans-serif"/>
        <sz val="11.0"/>
      </rPr>
      <t xml:space="preserve"> WR  GB</t>
    </r>
  </si>
  <si>
    <t>K28</t>
  </si>
  <si>
    <r>
      <rPr>
        <rFont val="Poppins, Arial, Helvetica, sans-serif"/>
        <color rgb="FF1155CC"/>
        <sz val="9.0"/>
        <u/>
      </rPr>
      <t>Brandon McManus</t>
    </r>
    <r>
      <rPr>
        <rFont val="Poppins, Arial, Helvetica, sans-serif"/>
        <sz val="9.0"/>
      </rPr>
      <t xml:space="preserve"> (FA)</t>
    </r>
  </si>
  <si>
    <t>69/123</t>
  </si>
  <si>
    <r>
      <rPr>
        <rFont val="&quot;TT Norms&quot;, ui-system, sans-serif"/>
        <color rgb="FF1155CC"/>
        <sz val="11.0"/>
        <u/>
      </rPr>
      <t>Courtland Sutton</t>
    </r>
    <r>
      <rPr>
        <rFont val="&quot;TT Norms&quot;, ui-system, sans-serif"/>
        <sz val="11.0"/>
      </rPr>
      <t xml:space="preserve"> WR  DEN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</si>
  <si>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BUFWR83</t>
    </r>
  </si>
  <si>
    <t>K29</t>
  </si>
  <si>
    <t>74/142</t>
  </si>
  <si>
    <r>
      <rPr>
        <rFont val="Poppins, Arial, Helvetica, sans-serif"/>
        <color rgb="FF1155CC"/>
        <sz val="9.0"/>
        <u/>
      </rPr>
      <t>Terrell Jennings</t>
    </r>
    <r>
      <rPr>
        <rFont val="Poppins, Arial, Helvetica, sans-serif"/>
        <sz val="9.0"/>
      </rPr>
      <t xml:space="preserve"> (NE)</t>
    </r>
  </si>
  <si>
    <r>
      <rPr>
        <rFont val="&quot;TT Norms&quot;, ui-system, sans-serif"/>
        <color rgb="FF1155CC"/>
        <sz val="11.0"/>
        <u/>
      </rPr>
      <t>Marvin Harrison Jr.</t>
    </r>
    <r>
      <rPr>
        <rFont val="&quot;TT Norms&quot;, ui-system, sans-serif"/>
        <sz val="11.0"/>
      </rPr>
      <t xml:space="preserve"> WR  ARI</t>
    </r>
  </si>
  <si>
    <t>72/154</t>
  </si>
  <si>
    <t>RB114</t>
  </si>
  <si>
    <r>
      <rPr>
        <rFont val="&quot;TT Norms&quot;, ui-system, sans-serif"/>
        <color rgb="FF1155CC"/>
        <sz val="11.0"/>
        <u/>
      </rPr>
      <t>Quentin Johnston</t>
    </r>
    <r>
      <rPr>
        <rFont val="&quot;TT Norms&quot;, ui-system, sans-serif"/>
        <sz val="11.0"/>
      </rPr>
      <t xml:space="preserve"> WR  LAC</t>
    </r>
  </si>
  <si>
    <r>
      <rPr>
        <rFont val="Poppins, Arial, Helvetica, sans-serif"/>
        <color rgb="FF1155CC"/>
        <sz val="9.0"/>
        <u/>
      </rPr>
      <t>Deion Burks</t>
    </r>
    <r>
      <rPr>
        <rFont val="Poppins, Arial, Helvetica, sans-serif"/>
        <sz val="9.0"/>
      </rPr>
      <t xml:space="preserve"> (IND)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</si>
  <si>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saac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TeSlaa</t>
    </r>
    <r>
      <rPr>
        <rFont val="Roboto, sans-serif"/>
      </rPr>
      <t xml:space="preserve">
DETWR84</t>
    </r>
  </si>
  <si>
    <t>64/109</t>
  </si>
  <si>
    <r>
      <rPr>
        <rFont val="&quot;TT Norms&quot;, ui-system, sans-serif"/>
        <color rgb="FF1155CC"/>
        <sz val="11.0"/>
        <u/>
      </rPr>
      <t>Sam LaPorta</t>
    </r>
    <r>
      <rPr>
        <rFont val="&quot;TT Norms&quot;, ui-system, sans-serif"/>
        <sz val="11.0"/>
      </rPr>
      <t xml:space="preserve"> TE  DET</t>
    </r>
  </si>
  <si>
    <t>WR142</t>
  </si>
  <si>
    <r>
      <rPr>
        <rFont val="Poppins, Arial, Helvetica, sans-serif"/>
        <color rgb="FF1155CC"/>
        <sz val="9.0"/>
        <u/>
      </rPr>
      <t>Mitchell Evans</t>
    </r>
    <r>
      <rPr>
        <rFont val="Poppins, Arial, Helvetica, sans-serif"/>
        <sz val="9.0"/>
      </rPr>
      <t xml:space="preserve"> (CAR)</t>
    </r>
  </si>
  <si>
    <t>76/144</t>
  </si>
  <si>
    <r>
      <rPr>
        <rFont val="&quot;TT Norms&quot;, ui-system, sans-serif"/>
        <color rgb="FF1155CC"/>
        <sz val="11.0"/>
        <u/>
      </rPr>
      <t>Harold Fannin Jr.</t>
    </r>
    <r>
      <rPr>
        <rFont val="&quot;TT Norms&quot;, ui-system, sans-serif"/>
        <sz val="11.0"/>
      </rPr>
      <t xml:space="preserve"> TE  CLE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</si>
  <si>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Randall</t>
    </r>
    <r>
      <rPr>
        <rFont val="Roboto, sans-serif"/>
      </rPr>
      <t xml:space="preserve">
BALRB75</t>
    </r>
  </si>
  <si>
    <t>TE55</t>
  </si>
  <si>
    <t>78/109</t>
  </si>
  <si>
    <r>
      <rPr>
        <rFont val="Poppins, Arial, Helvetica, sans-serif"/>
        <color rgb="FF1155CC"/>
        <sz val="9.0"/>
        <u/>
      </rPr>
      <t>Sione Vaki</t>
    </r>
    <r>
      <rPr>
        <rFont val="Poppins, Arial, Helvetica, sans-serif"/>
        <sz val="9.0"/>
      </rPr>
      <t xml:space="preserve"> (DET)</t>
    </r>
  </si>
  <si>
    <r>
      <rPr>
        <rFont val="&quot;TT Norms&quot;, ui-system, sans-serif"/>
        <color rgb="FF1155CC"/>
        <sz val="11.0"/>
        <u/>
      </rPr>
      <t>Rams</t>
    </r>
    <r>
      <rPr>
        <rFont val="&quot;TT Norms&quot;, ui-system, sans-serif"/>
        <sz val="11.0"/>
      </rPr>
      <t xml:space="preserve"> DST  LAR</t>
    </r>
  </si>
  <si>
    <t>82/119</t>
  </si>
  <si>
    <r>
      <rPr>
        <rFont val="&quot;TT Norms&quot;, ui-system, sans-serif"/>
        <color rgb="FF1155CC"/>
        <sz val="11.0"/>
        <u/>
      </rPr>
      <t>Jordan Mason</t>
    </r>
    <r>
      <rPr>
        <rFont val="&quot;TT Norms&quot;, ui-system, sans-serif"/>
        <sz val="11.0"/>
      </rPr>
      <t xml:space="preserve"> RB  MIN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</si>
  <si>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Folk</t>
    </r>
    <r>
      <rPr>
        <rFont val="Roboto, sans-serif"/>
      </rPr>
      <t xml:space="preserve">
ATLK25</t>
    </r>
  </si>
  <si>
    <t>RB115</t>
  </si>
  <si>
    <r>
      <rPr>
        <rFont val="Poppins, Arial, Helvetica, sans-serif"/>
        <color rgb="FF1155CC"/>
        <sz val="9.0"/>
        <u/>
      </rPr>
      <t>Ashton Dulin</t>
    </r>
    <r>
      <rPr>
        <rFont val="Poppins, Arial, Helvetica, sans-serif"/>
        <sz val="9.0"/>
      </rPr>
      <t xml:space="preserve"> (IND)</t>
    </r>
  </si>
  <si>
    <t>79/147</t>
  </si>
  <si>
    <r>
      <rPr>
        <rFont val="&quot;TT Norms&quot;, ui-system, sans-serif"/>
        <color rgb="FF1155CC"/>
        <sz val="11.0"/>
        <u/>
      </rPr>
      <t>Kyle Monangai</t>
    </r>
    <r>
      <rPr>
        <rFont val="&quot;TT Norms&quot;, ui-system, sans-serif"/>
        <sz val="11.0"/>
      </rPr>
      <t xml:space="preserve"> RB  CHI</t>
    </r>
  </si>
  <si>
    <t>WR143</t>
  </si>
  <si>
    <t>84/130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</si>
  <si>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tlanta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Falcons</t>
    </r>
    <r>
      <rPr>
        <rFont val="Roboto, sans-serif"/>
      </rPr>
      <t xml:space="preserve">
ATLDEF28</t>
    </r>
  </si>
  <si>
    <r>
      <rPr>
        <rFont val="Poppins, Arial, Helvetica, sans-serif"/>
        <color rgb="FF1155CC"/>
        <sz val="9.0"/>
        <u/>
      </rPr>
      <t>Cincinnati Bengals</t>
    </r>
    <r>
      <rPr>
        <rFont val="Poppins, Arial, Helvetica, sans-serif"/>
        <sz val="9.0"/>
      </rPr>
      <t xml:space="preserve"> (CIN)</t>
    </r>
  </si>
  <si>
    <r>
      <rPr>
        <rFont val="&quot;TT Norms&quot;, ui-system, sans-serif"/>
        <color rgb="FF1155CC"/>
        <sz val="11.0"/>
        <u/>
      </rPr>
      <t>Texans</t>
    </r>
    <r>
      <rPr>
        <rFont val="&quot;TT Norms&quot;, ui-system, sans-serif"/>
        <sz val="11.0"/>
      </rPr>
      <t xml:space="preserve"> DST  HOU</t>
    </r>
  </si>
  <si>
    <t>71/121</t>
  </si>
  <si>
    <r>
      <rPr>
        <rFont val="&quot;TT Norms&quot;, ui-system, sans-serif"/>
        <color rgb="FF1155CC"/>
        <sz val="11.0"/>
        <u/>
      </rPr>
      <t>DK Metcalf</t>
    </r>
    <r>
      <rPr>
        <rFont val="&quot;TT Norms&quot;, ui-system, sans-serif"/>
        <sz val="11.0"/>
      </rPr>
      <t xml:space="preserve"> WR  PIT</t>
    </r>
  </si>
  <si>
    <r>
      <rPr>
        <rFont val="Poppins, Arial, Helvetica, sans-serif"/>
        <color rgb="FF1155CC"/>
        <sz val="9.0"/>
        <u/>
      </rPr>
      <t>Charlie Kolar</t>
    </r>
    <r>
      <rPr>
        <rFont val="Poppins, Arial, Helvetica, sans-serif"/>
        <sz val="9.0"/>
      </rPr>
      <t xml:space="preserve"> (LAC)</t>
    </r>
  </si>
  <si>
    <t>DEF21</t>
  </si>
  <si>
    <t>80/159</t>
  </si>
  <si>
    <r>
      <rPr>
        <rFont val="&quot;TT Norms&quot;, ui-system, sans-serif"/>
        <color rgb="FF1155CC"/>
        <sz val="11.0"/>
        <u/>
      </rPr>
      <t>Brandon Aubrey</t>
    </r>
    <r>
      <rPr>
        <rFont val="&quot;TT Norms&quot;, ui-system, sans-serif"/>
        <sz val="11.0"/>
      </rPr>
      <t xml:space="preserve"> K  DAL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</si>
  <si>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rizona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Cardinals</t>
    </r>
    <r>
      <rPr>
        <rFont val="Roboto, sans-serif"/>
      </rPr>
      <t xml:space="preserve">
ARIDEF29</t>
    </r>
  </si>
  <si>
    <t>58/183</t>
  </si>
  <si>
    <t>TE56</t>
  </si>
  <si>
    <r>
      <rPr>
        <rFont val="&quot;TT Norms&quot;, ui-system, sans-serif"/>
        <color rgb="FF1155CC"/>
        <sz val="11.0"/>
        <u/>
      </rPr>
      <t>Seahawks</t>
    </r>
    <r>
      <rPr>
        <rFont val="&quot;TT Norms&quot;, ui-system, sans-serif"/>
        <sz val="11.0"/>
      </rPr>
      <t xml:space="preserve"> DST  SEA</t>
    </r>
  </si>
  <si>
    <r>
      <rPr>
        <rFont val="Poppins, Arial, Helvetica, sans-serif"/>
        <color rgb="FF1155CC"/>
        <sz val="9.0"/>
        <u/>
      </rPr>
      <t>Jeremy McNichols</t>
    </r>
    <r>
      <rPr>
        <rFont val="Poppins, Arial, Helvetica, sans-serif"/>
        <sz val="9.0"/>
      </rPr>
      <t xml:space="preserve"> (WAS)</t>
    </r>
  </si>
  <si>
    <t>DEF28</t>
  </si>
  <si>
    <t>76/142</t>
  </si>
  <si>
    <r>
      <rPr>
        <rFont val="&quot;TT Norms&quot;, ui-system, sans-serif"/>
        <color rgb="FF1155CC"/>
        <sz val="11.0"/>
        <u/>
      </rPr>
      <t>Kenneth Gainwell</t>
    </r>
    <r>
      <rPr>
        <rFont val="&quot;TT Norms&quot;, ui-system, sans-serif"/>
        <sz val="11.0"/>
      </rPr>
      <t xml:space="preserve"> RB  TB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</si>
  <si>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arolina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Panthers</t>
    </r>
    <r>
      <rPr>
        <rFont val="Roboto, sans-serif"/>
      </rPr>
      <t xml:space="preserve">
CARDEF30</t>
    </r>
  </si>
  <si>
    <t>RB116</t>
  </si>
  <si>
    <t>88/127</t>
  </si>
  <si>
    <r>
      <rPr>
        <rFont val="Poppins, Arial, Helvetica, sans-serif"/>
        <color rgb="FF1155CC"/>
        <sz val="9.0"/>
        <u/>
      </rPr>
      <t>John Bates</t>
    </r>
    <r>
      <rPr>
        <rFont val="Poppins, Arial, Helvetica, sans-serif"/>
        <sz val="9.0"/>
      </rPr>
      <t xml:space="preserve"> (WAS)</t>
    </r>
  </si>
  <si>
    <r>
      <rPr>
        <rFont val="&quot;TT Norms&quot;, ui-system, sans-serif"/>
        <color rgb="FF1155CC"/>
        <sz val="11.0"/>
        <u/>
      </rPr>
      <t>Aaron Jones</t>
    </r>
    <r>
      <rPr>
        <rFont val="&quot;TT Norms&quot;, ui-system, sans-serif"/>
        <sz val="11.0"/>
      </rPr>
      <t xml:space="preserve"> RB  MIN</t>
    </r>
  </si>
  <si>
    <t>94/123</t>
  </si>
  <si>
    <r>
      <rPr>
        <rFont val="&quot;TT Norms&quot;, ui-system, sans-serif"/>
        <color rgb="FF1155CC"/>
        <sz val="11.0"/>
        <u/>
      </rPr>
      <t>Blake Corum</t>
    </r>
    <r>
      <rPr>
        <rFont val="&quot;TT Norms&quot;, ui-system, sans-serif"/>
        <sz val="11.0"/>
      </rPr>
      <t xml:space="preserve"> RB  LAR</t>
    </r>
  </si>
  <si>
    <t>TE57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</si>
  <si>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ashington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Commanders</t>
    </r>
    <r>
      <rPr>
        <rFont val="Roboto, sans-serif"/>
      </rPr>
      <t xml:space="preserve">
WASDEF31</t>
    </r>
  </si>
  <si>
    <r>
      <rPr>
        <rFont val="Poppins, Arial, Helvetica, sans-serif"/>
        <color rgb="FF1155CC"/>
        <sz val="9.0"/>
        <u/>
      </rPr>
      <t>Greg Dortch</t>
    </r>
    <r>
      <rPr>
        <rFont val="Poppins, Arial, Helvetica, sans-serif"/>
        <sz val="9.0"/>
      </rPr>
      <t xml:space="preserve"> (DET)</t>
    </r>
  </si>
  <si>
    <t>93/137</t>
  </si>
  <si>
    <r>
      <rPr>
        <rFont val="&quot;TT Norms&quot;, ui-system, sans-serif"/>
        <color rgb="FF1155CC"/>
        <sz val="11.0"/>
        <u/>
      </rPr>
      <t>Carnell Tate</t>
    </r>
    <r>
      <rPr>
        <rFont val="&quot;TT Norms&quot;, ui-system, sans-serif"/>
        <sz val="11.0"/>
      </rPr>
      <t xml:space="preserve"> WR  TEN</t>
    </r>
  </si>
  <si>
    <t>WR144</t>
  </si>
  <si>
    <t>69/149</t>
  </si>
  <si>
    <r>
      <rPr>
        <rFont val="Poppins, Arial, Helvetica, sans-serif"/>
        <color rgb="FF1155CC"/>
        <sz val="9.0"/>
        <u/>
      </rPr>
      <t>Roschon Johnson</t>
    </r>
    <r>
      <rPr>
        <rFont val="Poppins, Arial, Helvetica, sans-serif"/>
        <sz val="9.0"/>
      </rPr>
      <t xml:space="preserve"> (CHI)</t>
    </r>
  </si>
  <si>
    <r>
      <rPr>
        <rFont val="&quot;TT Norms&quot;, ui-system, sans-serif"/>
        <color rgb="FF1155CC"/>
        <sz val="11.0"/>
        <u/>
      </rPr>
      <t>Jakobi Meyers</t>
    </r>
    <r>
      <rPr>
        <rFont val="&quot;TT Norms&quot;, ui-system, sans-serif"/>
        <sz val="11.0"/>
      </rPr>
      <t xml:space="preserve"> WR  JAC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</si>
  <si>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imani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Vidal</t>
    </r>
    <r>
      <rPr>
        <rFont val="Roboto, sans-serif"/>
      </rPr>
      <t xml:space="preserve">
LACRB76</t>
    </r>
  </si>
  <si>
    <t>102/125</t>
  </si>
  <si>
    <r>
      <rPr>
        <rFont val="&quot;TT Norms&quot;, ui-system, sans-serif"/>
        <color rgb="FF1155CC"/>
        <sz val="11.0"/>
        <u/>
      </rPr>
      <t>Isaiah Likely</t>
    </r>
    <r>
      <rPr>
        <rFont val="&quot;TT Norms&quot;, ui-system, sans-serif"/>
        <sz val="11.0"/>
      </rPr>
      <t xml:space="preserve"> TE  NYG</t>
    </r>
  </si>
  <si>
    <t>RB117</t>
  </si>
  <si>
    <r>
      <rPr>
        <rFont val="Poppins, Arial, Helvetica, sans-serif"/>
        <color rgb="FF1155CC"/>
        <sz val="9.0"/>
        <u/>
      </rPr>
      <t>Zach Ertz</t>
    </r>
    <r>
      <rPr>
        <rFont val="Poppins, Arial, Helvetica, sans-serif"/>
        <sz val="9.0"/>
      </rPr>
      <t xml:space="preserve"> (FA)</t>
    </r>
  </si>
  <si>
    <t>84/138</t>
  </si>
  <si>
    <r>
      <rPr>
        <rFont val="&quot;TT Norms&quot;, ui-system, sans-serif"/>
        <color rgb="FF1155CC"/>
        <sz val="11.0"/>
        <u/>
      </rPr>
      <t>Isiah Pacheco</t>
    </r>
    <r>
      <rPr>
        <rFont val="&quot;TT Norms&quot;, ui-system, sans-serif"/>
        <sz val="11.0"/>
      </rPr>
      <t xml:space="preserve"> RB  DET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</si>
  <si>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Lane</t>
    </r>
    <r>
      <rPr>
        <rFont val="Roboto, sans-serif"/>
      </rPr>
      <t xml:space="preserve">
BALWR85</t>
    </r>
  </si>
  <si>
    <t>89/140</t>
  </si>
  <si>
    <r>
      <rPr>
        <rFont val="&quot;TT Norms&quot;, ui-system, sans-serif"/>
        <color rgb="FF1155CC"/>
        <sz val="11.0"/>
        <u/>
      </rPr>
      <t>Chris Godwin</t>
    </r>
    <r>
      <rPr>
        <rFont val="&quot;TT Norms&quot;, ui-system, sans-serif"/>
        <sz val="11.0"/>
      </rPr>
      <t xml:space="preserve"> WR  TB</t>
    </r>
  </si>
  <si>
    <t>TE58</t>
  </si>
  <si>
    <r>
      <rPr>
        <rFont val="Poppins, Arial, Helvetica, sans-serif"/>
        <color rgb="FF1155CC"/>
        <sz val="9.0"/>
        <u/>
      </rPr>
      <t>Daniel Carlson</t>
    </r>
    <r>
      <rPr>
        <rFont val="Poppins, Arial, Helvetica, sans-serif"/>
        <sz val="9.0"/>
      </rPr>
      <t xml:space="preserve"> (LV)</t>
    </r>
  </si>
  <si>
    <t>107/123</t>
  </si>
  <si>
    <r>
      <rPr>
        <rFont val="&quot;TT Norms&quot;, ui-system, sans-serif"/>
        <color rgb="FF1155CC"/>
        <sz val="11.0"/>
        <u/>
      </rPr>
      <t>Parker Washington</t>
    </r>
    <r>
      <rPr>
        <rFont val="&quot;TT Norms&quot;, ui-system, sans-serif"/>
        <sz val="11.0"/>
      </rPr>
      <t xml:space="preserve"> WR  JAC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</si>
  <si>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evaughn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Vele</t>
    </r>
    <r>
      <rPr>
        <rFont val="Roboto, sans-serif"/>
      </rPr>
      <t xml:space="preserve">
NOWR86</t>
    </r>
  </si>
  <si>
    <t>73/176</t>
  </si>
  <si>
    <t>K30</t>
  </si>
  <si>
    <r>
      <rPr>
        <rFont val="&quot;TT Norms&quot;, ui-system, sans-serif"/>
        <color rgb="FF1155CC"/>
        <sz val="11.0"/>
        <u/>
      </rPr>
      <t>Jonathon Brooks</t>
    </r>
    <r>
      <rPr>
        <rFont val="&quot;TT Norms&quot;, ui-system, sans-serif"/>
        <sz val="11.0"/>
      </rPr>
      <t xml:space="preserve"> RB  CAR</t>
    </r>
  </si>
  <si>
    <r>
      <rPr>
        <rFont val="Poppins, Arial, Helvetica, sans-serif"/>
        <color rgb="FF1155CC"/>
        <sz val="9.0"/>
        <u/>
      </rPr>
      <t>Darren Waller</t>
    </r>
    <r>
      <rPr>
        <rFont val="Poppins, Arial, Helvetica, sans-serif"/>
        <sz val="9.0"/>
      </rPr>
      <t xml:space="preserve"> (FA)</t>
    </r>
  </si>
  <si>
    <t>97/177</t>
  </si>
  <si>
    <r>
      <rPr>
        <rFont val="&quot;TT Norms&quot;, ui-system, sans-serif"/>
        <color rgb="FF1155CC"/>
        <sz val="11.0"/>
        <u/>
      </rPr>
      <t>Mark Andrews</t>
    </r>
    <r>
      <rPr>
        <rFont val="&quot;TT Norms&quot;, ui-system, sans-serif"/>
        <sz val="11.0"/>
      </rPr>
      <t xml:space="preserve"> TE  BAL</t>
    </r>
  </si>
  <si>
    <t>TE59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</si>
  <si>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Davis</t>
    </r>
    <r>
      <rPr>
        <rFont val="Roboto, sans-serif"/>
      </rPr>
      <t xml:space="preserve">
BUFRB77</t>
    </r>
  </si>
  <si>
    <r>
      <rPr>
        <rFont val="Poppins, Arial, Helvetica, sans-serif"/>
        <color rgb="FF1155CC"/>
        <sz val="9.0"/>
        <u/>
      </rPr>
      <t>Joe Flacco</t>
    </r>
    <r>
      <rPr>
        <rFont val="Poppins, Arial, Helvetica, sans-serif"/>
        <sz val="9.0"/>
      </rPr>
      <t xml:space="preserve"> (CIN)</t>
    </r>
  </si>
  <si>
    <t>77/162</t>
  </si>
  <si>
    <r>
      <rPr>
        <rFont val="&quot;TT Norms&quot;, ui-system, sans-serif"/>
        <color rgb="FF1155CC"/>
        <sz val="11.0"/>
        <u/>
      </rPr>
      <t>Tyler Shough</t>
    </r>
    <r>
      <rPr>
        <rFont val="&quot;TT Norms&quot;, ui-system, sans-serif"/>
        <sz val="11.0"/>
      </rPr>
      <t xml:space="preserve"> QB  NO</t>
    </r>
  </si>
  <si>
    <t>98/134</t>
  </si>
  <si>
    <t>QB42</t>
  </si>
  <si>
    <r>
      <rPr>
        <rFont val="&quot;TT Norms&quot;, ui-system, sans-serif"/>
        <color rgb="FF1155CC"/>
        <sz val="11.0"/>
        <u/>
      </rPr>
      <t>Jason Myers</t>
    </r>
    <r>
      <rPr>
        <rFont val="&quot;TT Norms&quot;, ui-system, sans-serif"/>
        <sz val="11.0"/>
      </rPr>
      <t xml:space="preserve"> K  SEA</t>
    </r>
  </si>
  <si>
    <r>
      <rPr>
        <rFont val="Poppins, Arial, Helvetica, sans-serif"/>
        <color rgb="FF1155CC"/>
        <sz val="9.0"/>
        <u/>
      </rPr>
      <t>Jaret Patterson</t>
    </r>
    <r>
      <rPr>
        <rFont val="Poppins, Arial, Helvetica, sans-serif"/>
        <sz val="9.0"/>
      </rPr>
      <t xml:space="preserve"> (LAC)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</si>
  <si>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iami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Dolphins</t>
    </r>
    <r>
      <rPr>
        <rFont val="Roboto, sans-serif"/>
      </rPr>
      <t xml:space="preserve">
MIADEF32</t>
    </r>
  </si>
  <si>
    <t>99/181</t>
  </si>
  <si>
    <r>
      <rPr>
        <rFont val="&quot;TT Norms&quot;, ui-system, sans-serif"/>
        <color rgb="FF1155CC"/>
        <sz val="11.0"/>
        <u/>
      </rPr>
      <t>Brian Thomas Jr.</t>
    </r>
    <r>
      <rPr>
        <rFont val="&quot;TT Norms&quot;, ui-system, sans-serif"/>
        <sz val="11.0"/>
      </rPr>
      <t xml:space="preserve"> WR  JAC</t>
    </r>
  </si>
  <si>
    <t>RB118</t>
  </si>
  <si>
    <t>96/190</t>
  </si>
  <si>
    <r>
      <rPr>
        <rFont val="Poppins, Arial, Helvetica, sans-serif"/>
        <color rgb="FF1155CC"/>
        <sz val="9.0"/>
        <u/>
      </rPr>
      <t>Daniel Bellinger</t>
    </r>
    <r>
      <rPr>
        <rFont val="Poppins, Arial, Helvetica, sans-serif"/>
        <sz val="9.0"/>
      </rPr>
      <t xml:space="preserve"> (TEN)</t>
    </r>
  </si>
  <si>
    <r>
      <rPr>
        <rFont val="&quot;TT Norms&quot;, ui-system, sans-serif"/>
        <color rgb="FF1155CC"/>
        <sz val="11.0"/>
        <u/>
      </rPr>
      <t>Josh Downs</t>
    </r>
    <r>
      <rPr>
        <rFont val="&quot;TT Norms&quot;, ui-system, sans-serif"/>
        <sz val="11.0"/>
      </rPr>
      <t xml:space="preserve"> WR  IND</t>
    </r>
  </si>
  <si>
    <t>DEF31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</si>
  <si>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Slye</t>
    </r>
    <r>
      <rPr>
        <rFont val="Roboto, sans-serif"/>
      </rPr>
      <t xml:space="preserve">
TENK26</t>
    </r>
  </si>
  <si>
    <t>84/149</t>
  </si>
  <si>
    <t>TE60</t>
  </si>
  <si>
    <r>
      <rPr>
        <rFont val="&quot;TT Norms&quot;, ui-system, sans-serif"/>
        <color rgb="FF1155CC"/>
        <sz val="11.0"/>
        <u/>
      </rPr>
      <t>Travis Kelce</t>
    </r>
    <r>
      <rPr>
        <rFont val="&quot;TT Norms&quot;, ui-system, sans-serif"/>
        <sz val="11.0"/>
      </rPr>
      <t xml:space="preserve"> TE  KC</t>
    </r>
  </si>
  <si>
    <r>
      <rPr>
        <rFont val="Poppins, Arial, Helvetica, sans-serif"/>
        <color rgb="FF1155CC"/>
        <sz val="9.0"/>
        <u/>
      </rPr>
      <t>Austin Hooper</t>
    </r>
    <r>
      <rPr>
        <rFont val="Poppins, Arial, Helvetica, sans-serif"/>
        <sz val="9.0"/>
      </rPr>
      <t xml:space="preserve"> (ATL)</t>
    </r>
  </si>
  <si>
    <t>77/179</t>
  </si>
  <si>
    <r>
      <rPr>
        <rFont val="&quot;TT Norms&quot;, ui-system, sans-serif"/>
        <color rgb="FF1155CC"/>
        <sz val="11.0"/>
        <u/>
      </rPr>
      <t>Rachaad White</t>
    </r>
    <r>
      <rPr>
        <rFont val="&quot;TT Norms&quot;, ui-system, sans-serif"/>
        <sz val="11.0"/>
      </rPr>
      <t xml:space="preserve"> RB  WAS</t>
    </r>
  </si>
  <si>
    <t>TE61</t>
  </si>
  <si>
    <t>Tier 15</t>
  </si>
  <si>
    <t>100/165</t>
  </si>
  <si>
    <r>
      <rPr>
        <rFont val="Poppins, Arial, Helvetica, sans-serif"/>
        <color rgb="FF1155CC"/>
        <u/>
      </rPr>
      <t>Customize Tiers</t>
    </r>
  </si>
  <si>
    <r>
      <rPr>
        <rFont val="&quot;TT Norms&quot;, ui-system, sans-serif"/>
        <color rgb="FF1155CC"/>
        <sz val="11.0"/>
        <u/>
      </rPr>
      <t>Michael Wilson</t>
    </r>
    <r>
      <rPr>
        <rFont val="&quot;TT Norms&quot;, ui-system, sans-serif"/>
        <sz val="11.0"/>
      </rPr>
      <t xml:space="preserve"> WR  ARI</t>
    </r>
  </si>
  <si>
    <r>
      <rPr>
        <rFont val="Poppins, Arial, Helvetica, sans-serif"/>
        <color rgb="FF1155CC"/>
        <sz val="9.0"/>
        <u/>
      </rPr>
      <t>Cade Klubnik</t>
    </r>
    <r>
      <rPr>
        <rFont val="Poppins, Arial, Helvetica, sans-serif"/>
        <sz val="9.0"/>
      </rPr>
      <t xml:space="preserve"> (NYJ)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</si>
  <si>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PITTE31</t>
    </r>
  </si>
  <si>
    <t>93/158</t>
  </si>
  <si>
    <r>
      <rPr>
        <rFont val="&quot;TT Norms&quot;, ui-system, sans-serif"/>
        <color rgb="FF1155CC"/>
        <sz val="11.0"/>
        <u/>
      </rPr>
      <t>Jordan Addison</t>
    </r>
    <r>
      <rPr>
        <rFont val="&quot;TT Norms&quot;, ui-system, sans-serif"/>
        <sz val="11.0"/>
      </rPr>
      <t xml:space="preserve"> WR  MIN</t>
    </r>
  </si>
  <si>
    <t>QB43</t>
  </si>
  <si>
    <r>
      <rPr>
        <rFont val="Poppins, Arial, Helvetica, sans-serif"/>
        <color rgb="FF1155CC"/>
        <sz val="9.0"/>
        <u/>
      </rPr>
      <t>Marlin Klein</t>
    </r>
    <r>
      <rPr>
        <rFont val="Poppins, Arial, Helvetica, sans-serif"/>
        <sz val="9.0"/>
      </rPr>
      <t xml:space="preserve"> (HOU)</t>
    </r>
  </si>
  <si>
    <t>86/185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</si>
  <si>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Njoku</t>
    </r>
    <r>
      <rPr>
        <rFont val="Roboto, sans-serif"/>
      </rPr>
      <t xml:space="preserve">
LACTE32</t>
    </r>
  </si>
  <si>
    <r>
      <rPr>
        <rFont val="&quot;TT Norms&quot;, ui-system, sans-serif"/>
        <color rgb="FF1155CC"/>
        <sz val="11.0"/>
        <u/>
      </rPr>
      <t>Dalton Kincaid</t>
    </r>
    <r>
      <rPr>
        <rFont val="&quot;TT Norms&quot;, ui-system, sans-serif"/>
        <sz val="11.0"/>
      </rPr>
      <t xml:space="preserve"> TE  BUF</t>
    </r>
  </si>
  <si>
    <t>TE62</t>
  </si>
  <si>
    <r>
      <rPr>
        <rFont val="Poppins, Arial, Helvetica, sans-serif"/>
        <color rgb="FF1155CC"/>
        <sz val="9.0"/>
        <u/>
      </rPr>
      <t>Marcus Mariota</t>
    </r>
    <r>
      <rPr>
        <rFont val="Poppins, Arial, Helvetica, sans-serif"/>
        <sz val="9.0"/>
      </rPr>
      <t xml:space="preserve"> (WAS)</t>
    </r>
  </si>
  <si>
    <t>90/163</t>
  </si>
  <si>
    <r>
      <rPr>
        <rFont val="&quot;TT Norms&quot;, ui-system, sans-serif"/>
        <color rgb="FF1155CC"/>
        <sz val="11.0"/>
        <u/>
      </rPr>
      <t>Vikings</t>
    </r>
    <r>
      <rPr>
        <rFont val="&quot;TT Norms&quot;, ui-system, sans-serif"/>
        <sz val="11.0"/>
      </rPr>
      <t xml:space="preserve"> DST  MIN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</si>
  <si>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arquez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Hunter</t>
    </r>
    <r>
      <rPr>
        <rFont val="Roboto, sans-serif"/>
      </rPr>
      <t xml:space="preserve">
LARRB78</t>
    </r>
  </si>
  <si>
    <t>115/135</t>
  </si>
  <si>
    <t>QB44</t>
  </si>
  <si>
    <r>
      <rPr>
        <rFont val="&quot;TT Norms&quot;, ui-system, sans-serif"/>
        <color rgb="FF1155CC"/>
        <sz val="11.0"/>
        <u/>
      </rPr>
      <t>Kaelon Black</t>
    </r>
    <r>
      <rPr>
        <rFont val="&quot;TT Norms&quot;, ui-system, sans-serif"/>
        <sz val="11.0"/>
      </rPr>
      <t xml:space="preserve"> RB  SF</t>
    </r>
  </si>
  <si>
    <r>
      <rPr>
        <rFont val="Poppins, Arial, Helvetica, sans-serif"/>
        <color rgb="FF1155CC"/>
        <sz val="9.0"/>
        <u/>
      </rPr>
      <t>Jonnu Smith</t>
    </r>
    <r>
      <rPr>
        <rFont val="Poppins, Arial, Helvetica, sans-serif"/>
        <sz val="9.0"/>
      </rPr>
      <t xml:space="preserve"> (FA)</t>
    </r>
  </si>
  <si>
    <t>88/144</t>
  </si>
  <si>
    <r>
      <rPr>
        <rFont val="&quot;TT Norms&quot;, ui-system, sans-serif"/>
        <color rgb="FF1155CC"/>
        <sz val="11.0"/>
        <u/>
      </rPr>
      <t>Rashod Bateman</t>
    </r>
    <r>
      <rPr>
        <rFont val="&quot;TT Norms&quot;, ui-system, sans-serif"/>
        <sz val="11.0"/>
      </rPr>
      <t xml:space="preserve"> WR  BAL</t>
    </r>
  </si>
  <si>
    <t>TE63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</si>
  <si>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Sarratt</t>
    </r>
    <r>
      <rPr>
        <rFont val="Roboto, sans-serif"/>
      </rPr>
      <t xml:space="preserve">
BALWR87</t>
    </r>
  </si>
  <si>
    <r>
      <rPr>
        <rFont val="Poppins, Arial, Helvetica, sans-serif"/>
        <color rgb="FF1155CC"/>
        <sz val="9.0"/>
        <u/>
      </rPr>
      <t>Mitch Tinsley</t>
    </r>
    <r>
      <rPr>
        <rFont val="Poppins, Arial, Helvetica, sans-serif"/>
        <sz val="9.0"/>
      </rPr>
      <t xml:space="preserve"> (CIN)</t>
    </r>
  </si>
  <si>
    <t>89/142</t>
  </si>
  <si>
    <r>
      <rPr>
        <rFont val="&quot;TT Norms&quot;, ui-system, sans-serif"/>
        <color rgb="FF1155CC"/>
        <sz val="11.0"/>
        <u/>
      </rPr>
      <t>Wan'Dale Robinson</t>
    </r>
    <r>
      <rPr>
        <rFont val="&quot;TT Norms&quot;, ui-system, sans-serif"/>
        <sz val="11.0"/>
      </rPr>
      <t xml:space="preserve"> WR  TEN</t>
    </r>
  </si>
  <si>
    <t>105/159</t>
  </si>
  <si>
    <t>WR145</t>
  </si>
  <si>
    <r>
      <rPr>
        <rFont val="&quot;TT Norms&quot;, ui-system, sans-serif"/>
        <color rgb="FF1155CC"/>
        <sz val="11.0"/>
        <u/>
      </rPr>
      <t>Eagles</t>
    </r>
    <r>
      <rPr>
        <rFont val="&quot;TT Norms&quot;, ui-system, sans-serif"/>
        <sz val="11.0"/>
      </rPr>
      <t xml:space="preserve"> DST  PHI</t>
    </r>
  </si>
  <si>
    <r>
      <rPr>
        <rFont val="Poppins, Arial, Helvetica, sans-serif"/>
        <color rgb="FF1155CC"/>
        <sz val="9.0"/>
        <u/>
      </rPr>
      <t>Malik Benson</t>
    </r>
    <r>
      <rPr>
        <rFont val="Poppins, Arial, Helvetica, sans-serif"/>
        <sz val="9.0"/>
      </rPr>
      <t xml:space="preserve"> (LV)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</si>
  <si>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Tagovailoa</t>
    </r>
    <r>
      <rPr>
        <rFont val="Roboto, sans-serif"/>
      </rPr>
      <t xml:space="preserve">
ATLQB29</t>
    </r>
  </si>
  <si>
    <t>90/172</t>
  </si>
  <si>
    <r>
      <rPr>
        <rFont val="&quot;TT Norms&quot;, ui-system, sans-serif"/>
        <color rgb="FF1155CC"/>
        <sz val="11.0"/>
        <u/>
      </rPr>
      <t>Jordyn Tyson</t>
    </r>
    <r>
      <rPr>
        <rFont val="&quot;TT Norms&quot;, ui-system, sans-serif"/>
        <sz val="11.0"/>
      </rPr>
      <t xml:space="preserve"> WR  NO</t>
    </r>
  </si>
  <si>
    <t>WR146</t>
  </si>
  <si>
    <r>
      <rPr>
        <rFont val="Poppins, Arial, Helvetica, sans-serif"/>
        <color rgb="FF1155CC"/>
        <sz val="9.0"/>
        <u/>
      </rPr>
      <t>Demarcus Robinson</t>
    </r>
    <r>
      <rPr>
        <rFont val="Poppins, Arial, Helvetica, sans-serif"/>
        <sz val="9.0"/>
      </rPr>
      <t xml:space="preserve"> (SF)</t>
    </r>
  </si>
  <si>
    <t>87/165</t>
  </si>
  <si>
    <r>
      <rPr>
        <rFont val="&quot;TT Norms&quot;, ui-system, sans-serif"/>
        <color rgb="FF1155CC"/>
        <sz val="11.0"/>
        <u/>
      </rPr>
      <t>Jake Ferguson</t>
    </r>
    <r>
      <rPr>
        <rFont val="&quot;TT Norms&quot;, ui-system, sans-serif"/>
        <sz val="11.0"/>
      </rPr>
      <t xml:space="preserve"> TE  DAL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</si>
  <si>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Penix Jr.</t>
    </r>
    <r>
      <rPr>
        <rFont val="Roboto, sans-serif"/>
      </rPr>
      <t xml:space="preserve">
ATLQB30</t>
    </r>
  </si>
  <si>
    <t>WR147</t>
  </si>
  <si>
    <r>
      <rPr>
        <rFont val="Poppins, Arial, Helvetica, sans-serif"/>
        <color rgb="FF1155CC"/>
        <sz val="9.0"/>
        <u/>
      </rPr>
      <t>Robert Henry Jr.</t>
    </r>
    <r>
      <rPr>
        <rFont val="Poppins, Arial, Helvetica, sans-serif"/>
        <sz val="9.0"/>
      </rPr>
      <t xml:space="preserve"> (WAS)</t>
    </r>
  </si>
  <si>
    <t>80/150</t>
  </si>
  <si>
    <r>
      <rPr>
        <rFont val="&quot;TT Norms&quot;, ui-system, sans-serif"/>
        <color rgb="FF1155CC"/>
        <sz val="11.0"/>
        <u/>
      </rPr>
      <t>Jordan Love</t>
    </r>
    <r>
      <rPr>
        <rFont val="&quot;TT Norms&quot;, ui-system, sans-serif"/>
        <sz val="11.0"/>
      </rPr>
      <t xml:space="preserve"> QB  GB</t>
    </r>
  </si>
  <si>
    <t>116/141</t>
  </si>
  <si>
    <r>
      <rPr>
        <rFont val="&quot;TT Norms&quot;, ui-system, sans-serif"/>
        <color rgb="FF1155CC"/>
        <sz val="11.0"/>
        <u/>
      </rPr>
      <t>Ka'imi Fairbairn</t>
    </r>
    <r>
      <rPr>
        <rFont val="&quot;TT Norms&quot;, ui-system, sans-serif"/>
        <sz val="11.0"/>
      </rPr>
      <t xml:space="preserve"> K  HOU</t>
    </r>
  </si>
  <si>
    <t>RB119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</si>
  <si>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Gay</t>
    </r>
    <r>
      <rPr>
        <rFont val="Roboto, sans-serif"/>
      </rPr>
      <t xml:space="preserve">
LVRK27</t>
    </r>
  </si>
  <si>
    <r>
      <rPr>
        <rFont val="Poppins, Arial, Helvetica, sans-serif"/>
        <color rgb="FF1155CC"/>
        <sz val="9.0"/>
        <u/>
      </rPr>
      <t>Damien Martinez</t>
    </r>
    <r>
      <rPr>
        <rFont val="Poppins, Arial, Helvetica, sans-serif"/>
        <sz val="9.0"/>
      </rPr>
      <t xml:space="preserve"> (GB)</t>
    </r>
  </si>
  <si>
    <t>66/182</t>
  </si>
  <si>
    <r>
      <rPr>
        <rFont val="&quot;TT Norms&quot;, ui-system, sans-serif"/>
        <color rgb="FF1155CC"/>
        <sz val="11.0"/>
        <u/>
      </rPr>
      <t>Alvin Kamara</t>
    </r>
    <r>
      <rPr>
        <rFont val="&quot;TT Norms&quot;, ui-system, sans-serif"/>
        <sz val="11.0"/>
      </rPr>
      <t xml:space="preserve"> RB  NO</t>
    </r>
  </si>
  <si>
    <t>RB120</t>
  </si>
  <si>
    <r>
      <rPr>
        <rFont val="Poppins, Arial, Helvetica, sans-serif"/>
        <color rgb="FF1155CC"/>
        <sz val="9.0"/>
        <u/>
      </rPr>
      <t>Joe Milton III</t>
    </r>
    <r>
      <rPr>
        <rFont val="Poppins, Arial, Helvetica, sans-serif"/>
        <sz val="9.0"/>
      </rPr>
      <t xml:space="preserve"> (DAL)</t>
    </r>
  </si>
  <si>
    <t>118/152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</si>
  <si>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athaniel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Dell</t>
    </r>
    <r>
      <rPr>
        <rFont val="Roboto, sans-serif"/>
      </rPr>
      <t xml:space="preserve">
HOUWR88</t>
    </r>
  </si>
  <si>
    <r>
      <rPr>
        <rFont val="&quot;TT Norms&quot;, ui-system, sans-serif"/>
        <color rgb="FF1155CC"/>
        <sz val="11.0"/>
        <u/>
      </rPr>
      <t>Baker Mayfield</t>
    </r>
    <r>
      <rPr>
        <rFont val="&quot;TT Norms&quot;, ui-system, sans-serif"/>
        <sz val="11.0"/>
      </rPr>
      <t xml:space="preserve"> QB  TB</t>
    </r>
  </si>
  <si>
    <t>QB45</t>
  </si>
  <si>
    <t>99/184</t>
  </si>
  <si>
    <r>
      <rPr>
        <rFont val="&quot;TT Norms&quot;, ui-system, sans-serif"/>
        <color rgb="FF1155CC"/>
        <sz val="11.0"/>
        <u/>
      </rPr>
      <t>Bo Nix</t>
    </r>
    <r>
      <rPr>
        <rFont val="&quot;TT Norms&quot;, ui-system, sans-serif"/>
        <sz val="11.0"/>
      </rPr>
      <t xml:space="preserve"> QB  DEN</t>
    </r>
  </si>
  <si>
    <r>
      <rPr>
        <rFont val="Poppins, Arial, Helvetica, sans-serif"/>
        <color rgb="FF1155CC"/>
        <sz val="9.0"/>
        <u/>
      </rPr>
      <t>Dylan Laube</t>
    </r>
    <r>
      <rPr>
        <rFont val="Poppins, Arial, Helvetica, sans-serif"/>
        <sz val="9.0"/>
      </rPr>
      <t xml:space="preserve"> (LV)</t>
    </r>
  </si>
  <si>
    <t>101/182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</si>
  <si>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mari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Demercado</t>
    </r>
    <r>
      <rPr>
        <rFont val="Roboto, sans-serif"/>
      </rPr>
      <t xml:space="preserve">
KCRB79</t>
    </r>
  </si>
  <si>
    <r>
      <rPr>
        <rFont val="&quot;TT Norms&quot;, ui-system, sans-serif"/>
        <color rgb="FF1155CC"/>
        <sz val="11.0"/>
        <u/>
      </rPr>
      <t>Patriots</t>
    </r>
    <r>
      <rPr>
        <rFont val="&quot;TT Norms&quot;, ui-system, sans-serif"/>
        <sz val="11.0"/>
      </rPr>
      <t xml:space="preserve"> DST  NE</t>
    </r>
  </si>
  <si>
    <t>RB121</t>
  </si>
  <si>
    <r>
      <rPr>
        <rFont val="Poppins, Arial, Helvetica, sans-serif"/>
        <color rgb="FF1155CC"/>
        <sz val="9.0"/>
        <u/>
      </rPr>
      <t>Tommy Myers</t>
    </r>
    <r>
      <rPr>
        <rFont val="Poppins, Arial, Helvetica, sans-serif"/>
        <sz val="9.0"/>
      </rPr>
      <t xml:space="preserve"> (FA)</t>
    </r>
  </si>
  <si>
    <t>95/157</t>
  </si>
  <si>
    <r>
      <rPr>
        <rFont val="&quot;TT Norms&quot;, ui-system, sans-serif"/>
        <color rgb="FF1155CC"/>
        <sz val="11.0"/>
        <u/>
      </rPr>
      <t>Daniel Jones</t>
    </r>
    <r>
      <rPr>
        <rFont val="&quot;TT Norms&quot;, ui-system, sans-serif"/>
        <sz val="11.0"/>
      </rPr>
      <t xml:space="preserve"> QB  IND</t>
    </r>
  </si>
  <si>
    <t>TE64</t>
  </si>
  <si>
    <t>125/141</t>
  </si>
  <si>
    <r>
      <rPr>
        <rFont val="Poppins, Arial, Helvetica, sans-serif"/>
        <color rgb="FF1155CC"/>
        <sz val="9.0"/>
        <u/>
      </rPr>
      <t>Frank Gore Jr.</t>
    </r>
    <r>
      <rPr>
        <rFont val="Poppins, Arial, Helvetica, sans-serif"/>
        <sz val="9.0"/>
      </rPr>
      <t xml:space="preserve"> (BUF)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</si>
  <si>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Neal</t>
    </r>
    <r>
      <rPr>
        <rFont val="Roboto, sans-serif"/>
      </rPr>
      <t xml:space="preserve">
NORB80</t>
    </r>
  </si>
  <si>
    <r>
      <rPr>
        <rFont val="&quot;TT Norms&quot;, ui-system, sans-serif"/>
        <color rgb="FF1155CC"/>
        <sz val="11.0"/>
        <u/>
      </rPr>
      <t>Zach Charbonnet</t>
    </r>
    <r>
      <rPr>
        <rFont val="&quot;TT Norms&quot;, ui-system, sans-serif"/>
        <sz val="11.0"/>
      </rPr>
      <t xml:space="preserve"> RB  SEA</t>
    </r>
  </si>
  <si>
    <t>111/174</t>
  </si>
  <si>
    <r>
      <rPr>
        <rFont val="&quot;TT Norms&quot;, ui-system, sans-serif"/>
        <color rgb="FF1155CC"/>
        <sz val="11.0"/>
        <u/>
      </rPr>
      <t>Chris Rodriguez Jr.</t>
    </r>
    <r>
      <rPr>
        <rFont val="&quot;TT Norms&quot;, ui-system, sans-serif"/>
        <sz val="11.0"/>
      </rPr>
      <t xml:space="preserve"> RB  JAC</t>
    </r>
  </si>
  <si>
    <t>RB122</t>
  </si>
  <si>
    <r>
      <rPr>
        <rFont val="Poppins, Arial, Helvetica, sans-serif"/>
        <color rgb="FF1155CC"/>
        <sz val="9.0"/>
        <u/>
      </rPr>
      <t>Las Vegas Raiders</t>
    </r>
    <r>
      <rPr>
        <rFont val="Poppins, Arial, Helvetica, sans-serif"/>
        <sz val="9.0"/>
      </rPr>
      <t xml:space="preserve"> (LV)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</si>
  <si>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Szmyt</t>
    </r>
    <r>
      <rPr>
        <rFont val="Roboto, sans-serif"/>
      </rPr>
      <t xml:space="preserve">
CLEK28</t>
    </r>
  </si>
  <si>
    <t>108/160</t>
  </si>
  <si>
    <r>
      <rPr>
        <rFont val="&quot;TT Norms&quot;, ui-system, sans-serif"/>
        <color rgb="FF1155CC"/>
        <sz val="11.0"/>
        <u/>
      </rPr>
      <t>Tyrone Tracy Jr.</t>
    </r>
    <r>
      <rPr>
        <rFont val="&quot;TT Norms&quot;, ui-system, sans-serif"/>
        <sz val="11.0"/>
      </rPr>
      <t xml:space="preserve"> RB  NYG</t>
    </r>
  </si>
  <si>
    <t>114/160</t>
  </si>
  <si>
    <r>
      <rPr>
        <rFont val="Poppins, Arial, Helvetica, sans-serif"/>
        <color rgb="FF1155CC"/>
        <sz val="9.0"/>
        <u/>
      </rPr>
      <t>Hunter Luepke</t>
    </r>
    <r>
      <rPr>
        <rFont val="Poppins, Arial, Helvetica, sans-serif"/>
        <sz val="9.0"/>
      </rPr>
      <t xml:space="preserve"> (DAL)</t>
    </r>
  </si>
  <si>
    <r>
      <rPr>
        <rFont val="&quot;TT Norms&quot;, ui-system, sans-serif"/>
        <color rgb="FF1155CC"/>
        <sz val="11.0"/>
        <u/>
      </rPr>
      <t>Kyler Murray</t>
    </r>
    <r>
      <rPr>
        <rFont val="&quot;TT Norms&quot;, ui-system, sans-serif"/>
        <sz val="11.0"/>
      </rPr>
      <t xml:space="preserve"> QB  MIN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</si>
  <si>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roy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Franklin</t>
    </r>
    <r>
      <rPr>
        <rFont val="Roboto, sans-serif"/>
      </rPr>
      <t xml:space="preserve">
DENWR89</t>
    </r>
  </si>
  <si>
    <t>128/142</t>
  </si>
  <si>
    <r>
      <rPr>
        <rFont val="&quot;TT Norms&quot;, ui-system, sans-serif"/>
        <color rgb="FF1155CC"/>
        <sz val="11.0"/>
        <u/>
      </rPr>
      <t>C.J. Stroud</t>
    </r>
    <r>
      <rPr>
        <rFont val="&quot;TT Norms&quot;, ui-system, sans-serif"/>
        <sz val="11.0"/>
      </rPr>
      <t xml:space="preserve"> QB  HOU</t>
    </r>
  </si>
  <si>
    <t>RB123</t>
  </si>
  <si>
    <r>
      <rPr>
        <rFont val="Poppins, Arial, Helvetica, sans-serif"/>
        <color rgb="FF1155CC"/>
        <sz val="9.0"/>
        <u/>
      </rPr>
      <t>Zavier Scott</t>
    </r>
    <r>
      <rPr>
        <rFont val="Poppins, Arial, Helvetica, sans-serif"/>
        <sz val="9.0"/>
      </rPr>
      <t xml:space="preserve"> (MIN)</t>
    </r>
  </si>
  <si>
    <t>132/139</t>
  </si>
  <si>
    <r>
      <rPr>
        <rFont val="&quot;TT Norms&quot;, ui-system, sans-serif"/>
        <color rgb="FF1155CC"/>
        <sz val="11.0"/>
        <u/>
      </rPr>
      <t>Makai Lemon</t>
    </r>
    <r>
      <rPr>
        <rFont val="&quot;TT Norms&quot;, ui-system, sans-serif"/>
        <sz val="11.0"/>
      </rPr>
      <t xml:space="preserve"> WR  PHI</t>
    </r>
  </si>
  <si>
    <t>RB124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</si>
  <si>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udric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Estime</t>
    </r>
    <r>
      <rPr>
        <rFont val="Roboto, sans-serif"/>
      </rPr>
      <t xml:space="preserve">
NORB81</t>
    </r>
  </si>
  <si>
    <t>72/166</t>
  </si>
  <si>
    <r>
      <rPr>
        <rFont val="Poppins, Arial, Helvetica, sans-serif"/>
        <color rgb="FF1155CC"/>
        <sz val="9.0"/>
        <u/>
      </rPr>
      <t>Jake Moody</t>
    </r>
    <r>
      <rPr>
        <rFont val="Poppins, Arial, Helvetica, sans-serif"/>
        <sz val="9.0"/>
      </rPr>
      <t xml:space="preserve"> (WAS)</t>
    </r>
  </si>
  <si>
    <r>
      <rPr>
        <rFont val="&quot;TT Norms&quot;, ui-system, sans-serif"/>
        <color rgb="FF1155CC"/>
        <sz val="11.0"/>
        <u/>
      </rPr>
      <t>Michael Pittman</t>
    </r>
    <r>
      <rPr>
        <rFont val="&quot;TT Norms&quot;, ui-system, sans-serif"/>
        <sz val="11.0"/>
      </rPr>
      <t xml:space="preserve"> WR  PIT</t>
    </r>
  </si>
  <si>
    <t>103/183</t>
  </si>
  <si>
    <t>K31</t>
  </si>
  <si>
    <r>
      <rPr>
        <rFont val="&quot;TT Norms&quot;, ui-system, sans-serif"/>
        <color rgb="FF1155CC"/>
        <sz val="11.0"/>
        <u/>
      </rPr>
      <t>Cameron Dicker</t>
    </r>
    <r>
      <rPr>
        <rFont val="&quot;TT Norms&quot;, ui-system, sans-serif"/>
        <sz val="11.0"/>
      </rPr>
      <t xml:space="preserve"> K  LAC</t>
    </r>
  </si>
  <si>
    <r>
      <rPr>
        <rFont val="Poppins, Arial, Helvetica, sans-serif"/>
        <color rgb="FF1155CC"/>
        <sz val="9.0"/>
        <u/>
      </rPr>
      <t>Tyler Lockett</t>
    </r>
    <r>
      <rPr>
        <rFont val="Poppins, Arial, Helvetica, sans-serif"/>
        <sz val="9.0"/>
      </rPr>
      <t xml:space="preserve"> (LV)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</si>
  <si>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aVontae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Turpin</t>
    </r>
    <r>
      <rPr>
        <rFont val="Roboto, sans-serif"/>
      </rPr>
      <t xml:space="preserve">
DALWR90</t>
    </r>
  </si>
  <si>
    <t>108/187</t>
  </si>
  <si>
    <r>
      <rPr>
        <rFont val="&quot;TT Norms&quot;, ui-system, sans-serif"/>
        <color rgb="FF1155CC"/>
        <sz val="11.0"/>
        <u/>
      </rPr>
      <t>Sam Darnold</t>
    </r>
    <r>
      <rPr>
        <rFont val="&quot;TT Norms&quot;, ui-system, sans-serif"/>
        <sz val="11.0"/>
      </rPr>
      <t xml:space="preserve"> QB  SEA</t>
    </r>
  </si>
  <si>
    <t>WR148</t>
  </si>
  <si>
    <r>
      <rPr>
        <rFont val="Poppins, Arial, Helvetica, sans-serif"/>
        <color rgb="FF1155CC"/>
        <sz val="9.0"/>
        <u/>
      </rPr>
      <t>Antonio Gibson</t>
    </r>
    <r>
      <rPr>
        <rFont val="Poppins, Arial, Helvetica, sans-serif"/>
        <sz val="9.0"/>
      </rPr>
      <t xml:space="preserve"> (FA)</t>
    </r>
  </si>
  <si>
    <t>124/156</t>
  </si>
  <si>
    <r>
      <rPr>
        <rFont val="&quot;TT Norms&quot;, ui-system, sans-serif"/>
        <color rgb="FF1155CC"/>
        <sz val="11.0"/>
        <u/>
      </rPr>
      <t>Rashid Shaheed</t>
    </r>
    <r>
      <rPr>
        <rFont val="&quot;TT Norms&quot;, ui-system, sans-serif"/>
        <sz val="11.0"/>
      </rPr>
      <t xml:space="preserve"> WR  SEA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</si>
  <si>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Mayer</t>
    </r>
    <r>
      <rPr>
        <rFont val="Roboto, sans-serif"/>
      </rPr>
      <t xml:space="preserve">
LVRTE33</t>
    </r>
  </si>
  <si>
    <t>RB125</t>
  </si>
  <si>
    <t>119/163</t>
  </si>
  <si>
    <r>
      <rPr>
        <rFont val="&quot;TT Norms&quot;, ui-system, sans-serif"/>
        <color rgb="FF1155CC"/>
        <sz val="11.0"/>
        <u/>
      </rPr>
      <t>Falcons</t>
    </r>
    <r>
      <rPr>
        <rFont val="&quot;TT Norms&quot;, ui-system, sans-serif"/>
        <sz val="11.0"/>
      </rPr>
      <t xml:space="preserve"> DST  ATL</t>
    </r>
  </si>
  <si>
    <r>
      <rPr>
        <rFont val="Poppins, Arial, Helvetica, sans-serif"/>
        <color rgb="FF1155CC"/>
        <sz val="9.0"/>
        <u/>
      </rPr>
      <t>Myles Montgomery</t>
    </r>
    <r>
      <rPr>
        <rFont val="Poppins, Arial, Helvetica, sans-serif"/>
        <sz val="9.0"/>
      </rPr>
      <t xml:space="preserve"> (NE)</t>
    </r>
  </si>
  <si>
    <t>124/157</t>
  </si>
  <si>
    <r>
      <rPr>
        <rFont val="&quot;TT Norms&quot;, ui-system, sans-serif"/>
        <color rgb="FF1155CC"/>
        <sz val="11.0"/>
        <u/>
      </rPr>
      <t>Steelers</t>
    </r>
    <r>
      <rPr>
        <rFont val="&quot;TT Norms&quot;, ui-system, sans-serif"/>
        <sz val="11.0"/>
      </rPr>
      <t xml:space="preserve"> DST  PIT</t>
    </r>
  </si>
  <si>
    <t>RB126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</si>
  <si>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Mims Jr.</t>
    </r>
    <r>
      <rPr>
        <rFont val="Roboto, sans-serif"/>
      </rPr>
      <t xml:space="preserve">
DENWR91</t>
    </r>
  </si>
  <si>
    <r>
      <rPr>
        <rFont val="Poppins, Arial, Helvetica, sans-serif"/>
        <color rgb="FF1155CC"/>
        <sz val="9.0"/>
        <u/>
      </rPr>
      <t>CJ Daniels</t>
    </r>
    <r>
      <rPr>
        <rFont val="Poppins, Arial, Helvetica, sans-serif"/>
        <sz val="9.0"/>
      </rPr>
      <t xml:space="preserve"> (LAR)</t>
    </r>
  </si>
  <si>
    <t>121/156</t>
  </si>
  <si>
    <r>
      <rPr>
        <rFont val="&quot;TT Norms&quot;, ui-system, sans-serif"/>
        <color rgb="FF1155CC"/>
        <sz val="11.0"/>
        <u/>
      </rPr>
      <t>Woody Marks</t>
    </r>
    <r>
      <rPr>
        <rFont val="&quot;TT Norms&quot;, ui-system, sans-serif"/>
        <sz val="11.0"/>
      </rPr>
      <t xml:space="preserve"> RB  HOU</t>
    </r>
  </si>
  <si>
    <t>WR149</t>
  </si>
  <si>
    <r>
      <rPr>
        <rFont val="Poppins, Arial, Helvetica, sans-serif"/>
        <color rgb="FF1155CC"/>
        <sz val="9.0"/>
        <u/>
      </rPr>
      <t>Cash Jones</t>
    </r>
    <r>
      <rPr>
        <rFont val="Poppins, Arial, Helvetica, sans-serif"/>
        <sz val="9.0"/>
      </rPr>
      <t xml:space="preserve"> (ATL)</t>
    </r>
  </si>
  <si>
    <t>121/161</t>
  </si>
  <si>
    <r>
      <rPr>
        <rFont val="&quot;TT Norms&quot;, ui-system, sans-serif"/>
        <color rgb="FF1155CC"/>
        <sz val="11.0"/>
        <u/>
      </rPr>
      <t>Brian Robinson Jr.</t>
    </r>
    <r>
      <rPr>
        <rFont val="&quot;TT Norms&quot;, ui-system, sans-serif"/>
        <sz val="11.0"/>
      </rPr>
      <t xml:space="preserve"> RB  ATL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</si>
  <si>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MIAWR92</t>
    </r>
  </si>
  <si>
    <t>RB127</t>
  </si>
  <si>
    <t>122/151</t>
  </si>
  <si>
    <r>
      <rPr>
        <rFont val="Poppins, Arial, Helvetica, sans-serif"/>
        <color rgb="FF1155CC"/>
        <sz val="9.0"/>
        <u/>
      </rPr>
      <t>Spencer Shrader</t>
    </r>
    <r>
      <rPr>
        <rFont val="Poppins, Arial, Helvetica, sans-serif"/>
        <sz val="9.0"/>
      </rPr>
      <t xml:space="preserve"> (IND)</t>
    </r>
  </si>
  <si>
    <r>
      <rPr>
        <rFont val="&quot;TT Norms&quot;, ui-system, sans-serif"/>
        <color rgb="FF1155CC"/>
        <sz val="11.0"/>
        <u/>
      </rPr>
      <t>Brenton Strange</t>
    </r>
    <r>
      <rPr>
        <rFont val="&quot;TT Norms&quot;, ui-system, sans-serif"/>
        <sz val="11.0"/>
      </rPr>
      <t xml:space="preserve"> TE  JAC</t>
    </r>
  </si>
  <si>
    <t>K32</t>
  </si>
  <si>
    <t>117/174</t>
  </si>
  <si>
    <r>
      <rPr>
        <rFont val="&quot;TT Norms&quot;, ui-system, sans-serif"/>
        <color rgb="FF1155CC"/>
        <sz val="11.0"/>
        <u/>
      </rPr>
      <t>Ravens</t>
    </r>
    <r>
      <rPr>
        <rFont val="&quot;TT Norms&quot;, ui-system, sans-serif"/>
        <sz val="11.0"/>
      </rPr>
      <t xml:space="preserve"> DST  BAL</t>
    </r>
  </si>
  <si>
    <r>
      <rPr>
        <rFont val="Poppins, Arial, Helvetica, sans-serif"/>
        <color rgb="FF1155CC"/>
        <sz val="9.0"/>
        <u/>
      </rPr>
      <t>Marquez Valdes-Scantling</t>
    </r>
    <r>
      <rPr>
        <rFont val="Poppins, Arial, Helvetica, sans-serif"/>
        <sz val="9.0"/>
      </rPr>
      <t xml:space="preserve"> (DAL)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</si>
  <si>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Stowers</t>
    </r>
    <r>
      <rPr>
        <rFont val="Roboto, sans-serif"/>
      </rPr>
      <t xml:space="preserve">
PHITE34</t>
    </r>
  </si>
  <si>
    <t>89/187</t>
  </si>
  <si>
    <r>
      <rPr>
        <rFont val="&quot;TT Norms&quot;, ui-system, sans-serif"/>
        <color rgb="FF1155CC"/>
        <sz val="11.0"/>
        <u/>
      </rPr>
      <t>Harrison Butker</t>
    </r>
    <r>
      <rPr>
        <rFont val="&quot;TT Norms&quot;, ui-system, sans-serif"/>
        <sz val="11.0"/>
      </rPr>
      <t xml:space="preserve"> K  KC</t>
    </r>
  </si>
  <si>
    <t>WR150</t>
  </si>
  <si>
    <r>
      <rPr>
        <rFont val="Poppins, Arial, Helvetica, sans-serif"/>
        <color rgb="FF1155CC"/>
        <sz val="9.0"/>
        <u/>
      </rPr>
      <t>Ty Chandler</t>
    </r>
    <r>
      <rPr>
        <rFont val="Poppins, Arial, Helvetica, sans-serif"/>
        <sz val="9.0"/>
      </rPr>
      <t xml:space="preserve"> (NO)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</si>
  <si>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Ayomanor</t>
    </r>
    <r>
      <rPr>
        <rFont val="Roboto, sans-serif"/>
      </rPr>
      <t xml:space="preserve">
TENWR93</t>
    </r>
  </si>
  <si>
    <r>
      <rPr>
        <rFont val="&quot;TT Norms&quot;, ui-system, sans-serif"/>
        <color rgb="FF1155CC"/>
        <sz val="11.0"/>
        <u/>
      </rPr>
      <t>Romeo Doubs</t>
    </r>
    <r>
      <rPr>
        <rFont val="&quot;TT Norms&quot;, ui-system, sans-serif"/>
        <sz val="11.0"/>
      </rPr>
      <t xml:space="preserve"> WR  NE</t>
    </r>
  </si>
  <si>
    <t>RB128</t>
  </si>
  <si>
    <r>
      <rPr>
        <rFont val="Poppins, Arial, Helvetica, sans-serif"/>
        <color rgb="FF1155CC"/>
        <sz val="9.0"/>
        <u/>
      </rPr>
      <t>Nate Boerkircher</t>
    </r>
    <r>
      <rPr>
        <rFont val="Poppins, Arial, Helvetica, sans-serif"/>
        <sz val="9.0"/>
      </rPr>
      <t xml:space="preserve"> (JAC)</t>
    </r>
  </si>
  <si>
    <t>131/167</t>
  </si>
  <si>
    <r>
      <rPr>
        <rFont val="&quot;TT Norms&quot;, ui-system, sans-serif"/>
        <color rgb="FF1155CC"/>
        <sz val="11.0"/>
        <u/>
      </rPr>
      <t>Chargers</t>
    </r>
    <r>
      <rPr>
        <rFont val="&quot;TT Norms&quot;, ui-system, sans-serif"/>
        <sz val="11.0"/>
      </rPr>
      <t xml:space="preserve"> DST  LAC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</si>
  <si>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hedeur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Sanders</t>
    </r>
    <r>
      <rPr>
        <rFont val="Roboto, sans-serif"/>
      </rPr>
      <t xml:space="preserve">
CLEQB31</t>
    </r>
  </si>
  <si>
    <t>TE65</t>
  </si>
  <si>
    <r>
      <rPr>
        <rFont val="Poppins, Arial, Helvetica, sans-serif"/>
        <color rgb="FF1155CC"/>
        <sz val="9.0"/>
        <u/>
      </rPr>
      <t>Donovan Edwards</t>
    </r>
    <r>
      <rPr>
        <rFont val="Poppins, Arial, Helvetica, sans-serif"/>
        <sz val="9.0"/>
      </rPr>
      <t xml:space="preserve"> (MIA)</t>
    </r>
  </si>
  <si>
    <t>117/173</t>
  </si>
  <si>
    <r>
      <rPr>
        <rFont val="&quot;TT Norms&quot;, ui-system, sans-serif"/>
        <color rgb="FF1155CC"/>
        <sz val="11.0"/>
        <u/>
      </rPr>
      <t>Jacoby Brissett</t>
    </r>
    <r>
      <rPr>
        <rFont val="&quot;TT Norms&quot;, ui-system, sans-serif"/>
        <sz val="11.0"/>
      </rPr>
      <t xml:space="preserve"> QB  ARI</t>
    </r>
  </si>
  <si>
    <t>RB129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</si>
  <si>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Bech</t>
    </r>
    <r>
      <rPr>
        <rFont val="Roboto, sans-serif"/>
      </rPr>
      <t xml:space="preserve">
LVRWR94</t>
    </r>
  </si>
  <si>
    <r>
      <rPr>
        <rFont val="Poppins, Arial, Helvetica, sans-serif"/>
        <color rgb="FF1155CC"/>
        <sz val="9.0"/>
        <u/>
      </rPr>
      <t>Jacob Saylors</t>
    </r>
    <r>
      <rPr>
        <rFont val="Poppins, Arial, Helvetica, sans-serif"/>
        <sz val="9.0"/>
      </rPr>
      <t xml:space="preserve"> (DET)</t>
    </r>
  </si>
  <si>
    <t>143/144</t>
  </si>
  <si>
    <r>
      <rPr>
        <rFont val="&quot;TT Norms&quot;, ui-system, sans-serif"/>
        <color rgb="FF1155CC"/>
        <sz val="11.0"/>
        <u/>
      </rPr>
      <t>Khalil Shakir</t>
    </r>
    <r>
      <rPr>
        <rFont val="&quot;TT Norms&quot;, ui-system, sans-serif"/>
        <sz val="11.0"/>
      </rPr>
      <t xml:space="preserve"> WR  BUF</t>
    </r>
  </si>
  <si>
    <t>RB130</t>
  </si>
  <si>
    <r>
      <rPr>
        <rFont val="Poppins, Arial, Helvetica, sans-serif"/>
        <color rgb="FF1155CC"/>
        <sz val="9.0"/>
        <u/>
      </rPr>
      <t>Jameis Winston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</si>
  <si>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Hurst</t>
    </r>
    <r>
      <rPr>
        <rFont val="Roboto, sans-serif"/>
      </rPr>
      <t xml:space="preserve">
TBWR95</t>
    </r>
  </si>
  <si>
    <t>96/192</t>
  </si>
  <si>
    <r>
      <rPr>
        <rFont val="&quot;TT Norms&quot;, ui-system, sans-serif"/>
        <color rgb="FF1155CC"/>
        <sz val="11.0"/>
        <u/>
      </rPr>
      <t>Xavier Worthy</t>
    </r>
    <r>
      <rPr>
        <rFont val="&quot;TT Norms&quot;, ui-system, sans-serif"/>
        <sz val="11.0"/>
      </rPr>
      <t xml:space="preserve"> WR  KC</t>
    </r>
  </si>
  <si>
    <t>QB46</t>
  </si>
  <si>
    <r>
      <rPr>
        <rFont val="Poppins, Arial, Helvetica, sans-serif"/>
        <color rgb="FF1155CC"/>
        <sz val="9.0"/>
        <u/>
      </rPr>
      <t>Taysom Hill</t>
    </r>
    <r>
      <rPr>
        <rFont val="Poppins, Arial, Helvetica, sans-serif"/>
        <sz val="9.0"/>
      </rPr>
      <t xml:space="preserve"> (FA)</t>
    </r>
  </si>
  <si>
    <t>109/180</t>
  </si>
  <si>
    <r>
      <rPr>
        <rFont val="&quot;TT Norms&quot;, ui-system, sans-serif"/>
        <color rgb="FF1155CC"/>
        <sz val="11.0"/>
        <u/>
      </rPr>
      <t>Tank Dell</t>
    </r>
    <r>
      <rPr>
        <rFont val="&quot;TT Norms&quot;, ui-system, sans-serif"/>
        <sz val="11.0"/>
      </rPr>
      <t xml:space="preserve"> WR  HOU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</si>
  <si>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arquise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PHIWR96</t>
    </r>
  </si>
  <si>
    <t>TE66</t>
  </si>
  <si>
    <r>
      <rPr>
        <rFont val="Poppins, Arial, Helvetica, sans-serif"/>
        <color rgb="FF1155CC"/>
        <sz val="9.0"/>
        <u/>
      </rPr>
      <t>Tyler Goodson</t>
    </r>
    <r>
      <rPr>
        <rFont val="Poppins, Arial, Helvetica, sans-serif"/>
        <sz val="9.0"/>
      </rPr>
      <t xml:space="preserve"> (ATL)</t>
    </r>
  </si>
  <si>
    <t>118/180</t>
  </si>
  <si>
    <r>
      <rPr>
        <rFont val="&quot;TT Norms&quot;, ui-system, sans-serif"/>
        <color rgb="FF1155CC"/>
        <sz val="11.0"/>
        <u/>
      </rPr>
      <t>Hunter Henry</t>
    </r>
    <r>
      <rPr>
        <rFont val="&quot;TT Norms&quot;, ui-system, sans-serif"/>
        <sz val="11.0"/>
      </rPr>
      <t xml:space="preserve"> TE  NE</t>
    </r>
  </si>
  <si>
    <t>RB131</t>
  </si>
  <si>
    <r>
      <rPr>
        <rFont val="Poppins, Arial, Helvetica, sans-serif"/>
        <color rgb="FF1155CC"/>
        <sz val="9.0"/>
        <u/>
      </rPr>
      <t>Khalil Herbert</t>
    </r>
    <r>
      <rPr>
        <rFont val="Poppins, Arial, Helvetica, sans-serif"/>
        <sz val="9.0"/>
      </rPr>
      <t xml:space="preserve"> (SF)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</si>
  <si>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Horton</t>
    </r>
    <r>
      <rPr>
        <rFont val="Roboto, sans-serif"/>
      </rPr>
      <t xml:space="preserve">
SEAWR97</t>
    </r>
  </si>
  <si>
    <t>122/175</t>
  </si>
  <si>
    <r>
      <rPr>
        <rFont val="&quot;TT Norms&quot;, ui-system, sans-serif"/>
        <color rgb="FF1155CC"/>
        <sz val="11.0"/>
        <u/>
      </rPr>
      <t>Theo Wease Jr.</t>
    </r>
    <r>
      <rPr>
        <rFont val="&quot;TT Norms&quot;, ui-system, sans-serif"/>
        <sz val="11.0"/>
      </rPr>
      <t xml:space="preserve"> WR  MIA</t>
    </r>
  </si>
  <si>
    <t>RB132</t>
  </si>
  <si>
    <r>
      <rPr>
        <rFont val="Poppins, Arial, Helvetica, sans-serif"/>
        <color rgb="FF1155CC"/>
        <sz val="9.0"/>
        <u/>
      </rPr>
      <t>Jakobie Keeney-James</t>
    </r>
    <r>
      <rPr>
        <rFont val="Poppins, Arial, Helvetica, sans-serif"/>
        <sz val="9.0"/>
      </rPr>
      <t xml:space="preserve"> (PIT)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</si>
  <si>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ntonio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WASWR98</t>
    </r>
  </si>
  <si>
    <t>145/147</t>
  </si>
  <si>
    <r>
      <rPr>
        <rFont val="&quot;TT Norms&quot;, ui-system, sans-serif"/>
        <color rgb="FF1155CC"/>
        <sz val="11.0"/>
        <u/>
      </rPr>
      <t>Malik Willis</t>
    </r>
    <r>
      <rPr>
        <rFont val="&quot;TT Norms&quot;, ui-system, sans-serif"/>
        <sz val="11.0"/>
      </rPr>
      <t xml:space="preserve"> QB  MIA</t>
    </r>
  </si>
  <si>
    <t>WR151</t>
  </si>
  <si>
    <r>
      <rPr>
        <rFont val="Poppins, Arial, Helvetica, sans-serif"/>
        <color rgb="FF1155CC"/>
        <sz val="9.0"/>
        <u/>
      </rPr>
      <t>Scotty Miller</t>
    </r>
    <r>
      <rPr>
        <rFont val="Poppins, Arial, Helvetica, sans-serif"/>
        <sz val="9.0"/>
      </rPr>
      <t xml:space="preserve"> (CHI)</t>
    </r>
  </si>
  <si>
    <t>120/173</t>
  </si>
  <si>
    <r>
      <rPr>
        <rFont val="&quot;TT Norms&quot;, ui-system, sans-serif"/>
        <color rgb="FF1155CC"/>
        <sz val="11.0"/>
        <u/>
      </rPr>
      <t>Cam Little</t>
    </r>
    <r>
      <rPr>
        <rFont val="&quot;TT Norms&quot;, ui-system, sans-serif"/>
        <sz val="11.0"/>
      </rPr>
      <t xml:space="preserve"> K  JAC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</si>
  <si>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alachi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Fields</t>
    </r>
    <r>
      <rPr>
        <rFont val="Roboto, sans-serif"/>
      </rPr>
      <t xml:space="preserve">
NYGWR99</t>
    </r>
  </si>
  <si>
    <t>WR152</t>
  </si>
  <si>
    <r>
      <rPr>
        <rFont val="Poppins, Arial, Helvetica, sans-serif"/>
        <color rgb="FF1155CC"/>
        <sz val="9.0"/>
        <u/>
      </rPr>
      <t>Kendric Pryor</t>
    </r>
    <r>
      <rPr>
        <rFont val="Poppins, Arial, Helvetica, sans-serif"/>
        <sz val="9.0"/>
      </rPr>
      <t xml:space="preserve"> (CIN)</t>
    </r>
  </si>
  <si>
    <t>129/171</t>
  </si>
  <si>
    <r>
      <rPr>
        <rFont val="&quot;TT Norms&quot;, ui-system, sans-serif"/>
        <color rgb="FF1155CC"/>
        <sz val="11.0"/>
        <u/>
      </rPr>
      <t>Lions</t>
    </r>
    <r>
      <rPr>
        <rFont val="&quot;TT Norms&quot;, ui-system, sans-serif"/>
        <sz val="11.0"/>
      </rPr>
      <t xml:space="preserve"> DST  DET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</si>
  <si>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NEWR100</t>
    </r>
  </si>
  <si>
    <t>WR153</t>
  </si>
  <si>
    <r>
      <rPr>
        <rFont val="Poppins, Arial, Helvetica, sans-serif"/>
        <color rgb="FF1155CC"/>
        <sz val="9.0"/>
        <u/>
      </rPr>
      <t>Roman Hemby</t>
    </r>
    <r>
      <rPr>
        <rFont val="Poppins, Arial, Helvetica, sans-serif"/>
        <sz val="9.0"/>
      </rPr>
      <t xml:space="preserve"> (LV)</t>
    </r>
  </si>
  <si>
    <t>132/164</t>
  </si>
  <si>
    <r>
      <rPr>
        <rFont val="&quot;TT Norms&quot;, ui-system, sans-serif"/>
        <color rgb="FF1155CC"/>
        <sz val="11.0"/>
        <u/>
      </rPr>
      <t>Tyjae Spears</t>
    </r>
    <r>
      <rPr>
        <rFont val="&quot;TT Norms&quot;, ui-system, sans-serif"/>
        <sz val="11.0"/>
      </rPr>
      <t xml:space="preserve"> RB  TEN</t>
    </r>
  </si>
  <si>
    <t>RB133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</si>
  <si>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NYJTE35</t>
    </r>
  </si>
  <si>
    <r>
      <rPr>
        <rFont val="Poppins, Arial, Helvetica, sans-serif"/>
        <color rgb="FF1155CC"/>
        <sz val="9.0"/>
        <u/>
      </rPr>
      <t>Josh Oliver</t>
    </r>
    <r>
      <rPr>
        <rFont val="Poppins, Arial, Helvetica, sans-serif"/>
        <sz val="9.0"/>
      </rPr>
      <t xml:space="preserve"> (MIN)</t>
    </r>
  </si>
  <si>
    <t>139/162</t>
  </si>
  <si>
    <r>
      <rPr>
        <rFont val="&quot;TT Norms&quot;, ui-system, sans-serif"/>
        <color rgb="FF1155CC"/>
        <sz val="11.0"/>
        <u/>
      </rPr>
      <t>Jalen Coker</t>
    </r>
    <r>
      <rPr>
        <rFont val="&quot;TT Norms&quot;, ui-system, sans-serif"/>
        <sz val="11.0"/>
      </rPr>
      <t xml:space="preserve"> WR  CAR</t>
    </r>
  </si>
  <si>
    <t>TE67</t>
  </si>
  <si>
    <r>
      <rPr>
        <rFont val="Poppins, Arial, Helvetica, sans-serif"/>
        <color rgb="FF1155CC"/>
        <sz val="9.0"/>
        <u/>
      </rPr>
      <t>Kevin Austin Jr.</t>
    </r>
    <r>
      <rPr>
        <rFont val="Poppins, Arial, Helvetica, sans-serif"/>
        <sz val="9.0"/>
      </rPr>
      <t xml:space="preserve"> (NO)</t>
    </r>
  </si>
  <si>
    <t>136/156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</si>
  <si>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Mixon</t>
    </r>
    <r>
      <rPr>
        <rFont val="Roboto, sans-serif"/>
      </rPr>
      <t xml:space="preserve">
UNSRB82</t>
    </r>
  </si>
  <si>
    <r>
      <rPr>
        <rFont val="&quot;TT Norms&quot;, ui-system, sans-serif"/>
        <color rgb="FF1155CC"/>
        <sz val="11.0"/>
        <u/>
      </rPr>
      <t>Adam Randall</t>
    </r>
    <r>
      <rPr>
        <rFont val="&quot;TT Norms&quot;, ui-system, sans-serif"/>
        <sz val="11.0"/>
      </rPr>
      <t xml:space="preserve"> RB  BAL</t>
    </r>
  </si>
  <si>
    <t>WR154</t>
  </si>
  <si>
    <r>
      <rPr>
        <rFont val="Poppins, Arial, Helvetica, sans-serif"/>
        <color rgb="FF1155CC"/>
        <sz val="9.0"/>
        <u/>
      </rPr>
      <t>Jahdae Walker</t>
    </r>
    <r>
      <rPr>
        <rFont val="Poppins, Arial, Helvetica, sans-serif"/>
        <sz val="9.0"/>
      </rPr>
      <t xml:space="preserve"> (CHI)</t>
    </r>
  </si>
  <si>
    <t>135/159</t>
  </si>
  <si>
    <r>
      <rPr>
        <rFont val="&quot;TT Norms&quot;, ui-system, sans-serif"/>
        <color rgb="FF1155CC"/>
        <sz val="11.0"/>
        <u/>
      </rPr>
      <t>Jayden Reed</t>
    </r>
    <r>
      <rPr>
        <rFont val="&quot;TT Norms&quot;, ui-system, sans-serif"/>
        <sz val="11.0"/>
      </rPr>
      <t xml:space="preserve"> WR  GB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</si>
  <si>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Dillon</t>
    </r>
    <r>
      <rPr>
        <rFont val="Roboto, sans-serif"/>
      </rPr>
      <t xml:space="preserve">
CARRB83</t>
    </r>
  </si>
  <si>
    <t>WR155</t>
  </si>
  <si>
    <r>
      <rPr>
        <rFont val="Poppins, Arial, Helvetica, sans-serif"/>
        <color rgb="FF1155CC"/>
        <sz val="9.0"/>
        <u/>
      </rPr>
      <t>Mo Alie-Cox</t>
    </r>
    <r>
      <rPr>
        <rFont val="Poppins, Arial, Helvetica, sans-serif"/>
        <sz val="9.0"/>
      </rPr>
      <t xml:space="preserve"> (IND)</t>
    </r>
  </si>
  <si>
    <t>126/167</t>
  </si>
  <si>
    <r>
      <rPr>
        <rFont val="&quot;TT Norms&quot;, ui-system, sans-serif"/>
        <color rgb="FF1155CC"/>
        <sz val="11.0"/>
        <u/>
      </rPr>
      <t>Jake Bates</t>
    </r>
    <r>
      <rPr>
        <rFont val="&quot;TT Norms&quot;, ui-system, sans-serif"/>
        <sz val="11.0"/>
      </rPr>
      <t xml:space="preserve"> K  DET</t>
    </r>
  </si>
  <si>
    <t>TE68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</si>
  <si>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Kirk</t>
    </r>
    <r>
      <rPr>
        <rFont val="Roboto, sans-serif"/>
      </rPr>
      <t xml:space="preserve">
SFWR101</t>
    </r>
  </si>
  <si>
    <r>
      <rPr>
        <rFont val="Poppins, Arial, Helvetica, sans-serif"/>
        <color rgb="FF1155CC"/>
        <sz val="9.0"/>
        <u/>
      </rPr>
      <t>AJ Dillon</t>
    </r>
    <r>
      <rPr>
        <rFont val="Poppins, Arial, Helvetica, sans-serif"/>
        <sz val="9.0"/>
      </rPr>
      <t xml:space="preserve"> (CAR)</t>
    </r>
  </si>
  <si>
    <t>127/186</t>
  </si>
  <si>
    <r>
      <rPr>
        <rFont val="&quot;TT Norms&quot;, ui-system, sans-serif"/>
        <color rgb="FF1155CC"/>
        <sz val="11.0"/>
        <u/>
      </rPr>
      <t>Deebo Samuel</t>
    </r>
    <r>
      <rPr>
        <rFont val="&quot;TT Norms&quot;, ui-system, sans-serif"/>
        <sz val="11.0"/>
      </rPr>
      <t xml:space="preserve"> WR  SF</t>
    </r>
  </si>
  <si>
    <t>RB134</t>
  </si>
  <si>
    <r>
      <rPr>
        <rFont val="Poppins, Arial, Helvetica, sans-serif"/>
        <color rgb="FF1155CC"/>
        <sz val="9.0"/>
        <u/>
      </rPr>
      <t>Odell Beckham Jr.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</si>
  <si>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ax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Klare</t>
    </r>
    <r>
      <rPr>
        <rFont val="Roboto, sans-serif"/>
      </rPr>
      <t xml:space="preserve">
LARTE36</t>
    </r>
  </si>
  <si>
    <t>119/181</t>
  </si>
  <si>
    <r>
      <rPr>
        <rFont val="&quot;TT Norms&quot;, ui-system, sans-serif"/>
        <color rgb="FF1155CC"/>
        <sz val="11.0"/>
        <u/>
      </rPr>
      <t>Calvin Ridley</t>
    </r>
    <r>
      <rPr>
        <rFont val="&quot;TT Norms&quot;, ui-system, sans-serif"/>
        <sz val="11.0"/>
      </rPr>
      <t xml:space="preserve"> WR  TEN</t>
    </r>
  </si>
  <si>
    <t>WR156</t>
  </si>
  <si>
    <r>
      <rPr>
        <rFont val="Poppins, Arial, Helvetica, sans-serif"/>
        <color rgb="FF1155CC"/>
        <sz val="9.0"/>
        <u/>
      </rPr>
      <t>Jake Bobo</t>
    </r>
    <r>
      <rPr>
        <rFont val="Poppins, Arial, Helvetica, sans-serif"/>
        <sz val="9.0"/>
      </rPr>
      <t xml:space="preserve"> (SEA)</t>
    </r>
  </si>
  <si>
    <t>125/179</t>
  </si>
  <si>
    <r>
      <rPr>
        <rFont val="&quot;TT Norms&quot;, ui-system, sans-serif"/>
        <color rgb="FF1155CC"/>
        <sz val="11.0"/>
        <u/>
      </rPr>
      <t>Blake Grupe</t>
    </r>
    <r>
      <rPr>
        <rFont val="&quot;TT Norms&quot;, ui-system, sans-serif"/>
        <sz val="11.0"/>
      </rPr>
      <t xml:space="preserve"> K  IND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</si>
  <si>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heo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NYGTE37</t>
    </r>
  </si>
  <si>
    <t>WR157</t>
  </si>
  <si>
    <r>
      <rPr>
        <rFont val="Poppins, Arial, Helvetica, sans-serif"/>
        <color rgb="FF1155CC"/>
        <sz val="9.0"/>
        <u/>
      </rPr>
      <t>Roman Wilson</t>
    </r>
    <r>
      <rPr>
        <rFont val="Poppins, Arial, Helvetica, sans-serif"/>
        <sz val="9.0"/>
      </rPr>
      <t xml:space="preserve"> (PIT)</t>
    </r>
  </si>
  <si>
    <t>149/159</t>
  </si>
  <si>
    <r>
      <rPr>
        <rFont val="&quot;TT Norms&quot;, ui-system, sans-serif"/>
        <color rgb="FF1155CC"/>
        <sz val="11.0"/>
        <u/>
      </rPr>
      <t>KC Concepcion</t>
    </r>
    <r>
      <rPr>
        <rFont val="&quot;TT Norms&quot;, ui-system, sans-serif"/>
        <sz val="11.0"/>
      </rPr>
      <t xml:space="preserve"> WR  CLE</t>
    </r>
  </si>
  <si>
    <t>WR158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</si>
  <si>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himere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Dike</t>
    </r>
    <r>
      <rPr>
        <rFont val="Roboto, sans-serif"/>
      </rPr>
      <t xml:space="preserve">
TENWR102</t>
    </r>
  </si>
  <si>
    <r>
      <rPr>
        <rFont val="Poppins, Arial, Helvetica, sans-serif"/>
        <color rgb="FF1155CC"/>
        <sz val="9.0"/>
        <u/>
      </rPr>
      <t>Jaydn Ott</t>
    </r>
    <r>
      <rPr>
        <rFont val="Poppins, Arial, Helvetica, sans-serif"/>
        <sz val="9.0"/>
      </rPr>
      <t xml:space="preserve"> (KC)</t>
    </r>
  </si>
  <si>
    <t>143/168</t>
  </si>
  <si>
    <r>
      <rPr>
        <rFont val="&quot;TT Norms&quot;, ui-system, sans-serif"/>
        <color rgb="FF1155CC"/>
        <sz val="11.0"/>
        <u/>
      </rPr>
      <t>Juwan Johnson</t>
    </r>
    <r>
      <rPr>
        <rFont val="&quot;TT Norms&quot;, ui-system, sans-serif"/>
        <sz val="11.0"/>
      </rPr>
      <t xml:space="preserve"> TE  NO</t>
    </r>
  </si>
  <si>
    <t>RB135</t>
  </si>
  <si>
    <r>
      <rPr>
        <rFont val="Poppins, Arial, Helvetica, sans-serif"/>
        <color rgb="FF1155CC"/>
        <sz val="9.0"/>
        <u/>
      </rPr>
      <t>Tim Patrick</t>
    </r>
    <r>
      <rPr>
        <rFont val="Poppins, Arial, Helvetica, sans-serif"/>
        <sz val="9.0"/>
      </rPr>
      <t xml:space="preserve"> (NYJ)</t>
    </r>
  </si>
  <si>
    <t>123/183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</si>
  <si>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emario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Douglas</t>
    </r>
    <r>
      <rPr>
        <rFont val="Roboto, sans-serif"/>
      </rPr>
      <t xml:space="preserve">
NEWR103</t>
    </r>
  </si>
  <si>
    <r>
      <rPr>
        <rFont val="&quot;TT Norms&quot;, ui-system, sans-serif"/>
        <color rgb="FF1155CC"/>
        <sz val="11.0"/>
        <u/>
      </rPr>
      <t>Nick Folk</t>
    </r>
    <r>
      <rPr>
        <rFont val="&quot;TT Norms&quot;, ui-system, sans-serif"/>
        <sz val="11.0"/>
      </rPr>
      <t xml:space="preserve"> K  ATL</t>
    </r>
  </si>
  <si>
    <t>WR159</t>
  </si>
  <si>
    <r>
      <rPr>
        <rFont val="Poppins, Arial, Helvetica, sans-serif"/>
        <color rgb="FF1155CC"/>
        <sz val="9.0"/>
        <u/>
      </rPr>
      <t>Miles Sanders</t>
    </r>
    <r>
      <rPr>
        <rFont val="Poppins, Arial, Helvetica, sans-serif"/>
        <sz val="9.0"/>
      </rPr>
      <t xml:space="preserve"> (FA)</t>
    </r>
  </si>
  <si>
    <t>127/185</t>
  </si>
  <si>
    <r>
      <rPr>
        <rFont val="&quot;TT Norms&quot;, ui-system, sans-serif"/>
        <color rgb="FF1155CC"/>
        <sz val="11.0"/>
        <u/>
      </rPr>
      <t>Jauan Jennings</t>
    </r>
    <r>
      <rPr>
        <rFont val="&quot;TT Norms&quot;, ui-system, sans-serif"/>
        <sz val="11.0"/>
      </rPr>
      <t xml:space="preserve"> WR  MIN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</si>
  <si>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Ryland</t>
    </r>
    <r>
      <rPr>
        <rFont val="Roboto, sans-serif"/>
      </rPr>
      <t xml:space="preserve">
ARIK29</t>
    </r>
  </si>
  <si>
    <t>RB136</t>
  </si>
  <si>
    <r>
      <rPr>
        <rFont val="Poppins, Arial, Helvetica, sans-serif"/>
        <color rgb="FF1155CC"/>
        <sz val="9.0"/>
        <u/>
      </rPr>
      <t>Ronnie Rivers</t>
    </r>
    <r>
      <rPr>
        <rFont val="Poppins, Arial, Helvetica, sans-serif"/>
        <sz val="9.0"/>
      </rPr>
      <t xml:space="preserve"> (LAR)</t>
    </r>
  </si>
  <si>
    <t>138/187</t>
  </si>
  <si>
    <r>
      <rPr>
        <rFont val="&quot;TT Norms&quot;, ui-system, sans-serif"/>
        <color rgb="FF1155CC"/>
        <sz val="11.0"/>
        <u/>
      </rPr>
      <t>Jordan James</t>
    </r>
    <r>
      <rPr>
        <rFont val="&quot;TT Norms&quot;, ui-system, sans-serif"/>
        <sz val="11.0"/>
      </rPr>
      <t xml:space="preserve"> RB  SF</t>
    </r>
  </si>
  <si>
    <t>RB137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</si>
  <si>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Tonges</t>
    </r>
    <r>
      <rPr>
        <rFont val="Roboto, sans-serif"/>
      </rPr>
      <t xml:space="preserve">
SFTE38</t>
    </r>
  </si>
  <si>
    <r>
      <rPr>
        <rFont val="Poppins, Arial, Helvetica, sans-serif"/>
        <color rgb="FF1155CC"/>
        <sz val="9.0"/>
        <u/>
      </rPr>
      <t>Tanner Koziol</t>
    </r>
    <r>
      <rPr>
        <rFont val="Poppins, Arial, Helvetica, sans-serif"/>
        <sz val="9.0"/>
      </rPr>
      <t xml:space="preserve"> (JAC)</t>
    </r>
  </si>
  <si>
    <t>141/174</t>
  </si>
  <si>
    <r>
      <rPr>
        <rFont val="&quot;TT Norms&quot;, ui-system, sans-serif"/>
        <color rgb="FF1155CC"/>
        <sz val="11.0"/>
        <u/>
      </rPr>
      <t>Keaton Mitchell</t>
    </r>
    <r>
      <rPr>
        <rFont val="&quot;TT Norms&quot;, ui-system, sans-serif"/>
        <sz val="11.0"/>
      </rPr>
      <t xml:space="preserve"> RB  LAC</t>
    </r>
  </si>
  <si>
    <t>TE69</t>
  </si>
  <si>
    <r>
      <rPr>
        <rFont val="Poppins, Arial, Helvetica, sans-serif"/>
        <color rgb="FF1155CC"/>
        <sz val="9.0"/>
        <u/>
      </rPr>
      <t>Colbie Young</t>
    </r>
    <r>
      <rPr>
        <rFont val="Poppins, Arial, Helvetica, sans-serif"/>
        <sz val="9.0"/>
      </rPr>
      <t xml:space="preserve"> (CIN)</t>
    </r>
  </si>
  <si>
    <t>113/205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</si>
  <si>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ohn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Metchie</t>
    </r>
    <r>
      <rPr>
        <rFont val="Roboto, sans-serif"/>
      </rPr>
      <t xml:space="preserve">
CARWR104</t>
    </r>
  </si>
  <si>
    <r>
      <rPr>
        <rFont val="&quot;TT Norms&quot;, ui-system, sans-serif"/>
        <color rgb="FF1155CC"/>
        <sz val="11.0"/>
        <u/>
      </rPr>
      <t>Spencer Shrader</t>
    </r>
    <r>
      <rPr>
        <rFont val="&quot;TT Norms&quot;, ui-system, sans-serif"/>
        <sz val="11.0"/>
      </rPr>
      <t xml:space="preserve"> K  IND</t>
    </r>
  </si>
  <si>
    <t>WR160</t>
  </si>
  <si>
    <r>
      <rPr>
        <rFont val="Poppins, Arial, Helvetica, sans-serif"/>
        <color rgb="FF1155CC"/>
        <sz val="9.0"/>
        <u/>
      </rPr>
      <t>Jeshaun Jones</t>
    </r>
    <r>
      <rPr>
        <rFont val="Poppins, Arial, Helvetica, sans-serif"/>
        <sz val="9.0"/>
      </rPr>
      <t xml:space="preserve"> (MIN)</t>
    </r>
  </si>
  <si>
    <t>120/184</t>
  </si>
  <si>
    <r>
      <rPr>
        <rFont val="&quot;TT Norms&quot;, ui-system, sans-serif"/>
        <color rgb="FF1155CC"/>
        <sz val="11.0"/>
        <u/>
      </rPr>
      <t>Chase McLaughlin</t>
    </r>
    <r>
      <rPr>
        <rFont val="&quot;TT Norms&quot;, ui-system, sans-serif"/>
        <sz val="11.0"/>
      </rPr>
      <t xml:space="preserve"> K  TB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</si>
  <si>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heo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Wease Jr.</t>
    </r>
    <r>
      <rPr>
        <rFont val="Roboto, sans-serif"/>
      </rPr>
      <t xml:space="preserve">
MIAWR105</t>
    </r>
  </si>
  <si>
    <t>WR161</t>
  </si>
  <si>
    <r>
      <rPr>
        <rFont val="Poppins, Arial, Helvetica, sans-serif"/>
        <color rgb="FF1155CC"/>
        <sz val="9.0"/>
        <u/>
      </rPr>
      <t>Elijah Tau-Tolliver</t>
    </r>
    <r>
      <rPr>
        <rFont val="Poppins, Arial, Helvetica, sans-serif"/>
        <sz val="9.0"/>
      </rPr>
      <t xml:space="preserve"> (BAL)</t>
    </r>
  </si>
  <si>
    <t>135/190</t>
  </si>
  <si>
    <r>
      <rPr>
        <rFont val="&quot;TT Norms&quot;, ui-system, sans-serif"/>
        <color rgb="FF1155CC"/>
        <sz val="11.0"/>
        <u/>
      </rPr>
      <t>Emanuel Wilson</t>
    </r>
    <r>
      <rPr>
        <rFont val="&quot;TT Norms&quot;, ui-system, sans-serif"/>
        <sz val="11.0"/>
      </rPr>
      <t xml:space="preserve"> RB  SEA</t>
    </r>
  </si>
  <si>
    <t>RB138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</si>
  <si>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Trigg</t>
    </r>
    <r>
      <rPr>
        <rFont val="Roboto, sans-serif"/>
      </rPr>
      <t xml:space="preserve">
DALTE39</t>
    </r>
  </si>
  <si>
    <r>
      <rPr>
        <rFont val="Poppins, Arial, Helvetica, sans-serif"/>
        <color rgb="FF1155CC"/>
        <sz val="9.0"/>
        <u/>
      </rPr>
      <t>Adam Trautman</t>
    </r>
    <r>
      <rPr>
        <rFont val="Poppins, Arial, Helvetica, sans-serif"/>
        <sz val="9.0"/>
      </rPr>
      <t xml:space="preserve"> (DEN)</t>
    </r>
  </si>
  <si>
    <t>135/180</t>
  </si>
  <si>
    <r>
      <rPr>
        <rFont val="&quot;TT Norms&quot;, ui-system, sans-serif"/>
        <color rgb="FF1155CC"/>
        <sz val="11.0"/>
        <u/>
      </rPr>
      <t>Evan McPherson</t>
    </r>
    <r>
      <rPr>
        <rFont val="&quot;TT Norms&quot;, ui-system, sans-serif"/>
        <sz val="11.0"/>
      </rPr>
      <t xml:space="preserve"> K  CIN</t>
    </r>
  </si>
  <si>
    <t>TE70</t>
  </si>
  <si>
    <r>
      <rPr>
        <rFont val="Poppins, Arial, Helvetica, sans-serif"/>
        <color rgb="FF1155CC"/>
        <sz val="9.0"/>
        <u/>
      </rPr>
      <t>Xavier Smith</t>
    </r>
    <r>
      <rPr>
        <rFont val="Poppins, Arial, Helvetica, sans-serif"/>
        <sz val="9.0"/>
      </rPr>
      <t xml:space="preserve"> (LAR)</t>
    </r>
  </si>
  <si>
    <t>144/177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</si>
  <si>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Brazzell II</t>
    </r>
    <r>
      <rPr>
        <rFont val="Roboto, sans-serif"/>
      </rPr>
      <t xml:space="preserve">
CARWR106</t>
    </r>
  </si>
  <si>
    <r>
      <rPr>
        <rFont val="&quot;TT Norms&quot;, ui-system, sans-serif"/>
        <color rgb="FF1155CC"/>
        <sz val="11.0"/>
        <u/>
      </rPr>
      <t>Jaguars</t>
    </r>
    <r>
      <rPr>
        <rFont val="&quot;TT Norms&quot;, ui-system, sans-serif"/>
        <sz val="11.0"/>
      </rPr>
      <t xml:space="preserve"> DST  JAC</t>
    </r>
  </si>
  <si>
    <t>WR162</t>
  </si>
  <si>
    <r>
      <rPr>
        <rFont val="Poppins, Arial, Helvetica, sans-serif"/>
        <color rgb="FF1155CC"/>
        <sz val="9.0"/>
        <u/>
      </rPr>
      <t>Ameer Abdullah</t>
    </r>
    <r>
      <rPr>
        <rFont val="Poppins, Arial, Helvetica, sans-serif"/>
        <sz val="9.0"/>
      </rPr>
      <t xml:space="preserve"> (JAC)</t>
    </r>
  </si>
  <si>
    <t>130/196</t>
  </si>
  <si>
    <r>
      <rPr>
        <rFont val="&quot;TT Norms&quot;, ui-system, sans-serif"/>
        <color rgb="FF1155CC"/>
        <sz val="11.0"/>
        <u/>
      </rPr>
      <t>Kenyon Sadiq</t>
    </r>
    <r>
      <rPr>
        <rFont val="&quot;TT Norms&quot;, ui-system, sans-serif"/>
        <sz val="11.0"/>
      </rPr>
      <t xml:space="preserve"> TE  NYJ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</si>
  <si>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lake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Grupe</t>
    </r>
    <r>
      <rPr>
        <rFont val="Roboto, sans-serif"/>
      </rPr>
      <t xml:space="preserve">
INDK26</t>
    </r>
  </si>
  <si>
    <t>RB139</t>
  </si>
  <si>
    <r>
      <rPr>
        <rFont val="Poppins, Arial, Helvetica, sans-serif"/>
        <color rgb="FF1155CC"/>
        <sz val="9.0"/>
        <u/>
      </rPr>
      <t>Jacardia Wright</t>
    </r>
    <r>
      <rPr>
        <rFont val="Poppins, Arial, Helvetica, sans-serif"/>
        <sz val="9.0"/>
      </rPr>
      <t xml:space="preserve"> (SEA)</t>
    </r>
  </si>
  <si>
    <t>106/197</t>
  </si>
  <si>
    <r>
      <rPr>
        <rFont val="&quot;TT Norms&quot;, ui-system, sans-serif"/>
        <color rgb="FF1155CC"/>
        <sz val="11.0"/>
        <u/>
      </rPr>
      <t>Jerry Jeudy</t>
    </r>
    <r>
      <rPr>
        <rFont val="&quot;TT Norms&quot;, ui-system, sans-serif"/>
        <sz val="11.0"/>
      </rPr>
      <t xml:space="preserve"> WR  CLE</t>
    </r>
  </si>
  <si>
    <t>RB140</t>
  </si>
  <si>
    <r>
      <rPr>
        <rFont val="Poppins, Arial, Helvetica, sans-serif"/>
        <color rgb="FF1155CC"/>
        <sz val="9.0"/>
        <u/>
      </rPr>
      <t>Luke Schoonmaker</t>
    </r>
    <r>
      <rPr>
        <rFont val="Poppins, Arial, Helvetica, sans-serif"/>
        <sz val="9.0"/>
      </rPr>
      <t xml:space="preserve"> (DAL)</t>
    </r>
  </si>
  <si>
    <t>158/170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</si>
  <si>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McCarthy</t>
    </r>
    <r>
      <rPr>
        <rFont val="Roboto, sans-serif"/>
      </rPr>
      <t xml:space="preserve">
MINQB32</t>
    </r>
  </si>
  <si>
    <r>
      <rPr>
        <rFont val="&quot;TT Norms&quot;, ui-system, sans-serif"/>
        <color rgb="FF1155CC"/>
        <sz val="11.0"/>
        <u/>
      </rPr>
      <t>Cade Otton</t>
    </r>
    <r>
      <rPr>
        <rFont val="&quot;TT Norms&quot;, ui-system, sans-serif"/>
        <sz val="11.0"/>
      </rPr>
      <t xml:space="preserve"> TE  TB</t>
    </r>
  </si>
  <si>
    <t>TE71</t>
  </si>
  <si>
    <r>
      <rPr>
        <rFont val="Poppins, Arial, Helvetica, sans-serif"/>
        <color rgb="FF1155CC"/>
        <sz val="9.0"/>
        <u/>
      </rPr>
      <t>Tai Felton</t>
    </r>
    <r>
      <rPr>
        <rFont val="Poppins, Arial, Helvetica, sans-serif"/>
        <sz val="9.0"/>
      </rPr>
      <t xml:space="preserve"> (MIN)</t>
    </r>
  </si>
  <si>
    <t>148/186</t>
  </si>
  <si>
    <r>
      <rPr>
        <rFont val="&quot;TT Norms&quot;, ui-system, sans-serif"/>
        <color rgb="FF1155CC"/>
        <sz val="11.0"/>
        <u/>
      </rPr>
      <t>AJ Barner</t>
    </r>
    <r>
      <rPr>
        <rFont val="&quot;TT Norms&quot;, ui-system, sans-serif"/>
        <sz val="11.0"/>
      </rPr>
      <t xml:space="preserve"> TE  SEA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</si>
  <si>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Simpson</t>
    </r>
    <r>
      <rPr>
        <rFont val="Roboto, sans-serif"/>
      </rPr>
      <t xml:space="preserve">
LARQB33</t>
    </r>
  </si>
  <si>
    <t>WR163</t>
  </si>
  <si>
    <r>
      <rPr>
        <rFont val="Poppins, Arial, Helvetica, sans-serif"/>
        <color rgb="FF1155CC"/>
        <sz val="9.0"/>
        <u/>
      </rPr>
      <t>Theo Wease Jr.</t>
    </r>
    <r>
      <rPr>
        <rFont val="Poppins, Arial, Helvetica, sans-serif"/>
        <sz val="9.0"/>
      </rPr>
      <t xml:space="preserve"> (MIA)</t>
    </r>
  </si>
  <si>
    <t>136/187</t>
  </si>
  <si>
    <r>
      <rPr>
        <rFont val="&quot;TT Norms&quot;, ui-system, sans-serif"/>
        <color rgb="FF1155CC"/>
        <sz val="11.0"/>
        <u/>
      </rPr>
      <t>Cairo Santos</t>
    </r>
    <r>
      <rPr>
        <rFont val="&quot;TT Norms&quot;, ui-system, sans-serif"/>
        <sz val="11.0"/>
      </rPr>
      <t xml:space="preserve"> K  CHI</t>
    </r>
  </si>
  <si>
    <t>WR164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</si>
  <si>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pencer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Shrader</t>
    </r>
    <r>
      <rPr>
        <rFont val="Roboto, sans-serif"/>
      </rPr>
      <t xml:space="preserve">
INDK27</t>
    </r>
  </si>
  <si>
    <r>
      <rPr>
        <rFont val="Poppins, Arial, Helvetica, sans-serif"/>
        <color rgb="FF1155CC"/>
        <sz val="9.0"/>
        <u/>
      </rPr>
      <t>Xavier Restrepo</t>
    </r>
    <r>
      <rPr>
        <rFont val="Poppins, Arial, Helvetica, sans-serif"/>
        <sz val="9.0"/>
      </rPr>
      <t xml:space="preserve"> (TEN)</t>
    </r>
  </si>
  <si>
    <t>145/188</t>
  </si>
  <si>
    <r>
      <rPr>
        <rFont val="&quot;TT Norms&quot;, ui-system, sans-serif"/>
        <color rgb="FF1155CC"/>
        <sz val="11.0"/>
        <u/>
      </rPr>
      <t>Browns</t>
    </r>
    <r>
      <rPr>
        <rFont val="&quot;TT Norms&quot;, ui-system, sans-serif"/>
        <sz val="11.0"/>
      </rPr>
      <t xml:space="preserve"> DST  CLE</t>
    </r>
  </si>
  <si>
    <t>WR165</t>
  </si>
  <si>
    <r>
      <rPr>
        <rFont val="Poppins, Arial, Helvetica, sans-serif"/>
        <color rgb="FF1155CC"/>
        <sz val="9.0"/>
        <u/>
      </rPr>
      <t>Elijah Mitchell</t>
    </r>
    <r>
      <rPr>
        <rFont val="Poppins, Arial, Helvetica, sans-serif"/>
        <sz val="9.0"/>
      </rPr>
      <t xml:space="preserve"> (PHI)</t>
    </r>
  </si>
  <si>
    <t>133/199</t>
  </si>
  <si>
    <r>
      <rPr>
        <rFont val="Roboto, sans-serif"/>
        <color rgb="FF1155CC"/>
        <u/>
      </rPr>
      <t>Y</t>
    </r>
    <r>
      <rPr>
        <rFont val="Roboto, sans-serif"/>
        <color rgb="FF1155CC"/>
        <u/>
      </rPr>
      <t>ounghoe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Koo</t>
    </r>
    <r>
      <rPr>
        <rFont val="Roboto, sans-serif"/>
      </rPr>
      <t xml:space="preserve">
NYJK32</t>
    </r>
  </si>
  <si>
    <r>
      <rPr>
        <rFont val="&quot;TT Norms&quot;, ui-system, sans-serif"/>
        <color rgb="FF1155CC"/>
        <sz val="11.0"/>
        <u/>
      </rPr>
      <t>Jaydon Blue</t>
    </r>
    <r>
      <rPr>
        <rFont val="&quot;TT Norms&quot;, ui-system, sans-serif"/>
        <sz val="11.0"/>
      </rPr>
      <t xml:space="preserve"> RB  DAL</t>
    </r>
  </si>
  <si>
    <t>RB141</t>
  </si>
  <si>
    <r>
      <rPr>
        <rFont val="Poppins, Arial, Helvetica, sans-serif"/>
        <color rgb="FF1155CC"/>
        <sz val="9.0"/>
        <u/>
      </rPr>
      <t>Michael Woods II</t>
    </r>
    <r>
      <rPr>
        <rFont val="Poppins, Arial, Helvetica, sans-serif"/>
        <sz val="9.0"/>
      </rPr>
      <t xml:space="preserve"> (DEN)</t>
    </r>
  </si>
  <si>
    <t>158/176</t>
  </si>
  <si>
    <r>
      <rPr>
        <rFont val="&quot;TT Norms&quot;, ui-system, sans-serif"/>
        <color rgb="FF1155CC"/>
        <sz val="11.0"/>
        <u/>
      </rPr>
      <t>Tyler Loop</t>
    </r>
    <r>
      <rPr>
        <rFont val="&quot;TT Norms&quot;, ui-system, sans-serif"/>
        <sz val="11.0"/>
      </rPr>
      <t xml:space="preserve"> K  BAL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</si>
  <si>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iley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Patterson</t>
    </r>
    <r>
      <rPr>
        <rFont val="Roboto, sans-serif"/>
      </rPr>
      <t xml:space="preserve">
MIAK33</t>
    </r>
  </si>
  <si>
    <t>WR166</t>
  </si>
  <si>
    <r>
      <rPr>
        <rFont val="Poppins, Arial, Helvetica, sans-serif"/>
        <color rgb="FF1155CC"/>
        <sz val="9.0"/>
        <u/>
      </rPr>
      <t>Will Kacmarek</t>
    </r>
    <r>
      <rPr>
        <rFont val="Poppins, Arial, Helvetica, sans-serif"/>
        <sz val="9.0"/>
      </rPr>
      <t xml:space="preserve"> (MIA)</t>
    </r>
  </si>
  <si>
    <t>147/192</t>
  </si>
  <si>
    <r>
      <rPr>
        <rFont val="&quot;TT Norms&quot;, ui-system, sans-serif"/>
        <color rgb="FF1155CC"/>
        <sz val="11.0"/>
        <u/>
      </rPr>
      <t>Harrison Mevis</t>
    </r>
    <r>
      <rPr>
        <rFont val="&quot;TT Norms&quot;, ui-system, sans-serif"/>
        <sz val="11.0"/>
      </rPr>
      <t xml:space="preserve"> K  LAR</t>
    </r>
  </si>
  <si>
    <t>TE72</t>
  </si>
  <si>
    <r>
      <rPr>
        <rFont val="Poppins, Arial, Helvetica, sans-serif"/>
        <color rgb="FF1155CC"/>
        <sz val="9.0"/>
        <u/>
      </rPr>
      <t>Jackson Hawes</t>
    </r>
    <r>
      <rPr>
        <rFont val="Poppins, Arial, Helvetica, sans-serif"/>
        <sz val="9.0"/>
      </rPr>
      <t xml:space="preserve"> (BUF)</t>
    </r>
  </si>
  <si>
    <t>150/196</t>
  </si>
  <si>
    <r>
      <rPr>
        <rFont val="&quot;TT Norms&quot;, ui-system, sans-serif"/>
        <color rgb="FF1155CC"/>
        <sz val="11.0"/>
        <u/>
      </rPr>
      <t>Tyler Allgeier</t>
    </r>
    <r>
      <rPr>
        <rFont val="&quot;TT Norms&quot;, ui-system, sans-serif"/>
        <sz val="11.0"/>
      </rPr>
      <t xml:space="preserve"> RB  ARI</t>
    </r>
  </si>
  <si>
    <t>TE73</t>
  </si>
  <si>
    <r>
      <rPr>
        <rFont val="Poppins, Arial, Helvetica, sans-serif"/>
        <color rgb="FF1155CC"/>
        <sz val="9.0"/>
        <u/>
      </rPr>
      <t>Dean Connors</t>
    </r>
    <r>
      <rPr>
        <rFont val="Poppins, Arial, Helvetica, sans-serif"/>
        <sz val="9.0"/>
      </rPr>
      <t xml:space="preserve"> (LAR)</t>
    </r>
  </si>
  <si>
    <t>168/175</t>
  </si>
  <si>
    <r>
      <rPr>
        <rFont val="&quot;TT Norms&quot;, ui-system, sans-serif"/>
        <color rgb="FF1155CC"/>
        <sz val="11.0"/>
        <u/>
      </rPr>
      <t>Dalton Schultz</t>
    </r>
    <r>
      <rPr>
        <rFont val="&quot;TT Norms&quot;, ui-system, sans-serif"/>
        <sz val="11.0"/>
      </rPr>
      <t xml:space="preserve"> TE  HOU</t>
    </r>
  </si>
  <si>
    <t>RB142</t>
  </si>
  <si>
    <r>
      <rPr>
        <rFont val="Poppins, Arial, Helvetica, sans-serif"/>
        <color rgb="FF1155CC"/>
        <sz val="9.0"/>
        <u/>
      </rPr>
      <t>Riley Leonard</t>
    </r>
    <r>
      <rPr>
        <rFont val="Poppins, Arial, Helvetica, sans-serif"/>
        <sz val="9.0"/>
      </rPr>
      <t xml:space="preserve"> (IND)</t>
    </r>
  </si>
  <si>
    <t>141/201</t>
  </si>
  <si>
    <r>
      <rPr>
        <rFont val="&quot;TT Norms&quot;, ui-system, sans-serif"/>
        <color rgb="FF1155CC"/>
        <sz val="11.0"/>
        <u/>
      </rPr>
      <t>Cooper Kupp</t>
    </r>
    <r>
      <rPr>
        <rFont val="&quot;TT Norms&quot;, ui-system, sans-serif"/>
        <sz val="11.0"/>
      </rPr>
      <t xml:space="preserve"> WR  SEA</t>
    </r>
  </si>
  <si>
    <t>QB47</t>
  </si>
  <si>
    <r>
      <rPr>
        <rFont val="Poppins, Arial, Helvetica, sans-serif"/>
        <color rgb="FF1155CC"/>
        <sz val="9.0"/>
        <u/>
      </rPr>
      <t>Pierre Strong Jr.</t>
    </r>
    <r>
      <rPr>
        <rFont val="Poppins, Arial, Helvetica, sans-serif"/>
        <sz val="9.0"/>
      </rPr>
      <t xml:space="preserve"> (GB)</t>
    </r>
  </si>
  <si>
    <t>164/182</t>
  </si>
  <si>
    <r>
      <rPr>
        <rFont val="&quot;TT Norms&quot;, ui-system, sans-serif"/>
        <color rgb="FF1155CC"/>
        <sz val="11.0"/>
        <u/>
      </rPr>
      <t>Cowboys</t>
    </r>
    <r>
      <rPr>
        <rFont val="&quot;TT Norms&quot;, ui-system, sans-serif"/>
        <sz val="11.0"/>
      </rPr>
      <t xml:space="preserve"> DST  DAL</t>
    </r>
  </si>
  <si>
    <t>RB143</t>
  </si>
  <si>
    <r>
      <rPr>
        <rFont val="Poppins, Arial, Helvetica, sans-serif"/>
        <color rgb="FF1155CC"/>
        <sz val="9.0"/>
        <u/>
      </rPr>
      <t>Elijah Higgins</t>
    </r>
    <r>
      <rPr>
        <rFont val="Poppins, Arial, Helvetica, sans-serif"/>
        <sz val="9.0"/>
      </rPr>
      <t xml:space="preserve"> (ARI)</t>
    </r>
  </si>
  <si>
    <t>149/189</t>
  </si>
  <si>
    <r>
      <rPr>
        <rFont val="&quot;TT Norms&quot;, ui-system, sans-serif"/>
        <color rgb="FF1155CC"/>
        <sz val="11.0"/>
        <u/>
      </rPr>
      <t>Saints</t>
    </r>
    <r>
      <rPr>
        <rFont val="&quot;TT Norms&quot;, ui-system, sans-serif"/>
        <sz val="11.0"/>
      </rPr>
      <t xml:space="preserve"> DST  NO</t>
    </r>
  </si>
  <si>
    <t>TE74</t>
  </si>
  <si>
    <r>
      <rPr>
        <rFont val="Poppins, Arial, Helvetica, sans-serif"/>
        <color rgb="FF1155CC"/>
        <sz val="9.0"/>
        <u/>
      </rPr>
      <t>British Brooks</t>
    </r>
    <r>
      <rPr>
        <rFont val="Poppins, Arial, Helvetica, sans-serif"/>
        <sz val="9.0"/>
      </rPr>
      <t xml:space="preserve"> (HOU)</t>
    </r>
  </si>
  <si>
    <t>155/194</t>
  </si>
  <si>
    <r>
      <rPr>
        <rFont val="&quot;TT Norms&quot;, ui-system, sans-serif"/>
        <color rgb="FF1155CC"/>
        <sz val="11.0"/>
        <u/>
      </rPr>
      <t>Dylan Sampson</t>
    </r>
    <r>
      <rPr>
        <rFont val="&quot;TT Norms&quot;, ui-system, sans-serif"/>
        <sz val="11.0"/>
      </rPr>
      <t xml:space="preserve"> RB  CLE</t>
    </r>
  </si>
  <si>
    <t>RB144</t>
  </si>
  <si>
    <r>
      <rPr>
        <rFont val="Poppins, Arial, Helvetica, sans-serif"/>
        <color rgb="FF1155CC"/>
        <sz val="9.0"/>
        <u/>
      </rPr>
      <t>Corey Kiner</t>
    </r>
    <r>
      <rPr>
        <rFont val="Poppins, Arial, Helvetica, sans-serif"/>
        <sz val="9.0"/>
      </rPr>
      <t xml:space="preserve"> (ARI)</t>
    </r>
  </si>
  <si>
    <t>171/182</t>
  </si>
  <si>
    <r>
      <rPr>
        <rFont val="&quot;TT Norms&quot;, ui-system, sans-serif"/>
        <color rgb="FF1155CC"/>
        <sz val="11.0"/>
        <u/>
      </rPr>
      <t>Malik Davis</t>
    </r>
    <r>
      <rPr>
        <rFont val="&quot;TT Norms&quot;, ui-system, sans-serif"/>
        <sz val="11.0"/>
      </rPr>
      <t xml:space="preserve"> RB  DAL</t>
    </r>
  </si>
  <si>
    <t>RB145</t>
  </si>
  <si>
    <r>
      <rPr>
        <rFont val="Poppins, Arial, Helvetica, sans-serif"/>
        <color rgb="FF1155CC"/>
        <sz val="9.0"/>
        <u/>
      </rPr>
      <t>Jordan Watkins</t>
    </r>
    <r>
      <rPr>
        <rFont val="Poppins, Arial, Helvetica, sans-serif"/>
        <sz val="9.0"/>
      </rPr>
      <t xml:space="preserve"> (SF)</t>
    </r>
  </si>
  <si>
    <t>160/195</t>
  </si>
  <si>
    <r>
      <rPr>
        <rFont val="&quot;TT Norms&quot;, ui-system, sans-serif"/>
        <color rgb="FF1155CC"/>
        <sz val="11.0"/>
        <u/>
      </rPr>
      <t>Bills</t>
    </r>
    <r>
      <rPr>
        <rFont val="&quot;TT Norms&quot;, ui-system, sans-serif"/>
        <sz val="11.0"/>
      </rPr>
      <t xml:space="preserve"> DST  BUF</t>
    </r>
  </si>
  <si>
    <t>WR167</t>
  </si>
  <si>
    <r>
      <rPr>
        <rFont val="Poppins, Arial, Helvetica, sans-serif"/>
        <color rgb="FF1155CC"/>
        <sz val="9.0"/>
        <u/>
      </rPr>
      <t>KeAndre Lambert-Smith</t>
    </r>
    <r>
      <rPr>
        <rFont val="Poppins, Arial, Helvetica, sans-serif"/>
        <sz val="9.0"/>
      </rPr>
      <t xml:space="preserve"> (LAC)</t>
    </r>
  </si>
  <si>
    <t>168/186</t>
  </si>
  <si>
    <r>
      <rPr>
        <rFont val="&quot;TT Norms&quot;, ui-system, sans-serif"/>
        <color rgb="FF1155CC"/>
        <sz val="11.0"/>
        <u/>
      </rPr>
      <t>De'Zhaun Stribling</t>
    </r>
    <r>
      <rPr>
        <rFont val="&quot;TT Norms&quot;, ui-system, sans-serif"/>
        <sz val="11.0"/>
      </rPr>
      <t xml:space="preserve"> WR  SF</t>
    </r>
  </si>
  <si>
    <t>WR168</t>
  </si>
  <si>
    <r>
      <rPr>
        <rFont val="Poppins, Arial, Helvetica, sans-serif"/>
        <color rgb="FF1155CC"/>
        <sz val="9.0"/>
        <u/>
      </rPr>
      <t>Miles Davis</t>
    </r>
    <r>
      <rPr>
        <rFont val="Poppins, Arial, Helvetica, sans-serif"/>
        <sz val="9.0"/>
      </rPr>
      <t xml:space="preserve"> (CAR)</t>
    </r>
  </si>
  <si>
    <t>161/208</t>
  </si>
  <si>
    <r>
      <rPr>
        <rFont val="&quot;TT Norms&quot;, ui-system, sans-serif"/>
        <color rgb="FF1155CC"/>
        <sz val="11.0"/>
        <u/>
      </rPr>
      <t>Greg Dulcich</t>
    </r>
    <r>
      <rPr>
        <rFont val="&quot;TT Norms&quot;, ui-system, sans-serif"/>
        <sz val="11.0"/>
      </rPr>
      <t xml:space="preserve"> TE  MIA</t>
    </r>
  </si>
  <si>
    <t>RB146</t>
  </si>
  <si>
    <r>
      <rPr>
        <rFont val="Poppins, Arial, Helvetica, sans-serif"/>
        <color rgb="FF1155CC"/>
        <sz val="9.0"/>
        <u/>
      </rPr>
      <t>Gardner Minshew II</t>
    </r>
    <r>
      <rPr>
        <rFont val="Poppins, Arial, Helvetica, sans-serif"/>
        <sz val="9.0"/>
      </rPr>
      <t xml:space="preserve"> (ARI)</t>
    </r>
  </si>
  <si>
    <t>170/191</t>
  </si>
  <si>
    <r>
      <rPr>
        <rFont val="&quot;TT Norms&quot;, ui-system, sans-serif"/>
        <color rgb="FF1155CC"/>
        <sz val="11.0"/>
        <u/>
      </rPr>
      <t>Oronde Gadsden II</t>
    </r>
    <r>
      <rPr>
        <rFont val="&quot;TT Norms&quot;, ui-system, sans-serif"/>
        <sz val="11.0"/>
      </rPr>
      <t xml:space="preserve"> TE  LAC</t>
    </r>
  </si>
  <si>
    <t>QB48</t>
  </si>
  <si>
    <t>Tier 16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</si>
  <si>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</si>
  <si>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David Sills V</t>
    </r>
    <r>
      <rPr>
        <rFont val="Poppins, Arial, Helvetica, sans-serif"/>
        <sz val="9.0"/>
      </rPr>
      <t xml:space="preserve"> (TB)</t>
    </r>
  </si>
  <si>
    <t>175/188</t>
  </si>
  <si>
    <r>
      <rPr>
        <rFont val="&quot;TT Norms&quot;, ui-system, sans-serif"/>
        <color rgb="FF1155CC"/>
        <sz val="11.0"/>
        <u/>
      </rPr>
      <t>Braelon Allen</t>
    </r>
    <r>
      <rPr>
        <rFont val="&quot;TT Norms&quot;, ui-system, sans-serif"/>
        <sz val="11.0"/>
      </rPr>
      <t xml:space="preserve"> RB  NYJ</t>
    </r>
  </si>
  <si>
    <t>WR169</t>
  </si>
  <si>
    <r>
      <rPr>
        <rFont val="Poppins, Arial, Helvetica, sans-serif"/>
        <color rgb="FF1155CC"/>
        <sz val="9.0"/>
        <u/>
      </rPr>
      <t>Drew Sample</t>
    </r>
    <r>
      <rPr>
        <rFont val="Poppins, Arial, Helvetica, sans-serif"/>
        <sz val="9.0"/>
      </rPr>
      <t xml:space="preserve"> (CIN)</t>
    </r>
  </si>
  <si>
    <t>173/191</t>
  </si>
  <si>
    <r>
      <rPr>
        <rFont val="&quot;TT Norms&quot;, ui-system, sans-serif"/>
        <color rgb="FF1155CC"/>
        <sz val="11.0"/>
        <u/>
      </rPr>
      <t>Jayden Higgins</t>
    </r>
    <r>
      <rPr>
        <rFont val="&quot;TT Norms&quot;, ui-system, sans-serif"/>
        <sz val="11.0"/>
      </rPr>
      <t xml:space="preserve"> WR  HOU</t>
    </r>
  </si>
  <si>
    <t>TE75</t>
  </si>
  <si>
    <r>
      <rPr>
        <rFont val="Poppins, Arial, Helvetica, sans-serif"/>
        <color rgb="FF1155CC"/>
        <sz val="9.0"/>
        <u/>
      </rPr>
      <t>Durham Smythe</t>
    </r>
    <r>
      <rPr>
        <rFont val="Poppins, Arial, Helvetica, sans-serif"/>
        <sz val="9.0"/>
      </rPr>
      <t xml:space="preserve"> (BAL)</t>
    </r>
  </si>
  <si>
    <t>162/210</t>
  </si>
  <si>
    <r>
      <rPr>
        <rFont val="&quot;TT Norms&quot;, ui-system, sans-serif"/>
        <color rgb="FF1155CC"/>
        <sz val="11.0"/>
        <u/>
      </rPr>
      <t>Emari Demercado</t>
    </r>
    <r>
      <rPr>
        <rFont val="&quot;TT Norms&quot;, ui-system, sans-serif"/>
        <sz val="11.0"/>
      </rPr>
      <t xml:space="preserve"> RB  KC</t>
    </r>
  </si>
  <si>
    <t>TE76</t>
  </si>
  <si>
    <t>172/204</t>
  </si>
  <si>
    <r>
      <rPr>
        <rFont val="Poppins, Arial, Helvetica, sans-serif"/>
        <color rgb="FF1155CC"/>
        <sz val="9.0"/>
        <u/>
      </rPr>
      <t>Dontae McMillan</t>
    </r>
    <r>
      <rPr>
        <rFont val="Poppins, Arial, Helvetica, sans-serif"/>
        <sz val="9.0"/>
      </rPr>
      <t xml:space="preserve"> (BAL)</t>
    </r>
  </si>
  <si>
    <r>
      <rPr>
        <rFont val="&quot;TT Norms&quot;, ui-system, sans-serif"/>
        <color rgb="FF1155CC"/>
        <sz val="11.0"/>
        <u/>
      </rPr>
      <t>Will Reichard</t>
    </r>
    <r>
      <rPr>
        <rFont val="&quot;TT Norms&quot;, ui-system, sans-serif"/>
        <sz val="11.0"/>
      </rPr>
      <t xml:space="preserve"> K  MIN</t>
    </r>
  </si>
  <si>
    <t>RB147</t>
  </si>
  <si>
    <r>
      <rPr>
        <rFont val="Poppins, Arial, Helvetica, sans-serif"/>
        <color rgb="FF1155CC"/>
        <sz val="9.0"/>
        <u/>
      </rPr>
      <t>Brock Wright</t>
    </r>
    <r>
      <rPr>
        <rFont val="Poppins, Arial, Helvetica, sans-serif"/>
        <sz val="9.0"/>
      </rPr>
      <t xml:space="preserve"> (DET)</t>
    </r>
  </si>
  <si>
    <t>191/202</t>
  </si>
  <si>
    <t>TE77</t>
  </si>
  <si>
    <r>
      <rPr>
        <rFont val="Poppins, Arial, Helvetica, sans-serif"/>
        <color rgb="FF1155CC"/>
        <sz val="9.0"/>
        <u/>
      </rPr>
      <t>Mecole Hardman Jr.</t>
    </r>
    <r>
      <rPr>
        <rFont val="Poppins, Arial, Helvetica, sans-serif"/>
        <sz val="9.0"/>
      </rPr>
      <t xml:space="preserve"> (BUF)</t>
    </r>
  </si>
  <si>
    <t>WR170</t>
  </si>
  <si>
    <r>
      <rPr>
        <rFont val="Poppins, Arial, Helvetica, sans-serif"/>
        <color rgb="FF1155CC"/>
        <sz val="9.0"/>
        <u/>
      </rPr>
      <t>Van Jefferson</t>
    </r>
    <r>
      <rPr>
        <rFont val="Poppins, Arial, Helvetica, sans-serif"/>
        <sz val="9.0"/>
      </rPr>
      <t xml:space="preserve"> (WAS)</t>
    </r>
  </si>
  <si>
    <t>WR171</t>
  </si>
  <si>
    <r>
      <rPr>
        <rFont val="Poppins, Arial, Helvetica, sans-serif"/>
        <color rgb="FF1155CC"/>
        <sz val="9.0"/>
        <u/>
      </rPr>
      <t>Reggie Virgil</t>
    </r>
    <r>
      <rPr>
        <rFont val="Poppins, Arial, Helvetica, sans-serif"/>
        <sz val="9.0"/>
      </rPr>
      <t xml:space="preserve"> (ARI)</t>
    </r>
  </si>
  <si>
    <t>WR172</t>
  </si>
  <si>
    <r>
      <rPr>
        <rFont val="Poppins, Arial, Helvetica, sans-serif"/>
        <color rgb="FF1155CC"/>
        <sz val="9.0"/>
        <u/>
      </rPr>
      <t>Tanner Hudson</t>
    </r>
    <r>
      <rPr>
        <rFont val="Poppins, Arial, Helvetica, sans-serif"/>
        <sz val="9.0"/>
      </rPr>
      <t xml:space="preserve"> (CIN)</t>
    </r>
  </si>
  <si>
    <t>TE78</t>
  </si>
  <si>
    <r>
      <rPr>
        <rFont val="Poppins, Arial, Helvetica, sans-serif"/>
        <color rgb="FF1155CC"/>
        <sz val="9.0"/>
        <u/>
      </rPr>
      <t>Quinn Ewers</t>
    </r>
    <r>
      <rPr>
        <rFont val="Poppins, Arial, Helvetica, sans-serif"/>
        <sz val="9.0"/>
      </rPr>
      <t xml:space="preserve"> (MIA)</t>
    </r>
  </si>
  <si>
    <t>QB49</t>
  </si>
  <si>
    <r>
      <rPr>
        <rFont val="Poppins, Arial, Helvetica, sans-serif"/>
        <color rgb="FF1155CC"/>
        <sz val="9.0"/>
        <u/>
      </rPr>
      <t>Trey Lance</t>
    </r>
    <r>
      <rPr>
        <rFont val="Poppins, Arial, Helvetica, sans-serif"/>
        <sz val="9.0"/>
      </rPr>
      <t xml:space="preserve"> (LAC)</t>
    </r>
  </si>
  <si>
    <t>QB50</t>
  </si>
  <si>
    <r>
      <rPr>
        <rFont val="Poppins, Arial, Helvetica, sans-serif"/>
        <color rgb="FF1155CC"/>
        <sz val="9.0"/>
        <u/>
      </rPr>
      <t>Kenny McIntosh</t>
    </r>
    <r>
      <rPr>
        <rFont val="Poppins, Arial, Helvetica, sans-serif"/>
        <sz val="9.0"/>
      </rPr>
      <t xml:space="preserve"> (FA)</t>
    </r>
  </si>
  <si>
    <t>RB148</t>
  </si>
  <si>
    <r>
      <rPr>
        <rFont val="Poppins, Arial, Helvetica, sans-serif"/>
        <color rgb="FF1155CC"/>
        <sz val="9.0"/>
        <u/>
      </rPr>
      <t>Reggie Gilliam</t>
    </r>
    <r>
      <rPr>
        <rFont val="Poppins, Arial, Helvetica, sans-serif"/>
        <sz val="9.0"/>
      </rPr>
      <t xml:space="preserve"> (NE)</t>
    </r>
  </si>
  <si>
    <t>RB149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</si>
</sst>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"/>
  </numFmts>
  <fonts count="16">
    <font>
      <sz val="10.0"/>
      <color rgb="FF000000"/>
      <name val="Arial"/>
      <scheme val="minor"/>
    </font>
    <font>
      <color rgb="FF16191D"/>
      <name val="Poppins"/>
    </font>
    <font>
      <sz val="8.0"/>
      <color rgb="FF16191D"/>
      <name val="Poppins"/>
    </font>
    <font>
      <sz val="9.0"/>
      <color rgb="FF16191D"/>
      <name val="Poppins"/>
    </font>
    <font>
      <color theme="1"/>
      <name val="Poppins"/>
    </font>
    <font>
      <color theme="1"/>
      <name val="Arial"/>
      <scheme val="minor"/>
    </font>
    <font>
      <u/>
      <color rgb="FF0000FF"/>
      <name val="Poppins"/>
    </font>
    <font>
      <u/>
      <sz val="9.0"/>
      <color rgb="FF0000FF"/>
      <name val="Poppins"/>
    </font>
    <font>
      <b/>
      <color rgb="FF000000"/>
      <name val="Roboto"/>
    </font>
    <font>
      <color rgb="FF00101B"/>
      <name val="Roboto"/>
    </font>
    <font>
      <color rgb="FF000000"/>
      <name val="Roboto"/>
    </font>
    <font>
      <u/>
      <color rgb="FF0000FF"/>
      <name val="Roboto"/>
    </font>
    <font>
      <color rgb="FF484848"/>
      <name val="&quot;TT Norms&quot;"/>
    </font>
    <font>
      <color rgb="FF181818"/>
      <name val="&quot;TT Norms&quot;"/>
    </font>
    <font>
      <u/>
      <sz val="11.0"/>
      <color rgb="FF0000FF"/>
      <name val="&quot;TT Norms&quot;"/>
    </font>
    <font>
      <u/>
      <sz val="11.0"/>
      <color rgb="FF0000FF"/>
      <name val="&quot;TT Norms&quot;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FFAF4"/>
        <bgColor rgb="FFEFFAF4"/>
      </patternFill>
    </fill>
    <fill>
      <patternFill patternType="solid">
        <fgColor rgb="FFD4D4D4"/>
        <bgColor rgb="FFD4D4D4"/>
      </patternFill>
    </fill>
    <fill>
      <patternFill patternType="solid">
        <fgColor rgb="FFA7C8BD"/>
        <bgColor rgb="FFA7C8BD"/>
      </patternFill>
    </fill>
    <fill>
      <patternFill patternType="solid">
        <fgColor rgb="FFDFB5B7"/>
        <bgColor rgb="FFDFB5B7"/>
      </patternFill>
    </fill>
    <fill>
      <patternFill patternType="solid">
        <fgColor rgb="FFF2F2F2"/>
        <bgColor rgb="FFF2F2F2"/>
      </patternFill>
    </fill>
    <fill>
      <patternFill patternType="solid">
        <fgColor rgb="FFF5F8FF"/>
        <bgColor rgb="FFF5F8FF"/>
      </patternFill>
    </fill>
    <fill>
      <patternFill patternType="solid">
        <fgColor rgb="FFE2E2E2"/>
        <bgColor rgb="FFE2E2E2"/>
      </patternFill>
    </fill>
  </fills>
  <borders count="7">
    <border/>
    <border>
      <bottom style="thin">
        <color rgb="FFE2E7EE"/>
      </bottom>
    </border>
    <border>
      <bottom style="medium">
        <color rgb="FFE4E4E4"/>
      </bottom>
    </border>
    <border>
      <left style="thin">
        <color rgb="FFE4E4E4"/>
      </left>
      <bottom style="medium">
        <color rgb="FFE4E4E4"/>
      </bottom>
    </border>
    <border>
      <bottom style="thin">
        <color rgb="FFE4E4E4"/>
      </bottom>
    </border>
    <border>
      <left style="thin">
        <color rgb="FFE4E4E4"/>
      </left>
      <bottom style="thin">
        <color rgb="FFE4E4E4"/>
      </bottom>
    </border>
    <border>
      <bottom style="thin">
        <color rgb="FFDCDCDC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2" fontId="1" numFmtId="0" xfId="0" applyAlignment="1" applyFill="1" applyFont="1">
      <alignment horizontal="center" readingOrder="0" shrinkToFit="0" wrapText="0"/>
    </xf>
    <xf borderId="0" fillId="2" fontId="2" numFmtId="0" xfId="0" applyAlignment="1" applyFont="1">
      <alignment horizontal="left"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0" fillId="3" fontId="4" numFmtId="0" xfId="0" applyAlignment="1" applyFill="1" applyFont="1">
      <alignment horizontal="center" readingOrder="0" shrinkToFit="0" vertical="top" wrapText="0"/>
    </xf>
    <xf borderId="0" fillId="3" fontId="4" numFmtId="0" xfId="0" applyAlignment="1" applyFont="1">
      <alignment horizontal="center" shrinkToFit="0" vertical="top" wrapText="0"/>
    </xf>
    <xf borderId="0" fillId="0" fontId="4" numFmtId="0" xfId="0" applyAlignment="1" applyFont="1">
      <alignment horizontal="right" readingOrder="0" shrinkToFit="0" vertical="top" wrapText="0"/>
    </xf>
    <xf borderId="0" fillId="2" fontId="3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left" readingOrder="0" shrinkToFit="0" wrapText="0"/>
    </xf>
    <xf borderId="1" fillId="4" fontId="3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left" readingOrder="0" shrinkToFit="0" vertical="top" wrapText="0"/>
    </xf>
    <xf borderId="1" fillId="4" fontId="3" numFmtId="0" xfId="0" applyAlignment="1" applyBorder="1" applyFont="1">
      <alignment horizontal="center" readingOrder="0" shrinkToFit="0" wrapText="0"/>
    </xf>
    <xf borderId="0" fillId="0" fontId="5" numFmtId="164" xfId="0" applyAlignment="1" applyFont="1" applyNumberFormat="1">
      <alignment readingOrder="0"/>
    </xf>
    <xf borderId="0" fillId="2" fontId="3" numFmtId="0" xfId="0" applyAlignment="1" applyFont="1">
      <alignment horizontal="right" readingOrder="0" shrinkToFit="0" vertical="top" wrapText="0"/>
    </xf>
    <xf borderId="0" fillId="3" fontId="3" numFmtId="0" xfId="0" applyAlignment="1" applyFont="1">
      <alignment horizontal="center" readingOrder="0" shrinkToFit="0" vertical="top" wrapText="0"/>
    </xf>
    <xf borderId="0" fillId="3" fontId="3" numFmtId="0" xfId="0" applyAlignment="1" applyFont="1">
      <alignment horizontal="right" readingOrder="0" shrinkToFit="0" vertical="top" wrapText="0"/>
    </xf>
    <xf borderId="0" fillId="3" fontId="3" numFmtId="0" xfId="0" applyAlignment="1" applyFont="1">
      <alignment horizontal="right" shrinkToFit="0" vertical="top" wrapText="0"/>
    </xf>
    <xf borderId="0" fillId="0" fontId="8" numFmtId="0" xfId="0" applyAlignment="1" applyFont="1">
      <alignment horizontal="center"/>
    </xf>
    <xf borderId="0" fillId="2" fontId="4" numFmtId="0" xfId="0" applyAlignment="1" applyFont="1">
      <alignment horizontal="center" readingOrder="0" shrinkToFit="0" vertical="top" wrapText="0"/>
    </xf>
    <xf borderId="0" fillId="0" fontId="8" numFmtId="0" xfId="0" applyAlignment="1" applyFont="1">
      <alignment horizontal="left"/>
    </xf>
    <xf borderId="0" fillId="2" fontId="4" numFmtId="0" xfId="0" applyAlignment="1" applyFont="1">
      <alignment horizontal="center" shrinkToFit="0" vertical="top" wrapText="0"/>
    </xf>
    <xf borderId="0" fillId="0" fontId="9" numFmtId="0" xfId="0" applyAlignment="1" applyFont="1">
      <alignment horizontal="center" readingOrder="0" shrinkToFit="0" wrapText="0"/>
    </xf>
    <xf borderId="2" fillId="0" fontId="10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left" readingOrder="0"/>
    </xf>
    <xf borderId="3" fillId="0" fontId="10" numFmtId="0" xfId="0" applyAlignment="1" applyBorder="1" applyFont="1">
      <alignment horizontal="center" readingOrder="0"/>
    </xf>
    <xf borderId="4" fillId="2" fontId="10" numFmtId="0" xfId="0" applyAlignment="1" applyBorder="1" applyFont="1">
      <alignment horizontal="center" readingOrder="0"/>
    </xf>
    <xf borderId="0" fillId="2" fontId="3" numFmtId="0" xfId="0" applyAlignment="1" applyFont="1">
      <alignment horizontal="right" shrinkToFit="0" vertical="top" wrapText="0"/>
    </xf>
    <xf borderId="4" fillId="0" fontId="11" numFmtId="0" xfId="0" applyAlignment="1" applyBorder="1" applyFont="1">
      <alignment horizontal="left" readingOrder="0"/>
    </xf>
    <xf borderId="5" fillId="2" fontId="10" numFmtId="0" xfId="0" applyAlignment="1" applyBorder="1" applyFont="1">
      <alignment horizontal="center" readingOrder="0"/>
    </xf>
    <xf borderId="4" fillId="5" fontId="10" numFmtId="0" xfId="0" applyAlignment="1" applyBorder="1" applyFill="1" applyFont="1">
      <alignment horizontal="center"/>
    </xf>
    <xf borderId="4" fillId="2" fontId="10" numFmtId="0" xfId="0" applyAlignment="1" applyBorder="1" applyFont="1">
      <alignment horizontal="center"/>
    </xf>
    <xf borderId="4" fillId="6" fontId="10" numFmtId="0" xfId="0" applyAlignment="1" applyBorder="1" applyFill="1" applyFont="1">
      <alignment horizontal="center"/>
    </xf>
    <xf borderId="4" fillId="7" fontId="10" numFmtId="0" xfId="0" applyAlignment="1" applyBorder="1" applyFill="1" applyFont="1">
      <alignment horizontal="center" readingOrder="0"/>
    </xf>
    <xf borderId="0" fillId="3" fontId="3" numFmtId="0" xfId="0" applyAlignment="1" applyFont="1">
      <alignment horizontal="center" shrinkToFit="0" vertical="top" wrapText="0"/>
    </xf>
    <xf borderId="4" fillId="5" fontId="10" numFmtId="0" xfId="0" applyAlignment="1" applyBorder="1" applyFont="1">
      <alignment horizontal="center" readingOrder="0"/>
    </xf>
    <xf borderId="0" fillId="8" fontId="12" numFmtId="0" xfId="0" applyAlignment="1" applyFill="1" applyFont="1">
      <alignment horizontal="center" readingOrder="0" shrinkToFit="0" wrapText="0"/>
    </xf>
    <xf borderId="0" fillId="8" fontId="12" numFmtId="0" xfId="0" applyAlignment="1" applyFont="1">
      <alignment horizontal="right" readingOrder="0" shrinkToFit="0" wrapText="0"/>
    </xf>
    <xf borderId="6" fillId="2" fontId="13" numFmtId="0" xfId="0" applyAlignment="1" applyBorder="1" applyFont="1">
      <alignment horizontal="left" readingOrder="0"/>
    </xf>
    <xf borderId="6" fillId="0" fontId="14" numFmtId="0" xfId="0" applyAlignment="1" applyBorder="1" applyFont="1">
      <alignment horizontal="left" readingOrder="0" shrinkToFit="0" wrapText="0"/>
    </xf>
    <xf borderId="6" fillId="2" fontId="13" numFmtId="0" xfId="0" applyAlignment="1" applyBorder="1" applyFont="1">
      <alignment horizontal="right" readingOrder="0" shrinkToFit="0" wrapText="0"/>
    </xf>
    <xf borderId="6" fillId="2" fontId="13" numFmtId="165" xfId="0" applyAlignment="1" applyBorder="1" applyFont="1" applyNumberFormat="1">
      <alignment horizontal="right" readingOrder="0" shrinkToFit="0" wrapText="0"/>
    </xf>
    <xf borderId="1" fillId="0" fontId="3" numFmtId="0" xfId="0" applyAlignment="1" applyBorder="1" applyFont="1">
      <alignment horizontal="center" readingOrder="0"/>
    </xf>
    <xf borderId="0" fillId="9" fontId="13" numFmtId="0" xfId="0" applyAlignment="1" applyFill="1" applyFont="1">
      <alignment horizontal="left" readingOrder="0"/>
    </xf>
    <xf borderId="0" fillId="0" fontId="15" numFmtId="0" xfId="0" applyAlignment="1" applyFont="1">
      <alignment horizontal="left" readingOrder="0" shrinkToFit="0" wrapText="0"/>
    </xf>
    <xf borderId="0" fillId="9" fontId="13" numFmtId="0" xfId="0" applyAlignment="1" applyFont="1">
      <alignment horizontal="right" readingOrder="0" shrinkToFit="0" wrapText="0"/>
    </xf>
    <xf borderId="0" fillId="10" fontId="3" numFmtId="0" xfId="0" applyAlignment="1" applyFill="1" applyFont="1">
      <alignment horizontal="center" readingOrder="0" shrinkToFit="0" vertical="top" wrapText="0"/>
    </xf>
    <xf borderId="0" fillId="10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ntasypros.com/nfl/players/tee-higgins.php" TargetMode="External"/><Relationship Id="rId190" Type="http://schemas.openxmlformats.org/officeDocument/2006/relationships/hyperlink" Target="https://www.fantasypros.com/nfl/players/jalen-nailor.php" TargetMode="External"/><Relationship Id="rId42" Type="http://schemas.openxmlformats.org/officeDocument/2006/relationships/hyperlink" Target="https://www.fantasypros.com/nfl/players/quinshon-judkins.php" TargetMode="External"/><Relationship Id="rId41" Type="http://schemas.openxmlformats.org/officeDocument/2006/relationships/hyperlink" Target="https://www.fantasypros.com/nfl/players/garrett-wilson.php" TargetMode="External"/><Relationship Id="rId44" Type="http://schemas.openxmlformats.org/officeDocument/2006/relationships/hyperlink" Target="https://www.fantasypros.com/nfl/players/zay-flowers.php" TargetMode="External"/><Relationship Id="rId194" Type="http://schemas.openxmlformats.org/officeDocument/2006/relationships/hyperlink" Target="https://www.fantasypros.com/nfl/players/terrance-ferguson.php" TargetMode="External"/><Relationship Id="rId43" Type="http://schemas.openxmlformats.org/officeDocument/2006/relationships/hyperlink" Target="https://www.fantasypros.com/nfl/players/treveyon-henderson.php" TargetMode="External"/><Relationship Id="rId193" Type="http://schemas.openxmlformats.org/officeDocument/2006/relationships/hyperlink" Target="https://www.fantasypros.com/nfl/players/tyreek-hill.php" TargetMode="External"/><Relationship Id="rId46" Type="http://schemas.openxmlformats.org/officeDocument/2006/relationships/hyperlink" Target="https://www.fantasypros.com/nfl/players/devonta-smith.php" TargetMode="External"/><Relationship Id="rId192" Type="http://schemas.openxmlformats.org/officeDocument/2006/relationships/hyperlink" Target="https://www.fantasypros.com/nfl/players/tyler-loop.php" TargetMode="External"/><Relationship Id="rId45" Type="http://schemas.openxmlformats.org/officeDocument/2006/relationships/hyperlink" Target="https://www.fantasypros.com/nfl/players/emeka-egbuka.php" TargetMode="External"/><Relationship Id="rId191" Type="http://schemas.openxmlformats.org/officeDocument/2006/relationships/hyperlink" Target="https://www.fantasypros.com/nfl/players/travis-hunter.php" TargetMode="External"/><Relationship Id="rId48" Type="http://schemas.openxmlformats.org/officeDocument/2006/relationships/hyperlink" Target="https://www.fantasypros.com/nfl/players/colston-loveland.php" TargetMode="External"/><Relationship Id="rId187" Type="http://schemas.openxmlformats.org/officeDocument/2006/relationships/hyperlink" Target="https://www.fantasypros.com/nfl/players/nick-singleton.php" TargetMode="External"/><Relationship Id="rId47" Type="http://schemas.openxmlformats.org/officeDocument/2006/relationships/hyperlink" Target="https://www.fantasypros.com/nfl/players/bhayshul-tuten.php" TargetMode="External"/><Relationship Id="rId186" Type="http://schemas.openxmlformats.org/officeDocument/2006/relationships/hyperlink" Target="https://www.fantasypros.com/nfl/players/cade-otton.php" TargetMode="External"/><Relationship Id="rId185" Type="http://schemas.openxmlformats.org/officeDocument/2006/relationships/hyperlink" Target="https://www.fantasypros.com/nfl/teams/minnesota-defense.php" TargetMode="External"/><Relationship Id="rId49" Type="http://schemas.openxmlformats.org/officeDocument/2006/relationships/hyperlink" Target="https://www.fantasypros.com/nfl/players/david-montgomery.php" TargetMode="External"/><Relationship Id="rId184" Type="http://schemas.openxmlformats.org/officeDocument/2006/relationships/hyperlink" Target="https://www.fantasypros.com/nfl/players/sean-tucker.php" TargetMode="External"/><Relationship Id="rId189" Type="http://schemas.openxmlformats.org/officeDocument/2006/relationships/hyperlink" Target="https://www.fantasypros.com/nfl/players/antonio-williams-wr.php" TargetMode="External"/><Relationship Id="rId188" Type="http://schemas.openxmlformats.org/officeDocument/2006/relationships/hyperlink" Target="https://www.fantasypros.com/nfl/players/cam-ward.php" TargetMode="External"/><Relationship Id="rId31" Type="http://schemas.openxmlformats.org/officeDocument/2006/relationships/hyperlink" Target="https://www.fantasypros.com/nfl/players/javonte-williams.php" TargetMode="External"/><Relationship Id="rId30" Type="http://schemas.openxmlformats.org/officeDocument/2006/relationships/hyperlink" Target="https://www.fantasypros.com/nfl/players/breece-hall.php" TargetMode="External"/><Relationship Id="rId33" Type="http://schemas.openxmlformats.org/officeDocument/2006/relationships/hyperlink" Target="https://www.fantasypros.com/nfl/players/lamar-jackson.php" TargetMode="External"/><Relationship Id="rId183" Type="http://schemas.openxmlformats.org/officeDocument/2006/relationships/hyperlink" Target="https://www.fantasypros.com/nfl/players/kimani-vidal.php" TargetMode="External"/><Relationship Id="rId32" Type="http://schemas.openxmlformats.org/officeDocument/2006/relationships/hyperlink" Target="https://www.fantasypros.com/nfl/players/rashee-rice.php" TargetMode="External"/><Relationship Id="rId182" Type="http://schemas.openxmlformats.org/officeDocument/2006/relationships/hyperlink" Target="https://www.fantasypros.com/nfl/players/calvin-ridley.php" TargetMode="External"/><Relationship Id="rId35" Type="http://schemas.openxmlformats.org/officeDocument/2006/relationships/hyperlink" Target="https://www.fantasypros.com/nfl/players/malik-nabers.php" TargetMode="External"/><Relationship Id="rId181" Type="http://schemas.openxmlformats.org/officeDocument/2006/relationships/hyperlink" Target="https://www.fantasypros.com/nfl/players/gunnar-helm.php" TargetMode="External"/><Relationship Id="rId34" Type="http://schemas.openxmlformats.org/officeDocument/2006/relationships/hyperlink" Target="https://www.fantasypros.com/nfl/players/travis-etienne.php" TargetMode="External"/><Relationship Id="rId180" Type="http://schemas.openxmlformats.org/officeDocument/2006/relationships/hyperlink" Target="https://www.fantasypros.com/nfl/players/aj-barner.php" TargetMode="External"/><Relationship Id="rId37" Type="http://schemas.openxmlformats.org/officeDocument/2006/relationships/hyperlink" Target="https://www.fantasypros.com/nfl/players/cam-skattebo.php" TargetMode="External"/><Relationship Id="rId176" Type="http://schemas.openxmlformats.org/officeDocument/2006/relationships/hyperlink" Target="https://www.fantasypros.com/nfl/players/kayshon-boutte.php" TargetMode="External"/><Relationship Id="rId297" Type="http://schemas.openxmlformats.org/officeDocument/2006/relationships/hyperlink" Target="https://www.fantasypros.com/nfl/players/mike-gesicki.php" TargetMode="External"/><Relationship Id="rId36" Type="http://schemas.openxmlformats.org/officeDocument/2006/relationships/hyperlink" Target="https://www.fantasypros.com/nfl/players/bucky-irving.php" TargetMode="External"/><Relationship Id="rId175" Type="http://schemas.openxmlformats.org/officeDocument/2006/relationships/hyperlink" Target="https://www.fantasypros.com/nfl/players/denzel-boston.php" TargetMode="External"/><Relationship Id="rId296" Type="http://schemas.openxmlformats.org/officeDocument/2006/relationships/hyperlink" Target="https://www.fantasypros.com/nfl/players/kareem-hunt.php" TargetMode="External"/><Relationship Id="rId39" Type="http://schemas.openxmlformats.org/officeDocument/2006/relationships/hyperlink" Target="https://www.fantasypros.com/nfl/players/tetairoa-mcmillan.php" TargetMode="External"/><Relationship Id="rId174" Type="http://schemas.openxmlformats.org/officeDocument/2006/relationships/hyperlink" Target="https://www.fantasypros.com/nfl/players/cam-little.php" TargetMode="External"/><Relationship Id="rId295" Type="http://schemas.openxmlformats.org/officeDocument/2006/relationships/hyperlink" Target="https://www.fantasypros.com/nfl/players/devaughn-vele.php" TargetMode="External"/><Relationship Id="rId38" Type="http://schemas.openxmlformats.org/officeDocument/2006/relationships/hyperlink" Target="https://www.fantasypros.com/nfl/players/luther-burden-iii.php" TargetMode="External"/><Relationship Id="rId173" Type="http://schemas.openxmlformats.org/officeDocument/2006/relationships/hyperlink" Target="https://www.fantasypros.com/nfl/players/jerry-jeudy.php" TargetMode="External"/><Relationship Id="rId294" Type="http://schemas.openxmlformats.org/officeDocument/2006/relationships/hyperlink" Target="https://www.fantasypros.com/nfl/players/chris-bell.php" TargetMode="External"/><Relationship Id="rId179" Type="http://schemas.openxmlformats.org/officeDocument/2006/relationships/hyperlink" Target="https://www.fantasypros.com/nfl/players/jalen-mcmillan.php" TargetMode="External"/><Relationship Id="rId178" Type="http://schemas.openxmlformats.org/officeDocument/2006/relationships/hyperlink" Target="https://www.fantasypros.com/nfl/players/kaimi-fairbairn.php" TargetMode="External"/><Relationship Id="rId299" Type="http://schemas.openxmlformats.org/officeDocument/2006/relationships/hyperlink" Target="https://www.fantasypros.com/nfl/players/keon-coleman.php" TargetMode="External"/><Relationship Id="rId177" Type="http://schemas.openxmlformats.org/officeDocument/2006/relationships/hyperlink" Target="https://www.fantasypros.com/nfl/teams/new-england-defense.php" TargetMode="External"/><Relationship Id="rId298" Type="http://schemas.openxmlformats.org/officeDocument/2006/relationships/hyperlink" Target="https://www.fantasypros.com/nfl/teams/cleveland-defense.php" TargetMode="External"/><Relationship Id="rId20" Type="http://schemas.openxmlformats.org/officeDocument/2006/relationships/hyperlink" Target="https://www.fantasypros.com/nfl/players/kenneth-walker-rb.php" TargetMode="External"/><Relationship Id="rId22" Type="http://schemas.openxmlformats.org/officeDocument/2006/relationships/hyperlink" Target="https://www.fantasypros.com/nfl/players/kyren-williams.php" TargetMode="External"/><Relationship Id="rId21" Type="http://schemas.openxmlformats.org/officeDocument/2006/relationships/hyperlink" Target="https://www.fantasypros.com/nfl/players/trey-mcbride.php" TargetMode="External"/><Relationship Id="rId24" Type="http://schemas.openxmlformats.org/officeDocument/2006/relationships/hyperlink" Target="https://www.fantasypros.com/nfl/players/josh-jacobs.php" TargetMode="External"/><Relationship Id="rId23" Type="http://schemas.openxmlformats.org/officeDocument/2006/relationships/hyperlink" Target="https://www.fantasypros.com/nfl/players/jeremiyah-love.php" TargetMode="External"/><Relationship Id="rId26" Type="http://schemas.openxmlformats.org/officeDocument/2006/relationships/hyperlink" Target="https://www.fantasypros.com/nfl/players/george-pickens.php" TargetMode="External"/><Relationship Id="rId25" Type="http://schemas.openxmlformats.org/officeDocument/2006/relationships/hyperlink" Target="https://www.fantasypros.com/nfl/players/brock-bowers.php" TargetMode="External"/><Relationship Id="rId28" Type="http://schemas.openxmlformats.org/officeDocument/2006/relationships/hyperlink" Target="https://www.fantasypros.com/nfl/players/aj-brown.php" TargetMode="External"/><Relationship Id="rId27" Type="http://schemas.openxmlformats.org/officeDocument/2006/relationships/hyperlink" Target="https://www.fantasypros.com/nfl/players/nico-collins.php" TargetMode="External"/><Relationship Id="rId29" Type="http://schemas.openxmlformats.org/officeDocument/2006/relationships/hyperlink" Target="https://www.fantasypros.com/nfl/players/chris-olave.php" TargetMode="External"/><Relationship Id="rId11" Type="http://schemas.openxmlformats.org/officeDocument/2006/relationships/hyperlink" Target="https://www.fantasypros.com/nfl/players/omarion-hampton.php" TargetMode="External"/><Relationship Id="rId10" Type="http://schemas.openxmlformats.org/officeDocument/2006/relationships/hyperlink" Target="https://www.fantasypros.com/nfl/players/devon-achane.php" TargetMode="External"/><Relationship Id="rId13" Type="http://schemas.openxmlformats.org/officeDocument/2006/relationships/hyperlink" Target="https://www.fantasypros.com/nfl/players/derrick-henry.php" TargetMode="External"/><Relationship Id="rId12" Type="http://schemas.openxmlformats.org/officeDocument/2006/relationships/hyperlink" Target="https://www.fantasypros.com/nfl/players/amonra-stbrown.php" TargetMode="External"/><Relationship Id="rId15" Type="http://schemas.openxmlformats.org/officeDocument/2006/relationships/hyperlink" Target="https://www.fantasypros.com/nfl/players/ceedee-lamb.php" TargetMode="External"/><Relationship Id="rId198" Type="http://schemas.openxmlformats.org/officeDocument/2006/relationships/hyperlink" Target="https://www.fantasypros.com/nfl/teams/baltimore-defense.php" TargetMode="External"/><Relationship Id="rId14" Type="http://schemas.openxmlformats.org/officeDocument/2006/relationships/hyperlink" Target="https://www.fantasypros.com/nfl/players/saquon-barkley.php" TargetMode="External"/><Relationship Id="rId197" Type="http://schemas.openxmlformats.org/officeDocument/2006/relationships/hyperlink" Target="https://www.fantasypros.com/nfl/players/harrison-mevis.php" TargetMode="External"/><Relationship Id="rId17" Type="http://schemas.openxmlformats.org/officeDocument/2006/relationships/hyperlink" Target="https://www.fantasypros.com/nfl/players/chase-brown.php" TargetMode="External"/><Relationship Id="rId196" Type="http://schemas.openxmlformats.org/officeDocument/2006/relationships/hyperlink" Target="https://www.fantasypros.com/nfl/players/kaytron-allen.php" TargetMode="External"/><Relationship Id="rId16" Type="http://schemas.openxmlformats.org/officeDocument/2006/relationships/hyperlink" Target="https://www.fantasypros.com/nfl/players/justin-jefferson.php" TargetMode="External"/><Relationship Id="rId195" Type="http://schemas.openxmlformats.org/officeDocument/2006/relationships/hyperlink" Target="https://www.fantasypros.com/nfl/players/eli-stowers.php" TargetMode="External"/><Relationship Id="rId19" Type="http://schemas.openxmlformats.org/officeDocument/2006/relationships/hyperlink" Target="https://www.fantasypros.com/nfl/players/drake-london.php" TargetMode="External"/><Relationship Id="rId18" Type="http://schemas.openxmlformats.org/officeDocument/2006/relationships/hyperlink" Target="https://www.fantasypros.com/nfl/players/josh-allen-qb.php" TargetMode="External"/><Relationship Id="rId199" Type="http://schemas.openxmlformats.org/officeDocument/2006/relationships/hyperlink" Target="https://www.fantasypros.com/nfl/players/adonai-mitchell.php" TargetMode="External"/><Relationship Id="rId84" Type="http://schemas.openxmlformats.org/officeDocument/2006/relationships/hyperlink" Target="https://www.fantasypros.com/nfl/players/caleb-williams.php" TargetMode="External"/><Relationship Id="rId83" Type="http://schemas.openxmlformats.org/officeDocument/2006/relationships/hyperlink" Target="https://www.fantasypros.com/nfl/players/dk-metcalf.php" TargetMode="External"/><Relationship Id="rId86" Type="http://schemas.openxmlformats.org/officeDocument/2006/relationships/hyperlink" Target="https://www.fantasypros.com/nfl/players/parker-washington.php" TargetMode="External"/><Relationship Id="rId85" Type="http://schemas.openxmlformats.org/officeDocument/2006/relationships/hyperlink" Target="https://www.fantasypros.com/nfl/players/jordyn-tyson.php" TargetMode="External"/><Relationship Id="rId88" Type="http://schemas.openxmlformats.org/officeDocument/2006/relationships/hyperlink" Target="https://www.fantasypros.com/nfl/players/trevor-lawrence.php" TargetMode="External"/><Relationship Id="rId150" Type="http://schemas.openxmlformats.org/officeDocument/2006/relationships/hyperlink" Target="https://www.fantasypros.com/nfl/players/tj-hockenson.php" TargetMode="External"/><Relationship Id="rId271" Type="http://schemas.openxmlformats.org/officeDocument/2006/relationships/hyperlink" Target="https://www.fantasypros.com/nfl/players/ted-hurst.php" TargetMode="External"/><Relationship Id="rId87" Type="http://schemas.openxmlformats.org/officeDocument/2006/relationships/hyperlink" Target="https://www.fantasypros.com/nfl/players/sam-laporta.php" TargetMode="External"/><Relationship Id="rId270" Type="http://schemas.openxmlformats.org/officeDocument/2006/relationships/hyperlink" Target="https://www.fantasypros.com/nfl/players/kendre-miller.php" TargetMode="External"/><Relationship Id="rId89" Type="http://schemas.openxmlformats.org/officeDocument/2006/relationships/hyperlink" Target="https://www.fantasypros.com/nfl/players/chris-godwin.php" TargetMode="External"/><Relationship Id="rId80" Type="http://schemas.openxmlformats.org/officeDocument/2006/relationships/hyperlink" Target="https://www.fantasypros.com/nfl/players/jk-dobbins.php" TargetMode="External"/><Relationship Id="rId82" Type="http://schemas.openxmlformats.org/officeDocument/2006/relationships/hyperlink" Target="https://www.fantasypros.com/nfl/players/marvin-harrison-jr.php" TargetMode="External"/><Relationship Id="rId81" Type="http://schemas.openxmlformats.org/officeDocument/2006/relationships/hyperlink" Target="https://www.fantasypros.com/nfl/players/blake-corum.php" TargetMode="External"/><Relationship Id="rId1" Type="http://schemas.openxmlformats.org/officeDocument/2006/relationships/hyperlink" Target="https://www.fantasypros.com/nfl/players/jahmyr-gibbs.php" TargetMode="External"/><Relationship Id="rId2" Type="http://schemas.openxmlformats.org/officeDocument/2006/relationships/hyperlink" Target="https://www.fantasypros.com/nfl/players/bijan-robinson.php" TargetMode="External"/><Relationship Id="rId3" Type="http://schemas.openxmlformats.org/officeDocument/2006/relationships/hyperlink" Target="https://www.fantasypros.com/nfl/players/jamarr-chase.php" TargetMode="External"/><Relationship Id="rId149" Type="http://schemas.openxmlformats.org/officeDocument/2006/relationships/hyperlink" Target="https://www.fantasypros.com/nfl/players/chris-rodriguez-jr.php" TargetMode="External"/><Relationship Id="rId4" Type="http://schemas.openxmlformats.org/officeDocument/2006/relationships/hyperlink" Target="https://www.fantasypros.com/nfl/players/christian-mccaffrey.php" TargetMode="External"/><Relationship Id="rId148" Type="http://schemas.openxmlformats.org/officeDocument/2006/relationships/hyperlink" Target="https://www.fantasypros.com/nfl/teams/seattle-defense.php" TargetMode="External"/><Relationship Id="rId269" Type="http://schemas.openxmlformats.org/officeDocument/2006/relationships/hyperlink" Target="https://www.fantasypros.com/nfl/players/cooper-kupp.php" TargetMode="External"/><Relationship Id="rId9" Type="http://schemas.openxmlformats.org/officeDocument/2006/relationships/hyperlink" Target="https://www.fantasypros.com/nfl/players/ashton-jeanty.php" TargetMode="External"/><Relationship Id="rId143" Type="http://schemas.openxmlformats.org/officeDocument/2006/relationships/hyperlink" Target="https://www.fantasypros.com/nfl/players/jayden-higgins.php" TargetMode="External"/><Relationship Id="rId264" Type="http://schemas.openxmlformats.org/officeDocument/2006/relationships/hyperlink" Target="https://www.fantasypros.com/nfl/teams/kansas-city-defense.php" TargetMode="External"/><Relationship Id="rId142" Type="http://schemas.openxmlformats.org/officeDocument/2006/relationships/hyperlink" Target="https://www.fantasypros.com/nfl/players/baker-mayfield.php" TargetMode="External"/><Relationship Id="rId263" Type="http://schemas.openxmlformats.org/officeDocument/2006/relationships/hyperlink" Target="https://www.fantasypros.com/nfl/players/cairo-santos.php" TargetMode="External"/><Relationship Id="rId141" Type="http://schemas.openxmlformats.org/officeDocument/2006/relationships/hyperlink" Target="https://www.fantasypros.com/nfl/teams/los-angeles-rams-defense.php" TargetMode="External"/><Relationship Id="rId262" Type="http://schemas.openxmlformats.org/officeDocument/2006/relationships/hyperlink" Target="https://www.fantasypros.com/nfl/players/chimere-dike.php" TargetMode="External"/><Relationship Id="rId140" Type="http://schemas.openxmlformats.org/officeDocument/2006/relationships/hyperlink" Target="https://www.fantasypros.com/nfl/players/kenyon-sadiq.php" TargetMode="External"/><Relationship Id="rId261" Type="http://schemas.openxmlformats.org/officeDocument/2006/relationships/hyperlink" Target="https://www.fantasypros.com/nfl/players/ty-johnson.php" TargetMode="External"/><Relationship Id="rId5" Type="http://schemas.openxmlformats.org/officeDocument/2006/relationships/hyperlink" Target="https://www.fantasypros.com/nfl/players/jonathan-taylor.php" TargetMode="External"/><Relationship Id="rId147" Type="http://schemas.openxmlformats.org/officeDocument/2006/relationships/hyperlink" Target="https://www.fantasypros.com/nfl/players/tyler-shough.php" TargetMode="External"/><Relationship Id="rId268" Type="http://schemas.openxmlformats.org/officeDocument/2006/relationships/hyperlink" Target="https://www.fantasypros.com/nfl/players/deshaun-watson.php" TargetMode="External"/><Relationship Id="rId6" Type="http://schemas.openxmlformats.org/officeDocument/2006/relationships/hyperlink" Target="https://www.fantasypros.com/nfl/players/puka-nacua.php" TargetMode="External"/><Relationship Id="rId146" Type="http://schemas.openxmlformats.org/officeDocument/2006/relationships/hyperlink" Target="https://www.fantasypros.com/nfl/players/chigoziem-okonkwo.php" TargetMode="External"/><Relationship Id="rId267" Type="http://schemas.openxmlformats.org/officeDocument/2006/relationships/hyperlink" Target="https://www.fantasypros.com/nfl/players/jordan-james.php" TargetMode="External"/><Relationship Id="rId7" Type="http://schemas.openxmlformats.org/officeDocument/2006/relationships/hyperlink" Target="https://www.fantasypros.com/nfl/players/james-cook.php" TargetMode="External"/><Relationship Id="rId145" Type="http://schemas.openxmlformats.org/officeDocument/2006/relationships/hyperlink" Target="https://www.fantasypros.com/nfl/players/jalen-coker.php" TargetMode="External"/><Relationship Id="rId266" Type="http://schemas.openxmlformats.org/officeDocument/2006/relationships/hyperlink" Target="https://www.fantasypros.com/nfl/players/carson-beck.php" TargetMode="External"/><Relationship Id="rId8" Type="http://schemas.openxmlformats.org/officeDocument/2006/relationships/hyperlink" Target="https://www.fantasypros.com/nfl/players/jaxon-smith-njigba.php" TargetMode="External"/><Relationship Id="rId144" Type="http://schemas.openxmlformats.org/officeDocument/2006/relationships/hyperlink" Target="https://www.fantasypros.com/nfl/players/dalton-schultz.php" TargetMode="External"/><Relationship Id="rId265" Type="http://schemas.openxmlformats.org/officeDocument/2006/relationships/hyperlink" Target="https://www.fantasypros.com/nfl/players/germie-bernard.php" TargetMode="External"/><Relationship Id="rId73" Type="http://schemas.openxmlformats.org/officeDocument/2006/relationships/hyperlink" Target="https://www.fantasypros.com/nfl/players/michael-wilson.php" TargetMode="External"/><Relationship Id="rId72" Type="http://schemas.openxmlformats.org/officeDocument/2006/relationships/hyperlink" Target="https://www.fantasypros.com/nfl/players/kyle-monangai.php" TargetMode="External"/><Relationship Id="rId75" Type="http://schemas.openxmlformats.org/officeDocument/2006/relationships/hyperlink" Target="https://www.fantasypros.com/nfl/players/kyle-pitts.php" TargetMode="External"/><Relationship Id="rId74" Type="http://schemas.openxmlformats.org/officeDocument/2006/relationships/hyperlink" Target="https://www.fantasypros.com/nfl/players/brian-thomas-jr.php" TargetMode="External"/><Relationship Id="rId77" Type="http://schemas.openxmlformats.org/officeDocument/2006/relationships/hyperlink" Target="https://www.fantasypros.com/nfl/players/courtland-sutton.php" TargetMode="External"/><Relationship Id="rId260" Type="http://schemas.openxmlformats.org/officeDocument/2006/relationships/hyperlink" Target="https://www.fantasypros.com/nfl/players/jj-mccarthy.php" TargetMode="External"/><Relationship Id="rId76" Type="http://schemas.openxmlformats.org/officeDocument/2006/relationships/hyperlink" Target="https://www.fantasypros.com/nfl/players/tucker-kraft.php" TargetMode="External"/><Relationship Id="rId79" Type="http://schemas.openxmlformats.org/officeDocument/2006/relationships/hyperlink" Target="https://www.fantasypros.com/nfl/players/jadarian-price.php" TargetMode="External"/><Relationship Id="rId78" Type="http://schemas.openxmlformats.org/officeDocument/2006/relationships/hyperlink" Target="https://www.fantasypros.com/nfl/players/chuba-hubbard.php" TargetMode="External"/><Relationship Id="rId71" Type="http://schemas.openxmlformats.org/officeDocument/2006/relationships/hyperlink" Target="https://www.fantasypros.com/nfl/players/carnell-tate.php" TargetMode="External"/><Relationship Id="rId70" Type="http://schemas.openxmlformats.org/officeDocument/2006/relationships/hyperlink" Target="https://www.fantasypros.com/nfl/players/tony-pollard.php" TargetMode="External"/><Relationship Id="rId139" Type="http://schemas.openxmlformats.org/officeDocument/2006/relationships/hyperlink" Target="https://www.fantasypros.com/nfl/players/jordan-love.php" TargetMode="External"/><Relationship Id="rId138" Type="http://schemas.openxmlformats.org/officeDocument/2006/relationships/hyperlink" Target="https://www.fantasypros.com/nfl/players/kevin-concepcion.php" TargetMode="External"/><Relationship Id="rId259" Type="http://schemas.openxmlformats.org/officeDocument/2006/relationships/hyperlink" Target="https://www.fantasypros.com/nfl/players/pat-bryant.php" TargetMode="External"/><Relationship Id="rId137" Type="http://schemas.openxmlformats.org/officeDocument/2006/relationships/hyperlink" Target="https://www.fantasypros.com/nfl/players/khalil-shakir.php" TargetMode="External"/><Relationship Id="rId258" Type="http://schemas.openxmlformats.org/officeDocument/2006/relationships/hyperlink" Target="https://www.fantasypros.com/nfl/players/chase-mclaughlin.php" TargetMode="External"/><Relationship Id="rId132" Type="http://schemas.openxmlformats.org/officeDocument/2006/relationships/hyperlink" Target="https://www.fantasypros.com/nfl/players/tyjae-spears.php" TargetMode="External"/><Relationship Id="rId253" Type="http://schemas.openxmlformats.org/officeDocument/2006/relationships/hyperlink" Target="https://www.fantasypros.com/nfl/players/kaelon-black.php" TargetMode="External"/><Relationship Id="rId131" Type="http://schemas.openxmlformats.org/officeDocument/2006/relationships/hyperlink" Target="https://www.fantasypros.com/nfl/players/oronde-gadsden-ii.php" TargetMode="External"/><Relationship Id="rId252" Type="http://schemas.openxmlformats.org/officeDocument/2006/relationships/hyperlink" Target="https://www.fantasypros.com/nfl/players/troy-franklin.php" TargetMode="External"/><Relationship Id="rId130" Type="http://schemas.openxmlformats.org/officeDocument/2006/relationships/hyperlink" Target="https://www.fantasypros.com/nfl/players/josh-downs.php" TargetMode="External"/><Relationship Id="rId251" Type="http://schemas.openxmlformats.org/officeDocument/2006/relationships/hyperlink" Target="https://www.fantasypros.com/nfl/players/kirk-cousins.php" TargetMode="External"/><Relationship Id="rId250" Type="http://schemas.openxmlformats.org/officeDocument/2006/relationships/hyperlink" Target="https://www.fantasypros.com/nfl/players/ryan-flournoy.php" TargetMode="External"/><Relationship Id="rId136" Type="http://schemas.openxmlformats.org/officeDocument/2006/relationships/hyperlink" Target="https://www.fantasypros.com/nfl/teams/houston-defense.php" TargetMode="External"/><Relationship Id="rId257" Type="http://schemas.openxmlformats.org/officeDocument/2006/relationships/hyperlink" Target="https://www.fantasypros.com/nfl/players/austin-ekeler.php" TargetMode="External"/><Relationship Id="rId135" Type="http://schemas.openxmlformats.org/officeDocument/2006/relationships/hyperlink" Target="https://www.fantasypros.com/nfl/players/jonah-coleman.php" TargetMode="External"/><Relationship Id="rId256" Type="http://schemas.openxmlformats.org/officeDocument/2006/relationships/hyperlink" Target="https://www.fantasypros.com/nfl/players/najee-harris-rb.php" TargetMode="External"/><Relationship Id="rId134" Type="http://schemas.openxmlformats.org/officeDocument/2006/relationships/hyperlink" Target="https://www.fantasypros.com/nfl/players/stefon-diggs.php" TargetMode="External"/><Relationship Id="rId255" Type="http://schemas.openxmlformats.org/officeDocument/2006/relationships/hyperlink" Target="https://www.fantasypros.com/nfl/players/devin-neal.php" TargetMode="External"/><Relationship Id="rId133" Type="http://schemas.openxmlformats.org/officeDocument/2006/relationships/hyperlink" Target="https://www.fantasypros.com/nfl/players/brenton-strange.php" TargetMode="External"/><Relationship Id="rId254" Type="http://schemas.openxmlformats.org/officeDocument/2006/relationships/hyperlink" Target="https://www.fantasypros.com/nfl/players/pat-freiermuth.php" TargetMode="External"/><Relationship Id="rId62" Type="http://schemas.openxmlformats.org/officeDocument/2006/relationships/hyperlink" Target="https://www.fantasypros.com/nfl/players/mike-evans.php" TargetMode="External"/><Relationship Id="rId61" Type="http://schemas.openxmlformats.org/officeDocument/2006/relationships/hyperlink" Target="https://www.fantasypros.com/nfl/players/jaylen-warren.php" TargetMode="External"/><Relationship Id="rId64" Type="http://schemas.openxmlformats.org/officeDocument/2006/relationships/hyperlink" Target="https://www.fantasypros.com/nfl/players/jayden-daniels.php" TargetMode="External"/><Relationship Id="rId63" Type="http://schemas.openxmlformats.org/officeDocument/2006/relationships/hyperlink" Target="https://www.fantasypros.com/nfl/players/harold-fannin-jr.php" TargetMode="External"/><Relationship Id="rId66" Type="http://schemas.openxmlformats.org/officeDocument/2006/relationships/hyperlink" Target="https://www.fantasypros.com/nfl/players/rome-odunze.php" TargetMode="External"/><Relationship Id="rId172" Type="http://schemas.openxmlformats.org/officeDocument/2006/relationships/hyperlink" Target="https://www.fantasypros.com/nfl/players/cj-stroud.php" TargetMode="External"/><Relationship Id="rId293" Type="http://schemas.openxmlformats.org/officeDocument/2006/relationships/hyperlink" Target="https://www.fantasypros.com/nfl/players/elijah-sarratt.php" TargetMode="External"/><Relationship Id="rId65" Type="http://schemas.openxmlformats.org/officeDocument/2006/relationships/hyperlink" Target="https://www.fantasypros.com/nfl/players/rhamondre-stevenson.php" TargetMode="External"/><Relationship Id="rId171" Type="http://schemas.openxmlformats.org/officeDocument/2006/relationships/hyperlink" Target="https://www.fantasypros.com/nfl/players/sam-darnold.php" TargetMode="External"/><Relationship Id="rId292" Type="http://schemas.openxmlformats.org/officeDocument/2006/relationships/hyperlink" Target="https://www.fantasypros.com/nfl/players/evan-engram.php" TargetMode="External"/><Relationship Id="rId68" Type="http://schemas.openxmlformats.org/officeDocument/2006/relationships/hyperlink" Target="https://www.fantasypros.com/nfl/players/rico-dowdle.php" TargetMode="External"/><Relationship Id="rId170" Type="http://schemas.openxmlformats.org/officeDocument/2006/relationships/hyperlink" Target="https://www.fantasypros.com/nfl/players/omar-cooper-jr.php" TargetMode="External"/><Relationship Id="rId291" Type="http://schemas.openxmlformats.org/officeDocument/2006/relationships/hyperlink" Target="https://www.fantasypros.com/nfl/players/rashod-bateman.php" TargetMode="External"/><Relationship Id="rId67" Type="http://schemas.openxmlformats.org/officeDocument/2006/relationships/hyperlink" Target="https://www.fantasypros.com/nfl/players/christian-watson.php" TargetMode="External"/><Relationship Id="rId290" Type="http://schemas.openxmlformats.org/officeDocument/2006/relationships/hyperlink" Target="https://www.fantasypros.com/nfl/players/kyle-williams-wr-2025.php" TargetMode="External"/><Relationship Id="rId60" Type="http://schemas.openxmlformats.org/officeDocument/2006/relationships/hyperlink" Target="https://www.fantasypros.com/nfl/players/joe-burrow.php" TargetMode="External"/><Relationship Id="rId165" Type="http://schemas.openxmlformats.org/officeDocument/2006/relationships/hyperlink" Target="https://www.fantasypros.com/nfl/players/matthew-golden.php" TargetMode="External"/><Relationship Id="rId286" Type="http://schemas.openxmlformats.org/officeDocument/2006/relationships/hyperlink" Target="https://www.fantasypros.com/nfl/players/devin-singletary.php" TargetMode="External"/><Relationship Id="rId69" Type="http://schemas.openxmlformats.org/officeDocument/2006/relationships/hyperlink" Target="https://www.fantasypros.com/nfl/players/jalen-hurts.php" TargetMode="External"/><Relationship Id="rId164" Type="http://schemas.openxmlformats.org/officeDocument/2006/relationships/hyperlink" Target="https://www.fantasypros.com/nfl/players/deebo-samuel.php" TargetMode="External"/><Relationship Id="rId285" Type="http://schemas.openxmlformats.org/officeDocument/2006/relationships/hyperlink" Target="https://www.fantasypros.com/nfl/players/jarquez-hunter.php" TargetMode="External"/><Relationship Id="rId163" Type="http://schemas.openxmlformats.org/officeDocument/2006/relationships/hyperlink" Target="https://www.fantasypros.com/nfl/teams/philadelphia-defense.php" TargetMode="External"/><Relationship Id="rId284" Type="http://schemas.openxmlformats.org/officeDocument/2006/relationships/hyperlink" Target="https://www.fantasypros.com/nfl/players/jaylin-noel.php" TargetMode="External"/><Relationship Id="rId162" Type="http://schemas.openxmlformats.org/officeDocument/2006/relationships/hyperlink" Target="https://www.fantasypros.com/nfl/players/cameron-dicker.php" TargetMode="External"/><Relationship Id="rId283" Type="http://schemas.openxmlformats.org/officeDocument/2006/relationships/hyperlink" Target="https://www.fantasypros.com/nfl/players/dontayvion-wicks.php" TargetMode="External"/><Relationship Id="rId169" Type="http://schemas.openxmlformats.org/officeDocument/2006/relationships/hyperlink" Target="https://www.fantasypros.com/nfl/players/mike-washington-jr.php" TargetMode="External"/><Relationship Id="rId168" Type="http://schemas.openxmlformats.org/officeDocument/2006/relationships/hyperlink" Target="https://www.fantasypros.com/nfl/players/braelon-allen.php" TargetMode="External"/><Relationship Id="rId289" Type="http://schemas.openxmlformats.org/officeDocument/2006/relationships/hyperlink" Target="https://www.fantasypros.com/nfl/players/lequint-allen-jr.php" TargetMode="External"/><Relationship Id="rId167" Type="http://schemas.openxmlformats.org/officeDocument/2006/relationships/hyperlink" Target="https://www.fantasypros.com/nfl/players/jason-myers.php" TargetMode="External"/><Relationship Id="rId288" Type="http://schemas.openxmlformats.org/officeDocument/2006/relationships/hyperlink" Target="https://www.fantasypros.com/nfl/players/evan-mcpherson.php" TargetMode="External"/><Relationship Id="rId166" Type="http://schemas.openxmlformats.org/officeDocument/2006/relationships/hyperlink" Target="https://www.fantasypros.com/nfl/players/tank-bigsby.php" TargetMode="External"/><Relationship Id="rId287" Type="http://schemas.openxmlformats.org/officeDocument/2006/relationships/hyperlink" Target="https://www.fantasypros.com/nfl/players/marvin-mims.php" TargetMode="External"/><Relationship Id="rId51" Type="http://schemas.openxmlformats.org/officeDocument/2006/relationships/hyperlink" Target="https://www.fantasypros.com/nfl/players/jaylen-waddle.php" TargetMode="External"/><Relationship Id="rId50" Type="http://schemas.openxmlformats.org/officeDocument/2006/relationships/hyperlink" Target="https://www.fantasypros.com/nfl/players/ladd-mcconkey.php" TargetMode="External"/><Relationship Id="rId53" Type="http://schemas.openxmlformats.org/officeDocument/2006/relationships/hyperlink" Target="https://www.fantasypros.com/nfl/players/dandre-swift.php" TargetMode="External"/><Relationship Id="rId52" Type="http://schemas.openxmlformats.org/officeDocument/2006/relationships/hyperlink" Target="https://www.fantasypros.com/nfl/players/dj-moore-wr.php" TargetMode="External"/><Relationship Id="rId55" Type="http://schemas.openxmlformats.org/officeDocument/2006/relationships/hyperlink" Target="https://www.fantasypros.com/nfl/players/drake-maye.php" TargetMode="External"/><Relationship Id="rId161" Type="http://schemas.openxmlformats.org/officeDocument/2006/relationships/hyperlink" Target="https://www.fantasypros.com/nfl/players/rashid-shaheed.php" TargetMode="External"/><Relationship Id="rId282" Type="http://schemas.openxmlformats.org/officeDocument/2006/relationships/hyperlink" Target="https://www.fantasypros.com/nfl/players/audric-estime.php" TargetMode="External"/><Relationship Id="rId54" Type="http://schemas.openxmlformats.org/officeDocument/2006/relationships/hyperlink" Target="https://www.fantasypros.com/nfl/players/rj-harvey.php" TargetMode="External"/><Relationship Id="rId160" Type="http://schemas.openxmlformats.org/officeDocument/2006/relationships/hyperlink" Target="https://www.fantasypros.com/nfl/teams/denver-defense.php" TargetMode="External"/><Relationship Id="rId281" Type="http://schemas.openxmlformats.org/officeDocument/2006/relationships/hyperlink" Target="https://www.fantasypros.com/nfl/players/justin-fields.php" TargetMode="External"/><Relationship Id="rId57" Type="http://schemas.openxmlformats.org/officeDocument/2006/relationships/hyperlink" Target="https://www.fantasypros.com/nfl/players/jameson-williams.php" TargetMode="External"/><Relationship Id="rId280" Type="http://schemas.openxmlformats.org/officeDocument/2006/relationships/hyperlink" Target="https://www.fantasypros.com/nfl/players/christian-kirk.php" TargetMode="External"/><Relationship Id="rId56" Type="http://schemas.openxmlformats.org/officeDocument/2006/relationships/hyperlink" Target="https://www.fantasypros.com/nfl/players/davante-adams.php" TargetMode="External"/><Relationship Id="rId159" Type="http://schemas.openxmlformats.org/officeDocument/2006/relationships/hyperlink" Target="https://www.fantasypros.com/nfl/players/emmett-johnson.php" TargetMode="External"/><Relationship Id="rId59" Type="http://schemas.openxmlformats.org/officeDocument/2006/relationships/hyperlink" Target="https://www.fantasypros.com/nfl/players/tyler-warren.php" TargetMode="External"/><Relationship Id="rId154" Type="http://schemas.openxmlformats.org/officeDocument/2006/relationships/hyperlink" Target="https://www.fantasypros.com/nfl/players/james-conner.php" TargetMode="External"/><Relationship Id="rId275" Type="http://schemas.openxmlformats.org/officeDocument/2006/relationships/hyperlink" Target="https://www.fantasypros.com/nfl/players/jalen-tolbert.php" TargetMode="External"/><Relationship Id="rId58" Type="http://schemas.openxmlformats.org/officeDocument/2006/relationships/hyperlink" Target="https://www.fantasypros.com/nfl/players/terry-mclaurin.php" TargetMode="External"/><Relationship Id="rId153" Type="http://schemas.openxmlformats.org/officeDocument/2006/relationships/hyperlink" Target="https://www.fantasypros.com/nfl/players/jauan-jennings.php" TargetMode="External"/><Relationship Id="rId274" Type="http://schemas.openxmlformats.org/officeDocument/2006/relationships/hyperlink" Target="https://www.fantasypros.com/nfl/teams/san-francisco-defense.php" TargetMode="External"/><Relationship Id="rId152" Type="http://schemas.openxmlformats.org/officeDocument/2006/relationships/hyperlink" Target="https://www.fantasypros.com/nfl/players/dylan-sampson.php" TargetMode="External"/><Relationship Id="rId273" Type="http://schemas.openxmlformats.org/officeDocument/2006/relationships/hyperlink" Target="https://www.fantasypros.com/nfl/players/brashard-smith.php" TargetMode="External"/><Relationship Id="rId151" Type="http://schemas.openxmlformats.org/officeDocument/2006/relationships/hyperlink" Target="https://www.fantasypros.com/nfl/players/malik-willis.php" TargetMode="External"/><Relationship Id="rId272" Type="http://schemas.openxmlformats.org/officeDocument/2006/relationships/hyperlink" Target="https://www.fantasypros.com/nfl/teams/buffalo-defense.php" TargetMode="External"/><Relationship Id="rId158" Type="http://schemas.openxmlformats.org/officeDocument/2006/relationships/hyperlink" Target="https://www.fantasypros.com/nfl/players/isiah-pacheco.php" TargetMode="External"/><Relationship Id="rId279" Type="http://schemas.openxmlformats.org/officeDocument/2006/relationships/hyperlink" Target="https://www.fantasypros.com/nfl/players/tory-horton.php" TargetMode="External"/><Relationship Id="rId157" Type="http://schemas.openxmlformats.org/officeDocument/2006/relationships/hyperlink" Target="https://www.fantasypros.com/nfl/players/kyler-murray.php" TargetMode="External"/><Relationship Id="rId278" Type="http://schemas.openxmlformats.org/officeDocument/2006/relationships/hyperlink" Target="https://www.fantasypros.com/nfl/players/keenan-allen.php" TargetMode="External"/><Relationship Id="rId156" Type="http://schemas.openxmlformats.org/officeDocument/2006/relationships/hyperlink" Target="https://www.fantasypros.com/nfl/players/david-njoku.php" TargetMode="External"/><Relationship Id="rId277" Type="http://schemas.openxmlformats.org/officeDocument/2006/relationships/hyperlink" Target="https://www.fantasypros.com/nfl/players/elic-ayomanor.php" TargetMode="External"/><Relationship Id="rId155" Type="http://schemas.openxmlformats.org/officeDocument/2006/relationships/hyperlink" Target="https://www.fantasypros.com/nfl/players/keaton-mitchell.php" TargetMode="External"/><Relationship Id="rId276" Type="http://schemas.openxmlformats.org/officeDocument/2006/relationships/hyperlink" Target="https://www.fantasypros.com/nfl/teams/chicago-defense.php" TargetMode="External"/><Relationship Id="rId107" Type="http://schemas.openxmlformats.org/officeDocument/2006/relationships/hyperlink" Target="https://www.fantasypros.com/nfl/players/jordan-addison.php" TargetMode="External"/><Relationship Id="rId228" Type="http://schemas.openxmlformats.org/officeDocument/2006/relationships/hyperlink" Target="https://www.fantasypros.com/nfl/players/malachi-fields.php" TargetMode="External"/><Relationship Id="rId106" Type="http://schemas.openxmlformats.org/officeDocument/2006/relationships/hyperlink" Target="https://www.fantasypros.com/nfl/players/patrick-mahomes.php" TargetMode="External"/><Relationship Id="rId227" Type="http://schemas.openxmlformats.org/officeDocument/2006/relationships/hyperlink" Target="https://www.fantasypros.com/nfl/players/brandon-aiyuk.php" TargetMode="External"/><Relationship Id="rId105" Type="http://schemas.openxmlformats.org/officeDocument/2006/relationships/hyperlink" Target="https://www.fantasypros.com/nfl/players/jake-ferguson.php" TargetMode="External"/><Relationship Id="rId226" Type="http://schemas.openxmlformats.org/officeDocument/2006/relationships/hyperlink" Target="https://www.fantasypros.com/nfl/players/jake-tonges.php" TargetMode="External"/><Relationship Id="rId104" Type="http://schemas.openxmlformats.org/officeDocument/2006/relationships/hyperlink" Target="https://www.fantasypros.com/nfl/players/michael-pittman.php" TargetMode="External"/><Relationship Id="rId225" Type="http://schemas.openxmlformats.org/officeDocument/2006/relationships/hyperlink" Target="https://www.fantasypros.com/nfl/players/theo-johnson.php" TargetMode="External"/><Relationship Id="rId109" Type="http://schemas.openxmlformats.org/officeDocument/2006/relationships/hyperlink" Target="https://www.fantasypros.com/nfl/players/george-kittle.php" TargetMode="External"/><Relationship Id="rId108" Type="http://schemas.openxmlformats.org/officeDocument/2006/relationships/hyperlink" Target="https://www.fantasypros.com/nfl/players/mark-andrews.php" TargetMode="External"/><Relationship Id="rId229" Type="http://schemas.openxmlformats.org/officeDocument/2006/relationships/hyperlink" Target="https://www.fantasypros.com/nfl/players/aaron-rodgers.php" TargetMode="External"/><Relationship Id="rId220" Type="http://schemas.openxmlformats.org/officeDocument/2006/relationships/hyperlink" Target="https://www.fantasypros.com/nfl/players/mason-taylor.php" TargetMode="External"/><Relationship Id="rId103" Type="http://schemas.openxmlformats.org/officeDocument/2006/relationships/hyperlink" Target="https://www.fantasypros.com/nfl/players/jordan-mason.php" TargetMode="External"/><Relationship Id="rId224" Type="http://schemas.openxmlformats.org/officeDocument/2006/relationships/hyperlink" Target="https://www.fantasypros.com/nfl/players/eddy-pineiro.php" TargetMode="External"/><Relationship Id="rId102" Type="http://schemas.openxmlformats.org/officeDocument/2006/relationships/hyperlink" Target="https://www.fantasypros.com/nfl/players/travis-kelce.php" TargetMode="External"/><Relationship Id="rId223" Type="http://schemas.openxmlformats.org/officeDocument/2006/relationships/hyperlink" Target="https://www.fantasypros.com/nfl/players/zachariah-branch.php" TargetMode="External"/><Relationship Id="rId101" Type="http://schemas.openxmlformats.org/officeDocument/2006/relationships/hyperlink" Target="https://www.fantasypros.com/nfl/players/isaiah-likely.php" TargetMode="External"/><Relationship Id="rId222" Type="http://schemas.openxmlformats.org/officeDocument/2006/relationships/hyperlink" Target="https://www.fantasypros.com/nfl/players/isaac-teslaa.php" TargetMode="External"/><Relationship Id="rId100" Type="http://schemas.openxmlformats.org/officeDocument/2006/relationships/hyperlink" Target="https://www.fantasypros.com/nfl/players/aaron-jones.php" TargetMode="External"/><Relationship Id="rId221" Type="http://schemas.openxmlformats.org/officeDocument/2006/relationships/hyperlink" Target="https://www.fantasypros.com/nfl/players/jaylen-wright.php" TargetMode="External"/><Relationship Id="rId217" Type="http://schemas.openxmlformats.org/officeDocument/2006/relationships/hyperlink" Target="https://www.fantasypros.com/nfl/teams/pittsburgh-defense.php" TargetMode="External"/><Relationship Id="rId338" Type="http://schemas.openxmlformats.org/officeDocument/2006/relationships/drawing" Target="../drawings/drawing1.xml"/><Relationship Id="rId216" Type="http://schemas.openxmlformats.org/officeDocument/2006/relationships/hyperlink" Target="https://www.fantasypros.com/nfl/players/demond-claiborne.php" TargetMode="External"/><Relationship Id="rId337" Type="http://schemas.openxmlformats.org/officeDocument/2006/relationships/hyperlink" Target="https://www.fantasypros.com/nfl/players/seth-mcgowan.php" TargetMode="External"/><Relationship Id="rId215" Type="http://schemas.openxmlformats.org/officeDocument/2006/relationships/hyperlink" Target="https://www.fantasypros.com/nfl/players/tre-harris.php" TargetMode="External"/><Relationship Id="rId336" Type="http://schemas.openxmlformats.org/officeDocument/2006/relationships/hyperlink" Target="https://www.fantasypros.com/nfl/players/adam-randall.php" TargetMode="External"/><Relationship Id="rId214" Type="http://schemas.openxmlformats.org/officeDocument/2006/relationships/hyperlink" Target="https://www.fantasypros.com/nfl/players/jaydon-blue.php" TargetMode="External"/><Relationship Id="rId335" Type="http://schemas.openxmlformats.org/officeDocument/2006/relationships/hyperlink" Target="https://www.fantasypros.com/nfl/players/emari-demercado.php" TargetMode="External"/><Relationship Id="rId219" Type="http://schemas.openxmlformats.org/officeDocument/2006/relationships/hyperlink" Target="https://www.fantasypros.com/nfl/players/emanuel-wilson.php" TargetMode="External"/><Relationship Id="rId218" Type="http://schemas.openxmlformats.org/officeDocument/2006/relationships/hyperlink" Target="https://www.fantasypros.com/nfl/players/harrison-butker.php" TargetMode="External"/><Relationship Id="rId330" Type="http://schemas.openxmlformats.org/officeDocument/2006/relationships/hyperlink" Target="https://www.fantasypros.com/nfl/players/christopher-brooks.php" TargetMode="External"/><Relationship Id="rId213" Type="http://schemas.openxmlformats.org/officeDocument/2006/relationships/hyperlink" Target="https://www.fantasypros.com/nfl/players/chris-boswell.php" TargetMode="External"/><Relationship Id="rId334" Type="http://schemas.openxmlformats.org/officeDocument/2006/relationships/hyperlink" Target="https://www.fantasypros.com/nfl/players/brenen-thompson.php" TargetMode="External"/><Relationship Id="rId212" Type="http://schemas.openxmlformats.org/officeDocument/2006/relationships/hyperlink" Target="https://www.fantasypros.com/nfl/players/ray-davis.php" TargetMode="External"/><Relationship Id="rId333" Type="http://schemas.openxmlformats.org/officeDocument/2006/relationships/hyperlink" Target="https://www.fantasypros.com/nfl/players/isaiah-davis.php" TargetMode="External"/><Relationship Id="rId211" Type="http://schemas.openxmlformats.org/officeDocument/2006/relationships/hyperlink" Target="https://www.fantasypros.com/nfl/players/jake-bates.php" TargetMode="External"/><Relationship Id="rId332" Type="http://schemas.openxmlformats.org/officeDocument/2006/relationships/hyperlink" Target="https://www.fantasypros.com/nfl/players/ollie-gordon.php" TargetMode="External"/><Relationship Id="rId210" Type="http://schemas.openxmlformats.org/officeDocument/2006/relationships/hyperlink" Target="https://www.fantasypros.com/nfl/players/andres-borregales.php" TargetMode="External"/><Relationship Id="rId331" Type="http://schemas.openxmlformats.org/officeDocument/2006/relationships/hyperlink" Target="https://www.fantasypros.com/nfl/teams/miami-defense.php" TargetMode="External"/><Relationship Id="rId129" Type="http://schemas.openxmlformats.org/officeDocument/2006/relationships/hyperlink" Target="https://www.fantasypros.com/nfl/players/alvin-kamara.php" TargetMode="External"/><Relationship Id="rId128" Type="http://schemas.openxmlformats.org/officeDocument/2006/relationships/hyperlink" Target="https://www.fantasypros.com/nfl/players/brandon-aubrey.php" TargetMode="External"/><Relationship Id="rId249" Type="http://schemas.openxmlformats.org/officeDocument/2006/relationships/hyperlink" Target="https://www.fantasypros.com/nfl/teams/dallas-defense.php" TargetMode="External"/><Relationship Id="rId127" Type="http://schemas.openxmlformats.org/officeDocument/2006/relationships/hyperlink" Target="https://www.fantasypros.com/nfl/players/xavier-worthy.php" TargetMode="External"/><Relationship Id="rId248" Type="http://schemas.openxmlformats.org/officeDocument/2006/relationships/hyperlink" Target="https://www.fantasypros.com/nfl/players/kaleb-johnson-rb.php" TargetMode="External"/><Relationship Id="rId126" Type="http://schemas.openxmlformats.org/officeDocument/2006/relationships/hyperlink" Target="https://www.fantasypros.com/nfl/players/jared-goff.php" TargetMode="External"/><Relationship Id="rId247" Type="http://schemas.openxmlformats.org/officeDocument/2006/relationships/hyperlink" Target="https://www.fantasypros.com/nfl/players/joe-mixon.php" TargetMode="External"/><Relationship Id="rId121" Type="http://schemas.openxmlformats.org/officeDocument/2006/relationships/hyperlink" Target="https://www.fantasypros.com/nfl/players/tyrone-tracy-jr.php" TargetMode="External"/><Relationship Id="rId242" Type="http://schemas.openxmlformats.org/officeDocument/2006/relationships/hyperlink" Target="https://www.fantasypros.com/nfl/players/wil-lutz.php" TargetMode="External"/><Relationship Id="rId120" Type="http://schemas.openxmlformats.org/officeDocument/2006/relationships/hyperlink" Target="https://www.fantasypros.com/nfl/players/juwan-johnson.php" TargetMode="External"/><Relationship Id="rId241" Type="http://schemas.openxmlformats.org/officeDocument/2006/relationships/hyperlink" Target="https://www.fantasypros.com/nfl/teams/green-bay-defense.php" TargetMode="External"/><Relationship Id="rId240" Type="http://schemas.openxmlformats.org/officeDocument/2006/relationships/hyperlink" Target="https://www.fantasypros.com/nfl/players/shedeur-sanders.php" TargetMode="External"/><Relationship Id="rId125" Type="http://schemas.openxmlformats.org/officeDocument/2006/relationships/hyperlink" Target="https://www.fantasypros.com/nfl/players/jonathon-brooks.php" TargetMode="External"/><Relationship Id="rId246" Type="http://schemas.openxmlformats.org/officeDocument/2006/relationships/hyperlink" Target="https://www.fantasypros.com/nfl/teams/new-york-giants-defense.php" TargetMode="External"/><Relationship Id="rId124" Type="http://schemas.openxmlformats.org/officeDocument/2006/relationships/hyperlink" Target="https://www.fantasypros.com/nfl/players/romeo-doubs.php" TargetMode="External"/><Relationship Id="rId245" Type="http://schemas.openxmlformats.org/officeDocument/2006/relationships/hyperlink" Target="https://www.fantasypros.com/nfl/players/greg-dulcich.php" TargetMode="External"/><Relationship Id="rId123" Type="http://schemas.openxmlformats.org/officeDocument/2006/relationships/hyperlink" Target="https://www.fantasypros.com/nfl/players/hunter-henry.php" TargetMode="External"/><Relationship Id="rId244" Type="http://schemas.openxmlformats.org/officeDocument/2006/relationships/hyperlink" Target="https://www.fantasypros.com/nfl/players/darnell-mooney.php" TargetMode="External"/><Relationship Id="rId122" Type="http://schemas.openxmlformats.org/officeDocument/2006/relationships/hyperlink" Target="https://www.fantasypros.com/nfl/players/jayden-reed.php" TargetMode="External"/><Relationship Id="rId243" Type="http://schemas.openxmlformats.org/officeDocument/2006/relationships/hyperlink" Target="https://www.fantasypros.com/nfl/players/george-holani.php" TargetMode="External"/><Relationship Id="rId95" Type="http://schemas.openxmlformats.org/officeDocument/2006/relationships/hyperlink" Target="https://www.fantasypros.com/nfl/players/makai-lemon.php" TargetMode="External"/><Relationship Id="rId94" Type="http://schemas.openxmlformats.org/officeDocument/2006/relationships/hyperlink" Target="https://www.fantasypros.com/nfl/players/wandale-robinson.php" TargetMode="External"/><Relationship Id="rId97" Type="http://schemas.openxmlformats.org/officeDocument/2006/relationships/hyperlink" Target="https://www.fantasypros.com/nfl/players/alec-pierce.php" TargetMode="External"/><Relationship Id="rId96" Type="http://schemas.openxmlformats.org/officeDocument/2006/relationships/hyperlink" Target="https://www.fantasypros.com/nfl/players/kenneth-gainwell.php" TargetMode="External"/><Relationship Id="rId99" Type="http://schemas.openxmlformats.org/officeDocument/2006/relationships/hyperlink" Target="https://www.fantasypros.com/nfl/players/jacory-croskeymerritt.php" TargetMode="External"/><Relationship Id="rId98" Type="http://schemas.openxmlformats.org/officeDocument/2006/relationships/hyperlink" Target="https://www.fantasypros.com/nfl/players/dalton-kincaid.php" TargetMode="External"/><Relationship Id="rId91" Type="http://schemas.openxmlformats.org/officeDocument/2006/relationships/hyperlink" Target="https://www.fantasypros.com/nfl/players/dak-prescott.php" TargetMode="External"/><Relationship Id="rId90" Type="http://schemas.openxmlformats.org/officeDocument/2006/relationships/hyperlink" Target="https://www.fantasypros.com/nfl/players/justin-herbert.php" TargetMode="External"/><Relationship Id="rId93" Type="http://schemas.openxmlformats.org/officeDocument/2006/relationships/hyperlink" Target="https://www.fantasypros.com/nfl/players/jakobi-meyers.php" TargetMode="External"/><Relationship Id="rId92" Type="http://schemas.openxmlformats.org/officeDocument/2006/relationships/hyperlink" Target="https://www.fantasypros.com/nfl/players/jaxson-dart.php" TargetMode="External"/><Relationship Id="rId118" Type="http://schemas.openxmlformats.org/officeDocument/2006/relationships/hyperlink" Target="https://www.fantasypros.com/nfl/players/matthew-stafford.php" TargetMode="External"/><Relationship Id="rId239" Type="http://schemas.openxmlformats.org/officeDocument/2006/relationships/hyperlink" Target="https://www.fantasypros.com/nfl/players/will-reichard.php" TargetMode="External"/><Relationship Id="rId117" Type="http://schemas.openxmlformats.org/officeDocument/2006/relationships/hyperlink" Target="https://www.fantasypros.com/nfl/players/rachaad-white.php" TargetMode="External"/><Relationship Id="rId238" Type="http://schemas.openxmlformats.org/officeDocument/2006/relationships/hyperlink" Target="https://www.fantasypros.com/nfl/players/marshawn-lloyd.php" TargetMode="External"/><Relationship Id="rId116" Type="http://schemas.openxmlformats.org/officeDocument/2006/relationships/hyperlink" Target="https://www.fantasypros.com/nfl/players/dallas-goedert.php" TargetMode="External"/><Relationship Id="rId237" Type="http://schemas.openxmlformats.org/officeDocument/2006/relationships/hyperlink" Target="https://www.fantasypros.com/nfl/players/malik-washington.php" TargetMode="External"/><Relationship Id="rId115" Type="http://schemas.openxmlformats.org/officeDocument/2006/relationships/hyperlink" Target="https://www.fantasypros.com/nfl/players/brian-robinson-jr.php" TargetMode="External"/><Relationship Id="rId236" Type="http://schemas.openxmlformats.org/officeDocument/2006/relationships/hyperlink" Target="https://www.fantasypros.com/nfl/players/michael-penix-jr.php" TargetMode="External"/><Relationship Id="rId119" Type="http://schemas.openxmlformats.org/officeDocument/2006/relationships/hyperlink" Target="https://www.fantasypros.com/nfl/players/bo-nix.php" TargetMode="External"/><Relationship Id="rId110" Type="http://schemas.openxmlformats.org/officeDocument/2006/relationships/hyperlink" Target="https://www.fantasypros.com/nfl/players/brock-purdy.php" TargetMode="External"/><Relationship Id="rId231" Type="http://schemas.openxmlformats.org/officeDocument/2006/relationships/hyperlink" Target="https://www.fantasypros.com/nfl/teams/los-angeles-chargers-defense.php" TargetMode="External"/><Relationship Id="rId230" Type="http://schemas.openxmlformats.org/officeDocument/2006/relationships/hyperlink" Target="https://www.fantasypros.com/nfl/players/jakobi-lane.php" TargetMode="External"/><Relationship Id="rId114" Type="http://schemas.openxmlformats.org/officeDocument/2006/relationships/hyperlink" Target="https://www.fantasypros.com/nfl/players/quentin-johnston.php" TargetMode="External"/><Relationship Id="rId235" Type="http://schemas.openxmlformats.org/officeDocument/2006/relationships/hyperlink" Target="https://www.fantasypros.com/nfl/players/geno-smith.php" TargetMode="External"/><Relationship Id="rId113" Type="http://schemas.openxmlformats.org/officeDocument/2006/relationships/hyperlink" Target="https://www.fantasypros.com/nfl/players/zach-charbonnet.php" TargetMode="External"/><Relationship Id="rId234" Type="http://schemas.openxmlformats.org/officeDocument/2006/relationships/hyperlink" Target="https://www.fantasypros.com/nfl/players/tua-tagovailoa.php" TargetMode="External"/><Relationship Id="rId112" Type="http://schemas.openxmlformats.org/officeDocument/2006/relationships/hyperlink" Target="https://www.fantasypros.com/nfl/players/woody-marks.php" TargetMode="External"/><Relationship Id="rId233" Type="http://schemas.openxmlformats.org/officeDocument/2006/relationships/hyperlink" Target="https://www.fantasypros.com/nfl/teams/detroit-defense.php" TargetMode="External"/><Relationship Id="rId111" Type="http://schemas.openxmlformats.org/officeDocument/2006/relationships/hyperlink" Target="https://www.fantasypros.com/nfl/players/tyler-allgeier.php" TargetMode="External"/><Relationship Id="rId232" Type="http://schemas.openxmlformats.org/officeDocument/2006/relationships/hyperlink" Target="https://www.fantasypros.com/nfl/players/justice-hill.php" TargetMode="External"/><Relationship Id="rId305" Type="http://schemas.openxmlformats.org/officeDocument/2006/relationships/hyperlink" Target="https://www.fantasypros.com/nfl/players/michael-trigg.php" TargetMode="External"/><Relationship Id="rId304" Type="http://schemas.openxmlformats.org/officeDocument/2006/relationships/hyperlink" Target="https://www.fantasypros.com/nfl/players/max-klare.php" TargetMode="External"/><Relationship Id="rId303" Type="http://schemas.openxmlformats.org/officeDocument/2006/relationships/hyperlink" Target="https://www.fantasypros.com/nfl/players/cyrus-allen.php" TargetMode="External"/><Relationship Id="rId302" Type="http://schemas.openxmlformats.org/officeDocument/2006/relationships/hyperlink" Target="https://www.fantasypros.com/nfl/players/jake-elliott.php" TargetMode="External"/><Relationship Id="rId309" Type="http://schemas.openxmlformats.org/officeDocument/2006/relationships/hyperlink" Target="https://www.fantasypros.com/nfl/players/samaje-perine.php" TargetMode="External"/><Relationship Id="rId308" Type="http://schemas.openxmlformats.org/officeDocument/2006/relationships/hyperlink" Target="https://www.fantasypros.com/nfl/teams/atlanta-defense.php" TargetMode="External"/><Relationship Id="rId307" Type="http://schemas.openxmlformats.org/officeDocument/2006/relationships/hyperlink" Target="https://www.fantasypros.com/nfl/players/alexander-mattison.php" TargetMode="External"/><Relationship Id="rId306" Type="http://schemas.openxmlformats.org/officeDocument/2006/relationships/hyperlink" Target="https://www.fantasypros.com/nfl/teams/indianapolis-defense.php" TargetMode="External"/><Relationship Id="rId301" Type="http://schemas.openxmlformats.org/officeDocument/2006/relationships/hyperlink" Target="https://www.fantasypros.com/nfl/players/jack-bech.php" TargetMode="External"/><Relationship Id="rId300" Type="http://schemas.openxmlformats.org/officeDocument/2006/relationships/hyperlink" Target="https://www.fantasypros.com/nfl/players/caleb-douglas.php" TargetMode="External"/><Relationship Id="rId206" Type="http://schemas.openxmlformats.org/officeDocument/2006/relationships/hyperlink" Target="https://www.fantasypros.com/nfl/players/trey-benson.php" TargetMode="External"/><Relationship Id="rId327" Type="http://schemas.openxmlformats.org/officeDocument/2006/relationships/hyperlink" Target="https://www.fantasypros.com/nfl/teams/las-vegas-defense.php" TargetMode="External"/><Relationship Id="rId205" Type="http://schemas.openxmlformats.org/officeDocument/2006/relationships/hyperlink" Target="https://www.fantasypros.com/nfl/players/nathaniel-dell.php" TargetMode="External"/><Relationship Id="rId326" Type="http://schemas.openxmlformats.org/officeDocument/2006/relationships/hyperlink" Target="https://www.fantasypros.com/nfl/players/chris-brazzell-ii.php" TargetMode="External"/><Relationship Id="rId204" Type="http://schemas.openxmlformats.org/officeDocument/2006/relationships/hyperlink" Target="https://www.fantasypros.com/nfl/players/colby-parkinson.php" TargetMode="External"/><Relationship Id="rId325" Type="http://schemas.openxmlformats.org/officeDocument/2006/relationships/hyperlink" Target="https://www.fantasypros.com/nfl/teams/arizona-defense.php" TargetMode="External"/><Relationship Id="rId203" Type="http://schemas.openxmlformats.org/officeDocument/2006/relationships/hyperlink" Target="https://www.fantasypros.com/nfl/players/fernando-mendoza.php" TargetMode="External"/><Relationship Id="rId324" Type="http://schemas.openxmlformats.org/officeDocument/2006/relationships/hyperlink" Target="https://www.fantasypros.com/nfl/players/nick-folk.php" TargetMode="External"/><Relationship Id="rId209" Type="http://schemas.openxmlformats.org/officeDocument/2006/relationships/hyperlink" Target="https://www.fantasypros.com/nfl/players/dezhaun-stribling.php" TargetMode="External"/><Relationship Id="rId208" Type="http://schemas.openxmlformats.org/officeDocument/2006/relationships/hyperlink" Target="https://www.fantasypros.com/nfl/players/tre-tucker.php" TargetMode="External"/><Relationship Id="rId329" Type="http://schemas.openxmlformats.org/officeDocument/2006/relationships/hyperlink" Target="https://www.fantasypros.com/nfl/players/michael-mayer.php" TargetMode="External"/><Relationship Id="rId207" Type="http://schemas.openxmlformats.org/officeDocument/2006/relationships/hyperlink" Target="https://www.fantasypros.com/nfl/players/jacoby-brissett.php" TargetMode="External"/><Relationship Id="rId328" Type="http://schemas.openxmlformats.org/officeDocument/2006/relationships/hyperlink" Target="https://www.fantasypros.com/nfl/teams/new-york-jets-defense.php" TargetMode="External"/><Relationship Id="rId202" Type="http://schemas.openxmlformats.org/officeDocument/2006/relationships/hyperlink" Target="https://www.fantasypros.com/nfl/teams/jacksonville-defense.php" TargetMode="External"/><Relationship Id="rId323" Type="http://schemas.openxmlformats.org/officeDocument/2006/relationships/hyperlink" Target="https://www.fantasypros.com/nfl/players/ty-simpson.php" TargetMode="External"/><Relationship Id="rId201" Type="http://schemas.openxmlformats.org/officeDocument/2006/relationships/hyperlink" Target="https://www.fantasypros.com/nfl/players/daniel-jones.php" TargetMode="External"/><Relationship Id="rId322" Type="http://schemas.openxmlformats.org/officeDocument/2006/relationships/hyperlink" Target="https://www.fantasypros.com/nfl/players/dj-giddens.php" TargetMode="External"/><Relationship Id="rId200" Type="http://schemas.openxmlformats.org/officeDocument/2006/relationships/hyperlink" Target="https://www.fantasypros.com/nfl/players/bryce-young.php" TargetMode="External"/><Relationship Id="rId321" Type="http://schemas.openxmlformats.org/officeDocument/2006/relationships/hyperlink" Target="https://www.fantasypros.com/nfl/players/charlie-smyth.php" TargetMode="External"/><Relationship Id="rId320" Type="http://schemas.openxmlformats.org/officeDocument/2006/relationships/hyperlink" Target="https://www.fantasypros.com/nfl/players/riley-patterson.php" TargetMode="External"/><Relationship Id="rId316" Type="http://schemas.openxmlformats.org/officeDocument/2006/relationships/hyperlink" Target="https://www.fantasypros.com/nfl/players/jerome-ford.php" TargetMode="External"/><Relationship Id="rId315" Type="http://schemas.openxmlformats.org/officeDocument/2006/relationships/hyperlink" Target="https://www.fantasypros.com/nfl/teams/cincinnati-defense.php" TargetMode="External"/><Relationship Id="rId314" Type="http://schemas.openxmlformats.org/officeDocument/2006/relationships/hyperlink" Target="https://www.fantasypros.com/nfl/players/skyler-bell.php" TargetMode="External"/><Relationship Id="rId313" Type="http://schemas.openxmlformats.org/officeDocument/2006/relationships/hyperlink" Target="https://www.fantasypros.com/nfl/teams/carolina-defense.php" TargetMode="External"/><Relationship Id="rId319" Type="http://schemas.openxmlformats.org/officeDocument/2006/relationships/hyperlink" Target="https://www.fantasypros.com/nfl/teams/tennessee-defense.php" TargetMode="External"/><Relationship Id="rId318" Type="http://schemas.openxmlformats.org/officeDocument/2006/relationships/hyperlink" Target="https://www.fantasypros.com/nfl/teams/new-orleans-defense.php" TargetMode="External"/><Relationship Id="rId317" Type="http://schemas.openxmlformats.org/officeDocument/2006/relationships/hyperlink" Target="https://www.fantasypros.com/nfl/players/matt-gay.php" TargetMode="External"/><Relationship Id="rId312" Type="http://schemas.openxmlformats.org/officeDocument/2006/relationships/hyperlink" Target="https://www.fantasypros.com/nfl/players/jahan-dotson.php" TargetMode="External"/><Relationship Id="rId311" Type="http://schemas.openxmlformats.org/officeDocument/2006/relationships/hyperlink" Target="https://www.fantasypros.com/nfl/players/tyler-bass.php" TargetMode="External"/><Relationship Id="rId310" Type="http://schemas.openxmlformats.org/officeDocument/2006/relationships/hyperlink" Target="https://www.fantasypros.com/nfl/teams/tampa-bay-defense.php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ntasypros.com/nfl/players/new-england-defense.php" TargetMode="External"/><Relationship Id="rId194" Type="http://schemas.openxmlformats.org/officeDocument/2006/relationships/hyperlink" Target="https://www.fantasypros.com/nfl/players/jacoby-brissett.php" TargetMode="External"/><Relationship Id="rId193" Type="http://schemas.openxmlformats.org/officeDocument/2006/relationships/hyperlink" Target="https://www.fantasypros.com/nfl/players/los-angeles-chargers-defense.php" TargetMode="External"/><Relationship Id="rId192" Type="http://schemas.openxmlformats.org/officeDocument/2006/relationships/hyperlink" Target="https://www.fantasypros.com/nfl/players/james-conner.php" TargetMode="External"/><Relationship Id="rId191" Type="http://schemas.openxmlformats.org/officeDocument/2006/relationships/hyperlink" Target="https://www.fantasypros.com/nfl/players/mike-washington-jr.php" TargetMode="External"/><Relationship Id="rId187" Type="http://schemas.openxmlformats.org/officeDocument/2006/relationships/hyperlink" Target="https://www.fantasypros.com/nfl/players/kenyon-sadiq.php" TargetMode="External"/><Relationship Id="rId186" Type="http://schemas.openxmlformats.org/officeDocument/2006/relationships/hyperlink" Target="https://www.fantasypros.com/nfl/players/jacksonville-defense.php" TargetMode="External"/><Relationship Id="rId185" Type="http://schemas.openxmlformats.org/officeDocument/2006/relationships/hyperlink" Target="https://www.fantasypros.com/nfl/players/minnesota-defense.php" TargetMode="External"/><Relationship Id="rId184" Type="http://schemas.openxmlformats.org/officeDocument/2006/relationships/hyperlink" Target="https://www.fantasypros.com/nfl/players/jalen-nailor.php" TargetMode="External"/><Relationship Id="rId189" Type="http://schemas.openxmlformats.org/officeDocument/2006/relationships/hyperlink" Target="https://www.fantasypros.com/nfl/players/pittsburgh-defense.php" TargetMode="External"/><Relationship Id="rId188" Type="http://schemas.openxmlformats.org/officeDocument/2006/relationships/hyperlink" Target="https://www.fantasypros.com/nfl/players/dalton-schultz.php" TargetMode="External"/><Relationship Id="rId183" Type="http://schemas.openxmlformats.org/officeDocument/2006/relationships/hyperlink" Target="https://www.fantasypros.com/nfl/players/brandon-aubrey.php" TargetMode="External"/><Relationship Id="rId182" Type="http://schemas.openxmlformats.org/officeDocument/2006/relationships/hyperlink" Target="https://www.fantasypros.com/nfl/players/sean-tucker.php" TargetMode="External"/><Relationship Id="rId181" Type="http://schemas.openxmlformats.org/officeDocument/2006/relationships/hyperlink" Target="https://www.fantasypros.com/nfl/players/ray-davis.php" TargetMode="External"/><Relationship Id="rId180" Type="http://schemas.openxmlformats.org/officeDocument/2006/relationships/hyperlink" Target="https://www.fantasypros.com/nfl/players/calvin-ridley.php" TargetMode="External"/><Relationship Id="rId176" Type="http://schemas.openxmlformats.org/officeDocument/2006/relationships/hyperlink" Target="https://www.fantasypros.com/nfl/players/emanuel-wilson.php" TargetMode="External"/><Relationship Id="rId297" Type="http://schemas.openxmlformats.org/officeDocument/2006/relationships/hyperlink" Target="https://www.fantasypros.com/nfl/players/jakobi-lane.php" TargetMode="External"/><Relationship Id="rId175" Type="http://schemas.openxmlformats.org/officeDocument/2006/relationships/hyperlink" Target="https://www.fantasypros.com/nfl/players/aj-barner.php" TargetMode="External"/><Relationship Id="rId296" Type="http://schemas.openxmlformats.org/officeDocument/2006/relationships/hyperlink" Target="https://www.fantasypros.com/nfl/players/kirk-cousins.php" TargetMode="External"/><Relationship Id="rId174" Type="http://schemas.openxmlformats.org/officeDocument/2006/relationships/hyperlink" Target="https://www.fantasypros.com/nfl/players/kimani-vidal.php" TargetMode="External"/><Relationship Id="rId295" Type="http://schemas.openxmlformats.org/officeDocument/2006/relationships/hyperlink" Target="https://www.fantasypros.com/nfl/players/tyreek-hill.php" TargetMode="External"/><Relationship Id="rId173" Type="http://schemas.openxmlformats.org/officeDocument/2006/relationships/hyperlink" Target="https://www.fantasypros.com/nfl/players/tre-harris.php" TargetMode="External"/><Relationship Id="rId294" Type="http://schemas.openxmlformats.org/officeDocument/2006/relationships/hyperlink" Target="https://www.fantasypros.com/nfl/players/keenan-allen.php" TargetMode="External"/><Relationship Id="rId179" Type="http://schemas.openxmlformats.org/officeDocument/2006/relationships/hyperlink" Target="https://www.fantasypros.com/nfl/players/emmett-johnson.php" TargetMode="External"/><Relationship Id="rId178" Type="http://schemas.openxmlformats.org/officeDocument/2006/relationships/hyperlink" Target="https://www.fantasypros.com/nfl/players/ryan-flournoy.php" TargetMode="External"/><Relationship Id="rId299" Type="http://schemas.openxmlformats.org/officeDocument/2006/relationships/hyperlink" Target="https://www.fantasypros.com/nfl/players/mack-hollins.php" TargetMode="External"/><Relationship Id="rId177" Type="http://schemas.openxmlformats.org/officeDocument/2006/relationships/hyperlink" Target="https://www.fantasypros.com/nfl/players/dezhaun-stribling.php" TargetMode="External"/><Relationship Id="rId298" Type="http://schemas.openxmlformats.org/officeDocument/2006/relationships/hyperlink" Target="https://www.fantasypros.com/nfl/players/shedeur-sanders.php" TargetMode="External"/><Relationship Id="rId198" Type="http://schemas.openxmlformats.org/officeDocument/2006/relationships/hyperlink" Target="https://www.fantasypros.com/nfl/players/nick-singleton.php" TargetMode="External"/><Relationship Id="rId197" Type="http://schemas.openxmlformats.org/officeDocument/2006/relationships/hyperlink" Target="https://www.fantasypros.com/nfl/players/kaimi-fairbairn.php" TargetMode="External"/><Relationship Id="rId196" Type="http://schemas.openxmlformats.org/officeDocument/2006/relationships/hyperlink" Target="https://www.fantasypros.com/nfl/players/cameron-dicker.php" TargetMode="External"/><Relationship Id="rId195" Type="http://schemas.openxmlformats.org/officeDocument/2006/relationships/hyperlink" Target="https://www.fantasypros.com/nfl/players/terrance-ferguson.php" TargetMode="External"/><Relationship Id="rId199" Type="http://schemas.openxmlformats.org/officeDocument/2006/relationships/hyperlink" Target="https://www.fantasypros.com/nfl/players/kaytron-allen.php" TargetMode="External"/><Relationship Id="rId150" Type="http://schemas.openxmlformats.org/officeDocument/2006/relationships/hyperlink" Target="https://www.fantasypros.com/nfl/players/dylan-sampson.php" TargetMode="External"/><Relationship Id="rId271" Type="http://schemas.openxmlformats.org/officeDocument/2006/relationships/hyperlink" Target="https://www.fantasypros.com/nfl/players/trey-benson.php" TargetMode="External"/><Relationship Id="rId392" Type="http://schemas.openxmlformats.org/officeDocument/2006/relationships/hyperlink" Target="https://www.fantasypros.com/nfl/players/blake-grupe.php" TargetMode="External"/><Relationship Id="rId270" Type="http://schemas.openxmlformats.org/officeDocument/2006/relationships/hyperlink" Target="https://www.fantasypros.com/nfl/players/theo-johnson.php" TargetMode="External"/><Relationship Id="rId391" Type="http://schemas.openxmlformats.org/officeDocument/2006/relationships/hyperlink" Target="https://www.fantasypros.com/nfl/players/jordan-whittington.php" TargetMode="External"/><Relationship Id="rId390" Type="http://schemas.openxmlformats.org/officeDocument/2006/relationships/hyperlink" Target="https://www.fantasypros.com/nfl/players/phil-mafah.php" TargetMode="External"/><Relationship Id="rId1" Type="http://schemas.openxmlformats.org/officeDocument/2006/relationships/hyperlink" Target="https://www.fantasypros.com/nfl/players/jahmyr-gibbs.php" TargetMode="External"/><Relationship Id="rId2" Type="http://schemas.openxmlformats.org/officeDocument/2006/relationships/hyperlink" Target="https://www.fantasypros.com/nfl/players/bijan-robinson.php" TargetMode="External"/><Relationship Id="rId3" Type="http://schemas.openxmlformats.org/officeDocument/2006/relationships/hyperlink" Target="https://www.fantasypros.com/nfl/players/jamarr-chase.php" TargetMode="External"/><Relationship Id="rId149" Type="http://schemas.openxmlformats.org/officeDocument/2006/relationships/hyperlink" Target="https://www.fantasypros.com/nfl/players/oronde-gadsden-ii.php" TargetMode="External"/><Relationship Id="rId4" Type="http://schemas.openxmlformats.org/officeDocument/2006/relationships/hyperlink" Target="https://www.fantasypros.com/nfl/players/puka-nacua.php" TargetMode="External"/><Relationship Id="rId148" Type="http://schemas.openxmlformats.org/officeDocument/2006/relationships/hyperlink" Target="https://www.fantasypros.com/nfl/players/tyjae-spears.php" TargetMode="External"/><Relationship Id="rId269" Type="http://schemas.openxmlformats.org/officeDocument/2006/relationships/hyperlink" Target="https://www.fantasypros.com/nfl/players/darius-slayton.php" TargetMode="External"/><Relationship Id="rId9" Type="http://schemas.openxmlformats.org/officeDocument/2006/relationships/hyperlink" Target="https://www.fantasypros.com/nfl/players/ceedee-lamb.php" TargetMode="External"/><Relationship Id="rId143" Type="http://schemas.openxmlformats.org/officeDocument/2006/relationships/hyperlink" Target="https://www.fantasypros.com/nfl/players/brian-robinson-jr.php" TargetMode="External"/><Relationship Id="rId264" Type="http://schemas.openxmlformats.org/officeDocument/2006/relationships/hyperlink" Target="https://www.fantasypros.com/nfl/players/ty-johnson.php" TargetMode="External"/><Relationship Id="rId385" Type="http://schemas.openxmlformats.org/officeDocument/2006/relationships/hyperlink" Target="https://www.fantasypros.com/nfl/players/zane-gonzalez.php" TargetMode="External"/><Relationship Id="rId142" Type="http://schemas.openxmlformats.org/officeDocument/2006/relationships/hyperlink" Target="https://www.fantasypros.com/nfl/players/keaton-mitchell.php" TargetMode="External"/><Relationship Id="rId263" Type="http://schemas.openxmlformats.org/officeDocument/2006/relationships/hyperlink" Target="https://www.fantasypros.com/nfl/players/ted-hurst.php" TargetMode="External"/><Relationship Id="rId384" Type="http://schemas.openxmlformats.org/officeDocument/2006/relationships/hyperlink" Target="https://www.fantasypros.com/nfl/players/kevin-coleman-jr.php" TargetMode="External"/><Relationship Id="rId141" Type="http://schemas.openxmlformats.org/officeDocument/2006/relationships/hyperlink" Target="https://www.fantasypros.com/nfl/players/sam-darnold.php" TargetMode="External"/><Relationship Id="rId262" Type="http://schemas.openxmlformats.org/officeDocument/2006/relationships/hyperlink" Target="https://www.fantasypros.com/nfl/players/wil-lutz.php" TargetMode="External"/><Relationship Id="rId383" Type="http://schemas.openxmlformats.org/officeDocument/2006/relationships/hyperlink" Target="https://www.fantasypros.com/nfl/players/nick-westbrook.php" TargetMode="External"/><Relationship Id="rId140" Type="http://schemas.openxmlformats.org/officeDocument/2006/relationships/hyperlink" Target="https://www.fantasypros.com/nfl/players/tank-bigsby.php" TargetMode="External"/><Relationship Id="rId261" Type="http://schemas.openxmlformats.org/officeDocument/2006/relationships/hyperlink" Target="https://www.fantasypros.com/nfl/players/elijah-sarratt.php" TargetMode="External"/><Relationship Id="rId382" Type="http://schemas.openxmlformats.org/officeDocument/2006/relationships/hyperlink" Target="https://www.fantasypros.com/nfl/players/savion-williams.php" TargetMode="External"/><Relationship Id="rId5" Type="http://schemas.openxmlformats.org/officeDocument/2006/relationships/hyperlink" Target="https://www.fantasypros.com/nfl/players/jaxon-smith-njigba.php" TargetMode="External"/><Relationship Id="rId147" Type="http://schemas.openxmlformats.org/officeDocument/2006/relationships/hyperlink" Target="https://www.fantasypros.com/nfl/players/juwan-johnson.php" TargetMode="External"/><Relationship Id="rId268" Type="http://schemas.openxmlformats.org/officeDocument/2006/relationships/hyperlink" Target="https://www.fantasypros.com/nfl/players/tua-tagovailoa.php" TargetMode="External"/><Relationship Id="rId389" Type="http://schemas.openxmlformats.org/officeDocument/2006/relationships/hyperlink" Target="https://www.fantasypros.com/nfl/players/ryan-fitzgerald.php" TargetMode="External"/><Relationship Id="rId6" Type="http://schemas.openxmlformats.org/officeDocument/2006/relationships/hyperlink" Target="https://www.fantasypros.com/nfl/players/amonra-stbrown.php" TargetMode="External"/><Relationship Id="rId146" Type="http://schemas.openxmlformats.org/officeDocument/2006/relationships/hyperlink" Target="https://www.fantasypros.com/nfl/players/brenton-strange.php" TargetMode="External"/><Relationship Id="rId267" Type="http://schemas.openxmlformats.org/officeDocument/2006/relationships/hyperlink" Target="https://www.fantasypros.com/nfl/players/christian-kirk.php" TargetMode="External"/><Relationship Id="rId388" Type="http://schemas.openxmlformats.org/officeDocument/2006/relationships/hyperlink" Target="https://www.fantasypros.com/nfl/players/kyle-juszczyk.php" TargetMode="External"/><Relationship Id="rId7" Type="http://schemas.openxmlformats.org/officeDocument/2006/relationships/hyperlink" Target="https://www.fantasypros.com/nfl/players/jonathan-taylor.php" TargetMode="External"/><Relationship Id="rId145" Type="http://schemas.openxmlformats.org/officeDocument/2006/relationships/hyperlink" Target="https://www.fantasypros.com/nfl/players/hunter-henry.php" TargetMode="External"/><Relationship Id="rId266" Type="http://schemas.openxmlformats.org/officeDocument/2006/relationships/hyperlink" Target="https://www.fantasypros.com/nfl/players/dj-giddens.php" TargetMode="External"/><Relationship Id="rId387" Type="http://schemas.openxmlformats.org/officeDocument/2006/relationships/hyperlink" Target="https://www.fantasypros.com/nfl/players/trey-smack.php" TargetMode="External"/><Relationship Id="rId8" Type="http://schemas.openxmlformats.org/officeDocument/2006/relationships/hyperlink" Target="https://www.fantasypros.com/nfl/players/christian-mccaffrey.php" TargetMode="External"/><Relationship Id="rId144" Type="http://schemas.openxmlformats.org/officeDocument/2006/relationships/hyperlink" Target="https://www.fantasypros.com/nfl/players/alvin-kamara.php" TargetMode="External"/><Relationship Id="rId265" Type="http://schemas.openxmlformats.org/officeDocument/2006/relationships/hyperlink" Target="https://www.fantasypros.com/nfl/players/christopher-brooks.php" TargetMode="External"/><Relationship Id="rId386" Type="http://schemas.openxmlformats.org/officeDocument/2006/relationships/hyperlink" Target="https://www.fantasypros.com/nfl/players/washington-defense.php" TargetMode="External"/><Relationship Id="rId260" Type="http://schemas.openxmlformats.org/officeDocument/2006/relationships/hyperlink" Target="https://www.fantasypros.com/nfl/players/tyquan-thornton.php" TargetMode="External"/><Relationship Id="rId381" Type="http://schemas.openxmlformats.org/officeDocument/2006/relationships/hyperlink" Target="https://www.fantasypros.com/nfl/players/tyler-bass.php" TargetMode="External"/><Relationship Id="rId380" Type="http://schemas.openxmlformats.org/officeDocument/2006/relationships/hyperlink" Target="https://www.fantasypros.com/nfl/players/anthony-richardson.php" TargetMode="External"/><Relationship Id="rId139" Type="http://schemas.openxmlformats.org/officeDocument/2006/relationships/hyperlink" Target="https://www.fantasypros.com/nfl/players/cj-stroud.php" TargetMode="External"/><Relationship Id="rId138" Type="http://schemas.openxmlformats.org/officeDocument/2006/relationships/hyperlink" Target="https://www.fantasypros.com/nfl/players/isiah-pacheco.php" TargetMode="External"/><Relationship Id="rId259" Type="http://schemas.openxmlformats.org/officeDocument/2006/relationships/hyperlink" Target="https://www.fantasypros.com/nfl/players/fernando-mendoza.php" TargetMode="External"/><Relationship Id="rId137" Type="http://schemas.openxmlformats.org/officeDocument/2006/relationships/hyperlink" Target="https://www.fantasypros.com/nfl/players/kevin-concepcion.php" TargetMode="External"/><Relationship Id="rId258" Type="http://schemas.openxmlformats.org/officeDocument/2006/relationships/hyperlink" Target="https://www.fantasypros.com/nfl/players/kaelon-black.php" TargetMode="External"/><Relationship Id="rId379" Type="http://schemas.openxmlformats.org/officeDocument/2006/relationships/hyperlink" Target="https://www.fantasypros.com/nfl/players/tennessee-defense.php" TargetMode="External"/><Relationship Id="rId132" Type="http://schemas.openxmlformats.org/officeDocument/2006/relationships/hyperlink" Target="https://www.fantasypros.com/nfl/players/malik-willis.php" TargetMode="External"/><Relationship Id="rId253" Type="http://schemas.openxmlformats.org/officeDocument/2006/relationships/hyperlink" Target="https://www.fantasypros.com/nfl/players/justice-hill.php" TargetMode="External"/><Relationship Id="rId374" Type="http://schemas.openxmlformats.org/officeDocument/2006/relationships/hyperlink" Target="https://www.fantasypros.com/nfl/players/tutu-atwell.php" TargetMode="External"/><Relationship Id="rId495" Type="http://schemas.openxmlformats.org/officeDocument/2006/relationships/hyperlink" Target="https://www.fantasypros.com/nfl/players/jordan-watkins.php" TargetMode="External"/><Relationship Id="rId131" Type="http://schemas.openxmlformats.org/officeDocument/2006/relationships/hyperlink" Target="https://www.fantasypros.com/nfl/players/zach-charbonnet.php" TargetMode="External"/><Relationship Id="rId252" Type="http://schemas.openxmlformats.org/officeDocument/2006/relationships/hyperlink" Target="https://www.fantasypros.com/nfl/players/malik-davis.php" TargetMode="External"/><Relationship Id="rId373" Type="http://schemas.openxmlformats.org/officeDocument/2006/relationships/hyperlink" Target="https://www.fantasypros.com/nfl/players/kavontae-turpin.php" TargetMode="External"/><Relationship Id="rId494" Type="http://schemas.openxmlformats.org/officeDocument/2006/relationships/hyperlink" Target="https://www.fantasypros.com/nfl/players/corey-kiner.php" TargetMode="External"/><Relationship Id="rId130" Type="http://schemas.openxmlformats.org/officeDocument/2006/relationships/hyperlink" Target="https://www.fantasypros.com/nfl/players/woody-marks.php" TargetMode="External"/><Relationship Id="rId251" Type="http://schemas.openxmlformats.org/officeDocument/2006/relationships/hyperlink" Target="https://www.fantasypros.com/nfl/players/jordan-james.php" TargetMode="External"/><Relationship Id="rId372" Type="http://schemas.openxmlformats.org/officeDocument/2006/relationships/hyperlink" Target="https://www.fantasypros.com/nfl/players/ty-simpson.php" TargetMode="External"/><Relationship Id="rId493" Type="http://schemas.openxmlformats.org/officeDocument/2006/relationships/hyperlink" Target="https://www.fantasypros.com/nfl/players/british-brooks.php" TargetMode="External"/><Relationship Id="rId250" Type="http://schemas.openxmlformats.org/officeDocument/2006/relationships/hyperlink" Target="https://www.fantasypros.com/nfl/players/tory-horton.php" TargetMode="External"/><Relationship Id="rId371" Type="http://schemas.openxmlformats.org/officeDocument/2006/relationships/hyperlink" Target="https://www.fantasypros.com/nfl/players/noah-fant.php" TargetMode="External"/><Relationship Id="rId492" Type="http://schemas.openxmlformats.org/officeDocument/2006/relationships/hyperlink" Target="https://www.fantasypros.com/nfl/players/elijah-higgins.php" TargetMode="External"/><Relationship Id="rId136" Type="http://schemas.openxmlformats.org/officeDocument/2006/relationships/hyperlink" Target="https://www.fantasypros.com/nfl/players/khalil-shakir.php" TargetMode="External"/><Relationship Id="rId257" Type="http://schemas.openxmlformats.org/officeDocument/2006/relationships/hyperlink" Target="https://www.fantasypros.com/nfl/players/isaiah-davis.php" TargetMode="External"/><Relationship Id="rId378" Type="http://schemas.openxmlformats.org/officeDocument/2006/relationships/hyperlink" Target="https://www.fantasypros.com/nfl/players/nick-folk.php" TargetMode="External"/><Relationship Id="rId499" Type="http://schemas.openxmlformats.org/officeDocument/2006/relationships/hyperlink" Target="https://www.fantasypros.com/nfl/players/david-sills.php" TargetMode="External"/><Relationship Id="rId135" Type="http://schemas.openxmlformats.org/officeDocument/2006/relationships/hyperlink" Target="https://www.fantasypros.com/nfl/players/rashid-shaheed.php" TargetMode="External"/><Relationship Id="rId256" Type="http://schemas.openxmlformats.org/officeDocument/2006/relationships/hyperlink" Target="https://www.fantasypros.com/nfl/players/jack-bech.php" TargetMode="External"/><Relationship Id="rId377" Type="http://schemas.openxmlformats.org/officeDocument/2006/relationships/hyperlink" Target="https://www.fantasypros.com/nfl/players/luke-musgrave.php" TargetMode="External"/><Relationship Id="rId498" Type="http://schemas.openxmlformats.org/officeDocument/2006/relationships/hyperlink" Target="https://www.fantasypros.com/nfl/players/gardner-minshew.php" TargetMode="External"/><Relationship Id="rId134" Type="http://schemas.openxmlformats.org/officeDocument/2006/relationships/hyperlink" Target="https://www.fantasypros.com/nfl/players/matthew-golden.php" TargetMode="External"/><Relationship Id="rId255" Type="http://schemas.openxmlformats.org/officeDocument/2006/relationships/hyperlink" Target="https://www.fantasypros.com/nfl/players/devin-neal.php" TargetMode="External"/><Relationship Id="rId376" Type="http://schemas.openxmlformats.org/officeDocument/2006/relationships/hyperlink" Target="https://www.fantasypros.com/nfl/players/jaylin-lane.php" TargetMode="External"/><Relationship Id="rId497" Type="http://schemas.openxmlformats.org/officeDocument/2006/relationships/hyperlink" Target="https://www.fantasypros.com/nfl/players/miles-davis.php" TargetMode="External"/><Relationship Id="rId133" Type="http://schemas.openxmlformats.org/officeDocument/2006/relationships/hyperlink" Target="https://www.fantasypros.com/nfl/players/jalen-coker.php" TargetMode="External"/><Relationship Id="rId254" Type="http://schemas.openxmlformats.org/officeDocument/2006/relationships/hyperlink" Target="https://www.fantasypros.com/nfl/players/eli-stowers.php" TargetMode="External"/><Relationship Id="rId375" Type="http://schemas.openxmlformats.org/officeDocument/2006/relationships/hyperlink" Target="https://www.fantasypros.com/nfl/players/kalif-raymond.php" TargetMode="External"/><Relationship Id="rId496" Type="http://schemas.openxmlformats.org/officeDocument/2006/relationships/hyperlink" Target="https://www.fantasypros.com/nfl/players/keandre-lambert-smith.php" TargetMode="External"/><Relationship Id="rId172" Type="http://schemas.openxmlformats.org/officeDocument/2006/relationships/hyperlink" Target="https://www.fantasypros.com/nfl/players/kayshon-boutte.php" TargetMode="External"/><Relationship Id="rId293" Type="http://schemas.openxmlformats.org/officeDocument/2006/relationships/hyperlink" Target="https://www.fantasypros.com/nfl/players/mike-gesicki.php" TargetMode="External"/><Relationship Id="rId171" Type="http://schemas.openxmlformats.org/officeDocument/2006/relationships/hyperlink" Target="https://www.fantasypros.com/nfl/players/philadelphia-defense.php" TargetMode="External"/><Relationship Id="rId292" Type="http://schemas.openxmlformats.org/officeDocument/2006/relationships/hyperlink" Target="https://www.fantasypros.com/nfl/players/deshaun-watson.php" TargetMode="External"/><Relationship Id="rId170" Type="http://schemas.openxmlformats.org/officeDocument/2006/relationships/hyperlink" Target="https://www.fantasypros.com/nfl/players/los-angeles-rams-defense.php" TargetMode="External"/><Relationship Id="rId291" Type="http://schemas.openxmlformats.org/officeDocument/2006/relationships/hyperlink" Target="https://www.fantasypros.com/nfl/players/adam-randall.php" TargetMode="External"/><Relationship Id="rId290" Type="http://schemas.openxmlformats.org/officeDocument/2006/relationships/hyperlink" Target="https://www.fantasypros.com/nfl/players/kyle-williams-wr-2025.php" TargetMode="External"/><Relationship Id="rId165" Type="http://schemas.openxmlformats.org/officeDocument/2006/relationships/hyperlink" Target="https://www.fantasypros.com/nfl/players/bryce-young.php" TargetMode="External"/><Relationship Id="rId286" Type="http://schemas.openxmlformats.org/officeDocument/2006/relationships/hyperlink" Target="https://www.fantasypros.com/nfl/players/kendre-miller.php" TargetMode="External"/><Relationship Id="rId164" Type="http://schemas.openxmlformats.org/officeDocument/2006/relationships/hyperlink" Target="https://www.fantasypros.com/nfl/players/tre-tucker.php" TargetMode="External"/><Relationship Id="rId285" Type="http://schemas.openxmlformats.org/officeDocument/2006/relationships/hyperlink" Target="https://www.fantasypros.com/nfl/players/oscar-delp.php" TargetMode="External"/><Relationship Id="rId163" Type="http://schemas.openxmlformats.org/officeDocument/2006/relationships/hyperlink" Target="https://www.fantasypros.com/nfl/players/omar-cooper-jr.php" TargetMode="External"/><Relationship Id="rId284" Type="http://schemas.openxmlformats.org/officeDocument/2006/relationships/hyperlink" Target="https://www.fantasypros.com/nfl/players/emari-demercado.php" TargetMode="External"/><Relationship Id="rId162" Type="http://schemas.openxmlformats.org/officeDocument/2006/relationships/hyperlink" Target="https://www.fantasypros.com/nfl/players/denzel-boston.php" TargetMode="External"/><Relationship Id="rId283" Type="http://schemas.openxmlformats.org/officeDocument/2006/relationships/hyperlink" Target="https://www.fantasypros.com/nfl/players/devaughn-vele.php" TargetMode="External"/><Relationship Id="rId169" Type="http://schemas.openxmlformats.org/officeDocument/2006/relationships/hyperlink" Target="https://www.fantasypros.com/nfl/players/seattle-defense.php" TargetMode="External"/><Relationship Id="rId168" Type="http://schemas.openxmlformats.org/officeDocument/2006/relationships/hyperlink" Target="https://www.fantasypros.com/nfl/players/travis-hunter.php" TargetMode="External"/><Relationship Id="rId289" Type="http://schemas.openxmlformats.org/officeDocument/2006/relationships/hyperlink" Target="https://www.fantasypros.com/nfl/players/marquise-brown.php" TargetMode="External"/><Relationship Id="rId167" Type="http://schemas.openxmlformats.org/officeDocument/2006/relationships/hyperlink" Target="https://www.fantasypros.com/nfl/players/denver-defense.php" TargetMode="External"/><Relationship Id="rId288" Type="http://schemas.openxmlformats.org/officeDocument/2006/relationships/hyperlink" Target="https://www.fantasypros.com/nfl/players/michael-penix-jr.php" TargetMode="External"/><Relationship Id="rId166" Type="http://schemas.openxmlformats.org/officeDocument/2006/relationships/hyperlink" Target="https://www.fantasypros.com/nfl/players/stefon-diggs.php" TargetMode="External"/><Relationship Id="rId287" Type="http://schemas.openxmlformats.org/officeDocument/2006/relationships/hyperlink" Target="https://www.fantasypros.com/nfl/players/devin-singletary.php" TargetMode="External"/><Relationship Id="rId161" Type="http://schemas.openxmlformats.org/officeDocument/2006/relationships/hyperlink" Target="https://www.fantasypros.com/nfl/players/braelon-allen.php" TargetMode="External"/><Relationship Id="rId282" Type="http://schemas.openxmlformats.org/officeDocument/2006/relationships/hyperlink" Target="https://www.fantasypros.com/nfl/players/kaleb-johnson-rb.php" TargetMode="External"/><Relationship Id="rId160" Type="http://schemas.openxmlformats.org/officeDocument/2006/relationships/hyperlink" Target="https://www.fantasypros.com/nfl/players/adonai-mitchell.php" TargetMode="External"/><Relationship Id="rId281" Type="http://schemas.openxmlformats.org/officeDocument/2006/relationships/hyperlink" Target="https://www.fantasypros.com/nfl/players/xavier-legette.php" TargetMode="External"/><Relationship Id="rId280" Type="http://schemas.openxmlformats.org/officeDocument/2006/relationships/hyperlink" Target="https://www.fantasypros.com/nfl/players/atlanta-defense.php" TargetMode="External"/><Relationship Id="rId159" Type="http://schemas.openxmlformats.org/officeDocument/2006/relationships/hyperlink" Target="https://www.fantasypros.com/nfl/players/jalen-mcmillan.php" TargetMode="External"/><Relationship Id="rId154" Type="http://schemas.openxmlformats.org/officeDocument/2006/relationships/hyperlink" Target="https://www.fantasypros.com/nfl/players/daniel-jones.php" TargetMode="External"/><Relationship Id="rId275" Type="http://schemas.openxmlformats.org/officeDocument/2006/relationships/hyperlink" Target="https://www.fantasypros.com/nfl/players/samaje-perine.php" TargetMode="External"/><Relationship Id="rId396" Type="http://schemas.openxmlformats.org/officeDocument/2006/relationships/hyperlink" Target="https://www.fantasypros.com/nfl/players/ben-sinnott.php" TargetMode="External"/><Relationship Id="rId153" Type="http://schemas.openxmlformats.org/officeDocument/2006/relationships/hyperlink" Target="https://www.fantasypros.com/nfl/players/chigoziem-okonkwo.php" TargetMode="External"/><Relationship Id="rId274" Type="http://schemas.openxmlformats.org/officeDocument/2006/relationships/hyperlink" Target="https://www.fantasypros.com/nfl/players/malachi-fields.php" TargetMode="External"/><Relationship Id="rId395" Type="http://schemas.openxmlformats.org/officeDocument/2006/relationships/hyperlink" Target="https://www.fantasypros.com/nfl/players/jam-miller.php" TargetMode="External"/><Relationship Id="rId152" Type="http://schemas.openxmlformats.org/officeDocument/2006/relationships/hyperlink" Target="https://www.fantasypros.com/nfl/players/jauan-jennings.php" TargetMode="External"/><Relationship Id="rId273" Type="http://schemas.openxmlformats.org/officeDocument/2006/relationships/hyperlink" Target="https://www.fantasypros.com/nfl/players/brandon-aiyuk.php" TargetMode="External"/><Relationship Id="rId394" Type="http://schemas.openxmlformats.org/officeDocument/2006/relationships/hyperlink" Target="https://www.fantasypros.com/nfl/players/dameon-pierce.php" TargetMode="External"/><Relationship Id="rId151" Type="http://schemas.openxmlformats.org/officeDocument/2006/relationships/hyperlink" Target="https://www.fantasypros.com/nfl/players/cam-ward.php" TargetMode="External"/><Relationship Id="rId272" Type="http://schemas.openxmlformats.org/officeDocument/2006/relationships/hyperlink" Target="https://www.fantasypros.com/nfl/players/chris-bell.php" TargetMode="External"/><Relationship Id="rId393" Type="http://schemas.openxmlformats.org/officeDocument/2006/relationships/hyperlink" Target="https://www.fantasypros.com/nfl/players/zavion-thomas.php" TargetMode="External"/><Relationship Id="rId158" Type="http://schemas.openxmlformats.org/officeDocument/2006/relationships/hyperlink" Target="https://www.fantasypros.com/nfl/players/deebo-samuel.php" TargetMode="External"/><Relationship Id="rId279" Type="http://schemas.openxmlformats.org/officeDocument/2006/relationships/hyperlink" Target="https://www.fantasypros.com/nfl/players/san-francisco-defense.php" TargetMode="External"/><Relationship Id="rId157" Type="http://schemas.openxmlformats.org/officeDocument/2006/relationships/hyperlink" Target="https://www.fantasypros.com/nfl/players/jerry-jeudy.php" TargetMode="External"/><Relationship Id="rId278" Type="http://schemas.openxmlformats.org/officeDocument/2006/relationships/hyperlink" Target="https://www.fantasypros.com/nfl/players/will-reichard.php" TargetMode="External"/><Relationship Id="rId399" Type="http://schemas.openxmlformats.org/officeDocument/2006/relationships/hyperlink" Target="https://www.fantasypros.com/nfl/players/rasheen-ali.php" TargetMode="External"/><Relationship Id="rId156" Type="http://schemas.openxmlformats.org/officeDocument/2006/relationships/hyperlink" Target="https://www.fantasypros.com/nfl/players/houston-defense.php" TargetMode="External"/><Relationship Id="rId277" Type="http://schemas.openxmlformats.org/officeDocument/2006/relationships/hyperlink" Target="https://www.fantasypros.com/nfl/players/marvin-mims.php" TargetMode="External"/><Relationship Id="rId398" Type="http://schemas.openxmlformats.org/officeDocument/2006/relationships/hyperlink" Target="https://www.fantasypros.com/nfl/players/austin-ekeler.php" TargetMode="External"/><Relationship Id="rId155" Type="http://schemas.openxmlformats.org/officeDocument/2006/relationships/hyperlink" Target="https://www.fantasypros.com/nfl/players/jonah-coleman.php" TargetMode="External"/><Relationship Id="rId276" Type="http://schemas.openxmlformats.org/officeDocument/2006/relationships/hyperlink" Target="https://www.fantasypros.com/nfl/players/mason-taylor.php" TargetMode="External"/><Relationship Id="rId397" Type="http://schemas.openxmlformats.org/officeDocument/2006/relationships/hyperlink" Target="https://www.fantasypros.com/nfl/players/ben-sauls.php" TargetMode="External"/><Relationship Id="rId40" Type="http://schemas.openxmlformats.org/officeDocument/2006/relationships/hyperlink" Target="https://www.fantasypros.com/nfl/players/breece-hall.php" TargetMode="External"/><Relationship Id="rId42" Type="http://schemas.openxmlformats.org/officeDocument/2006/relationships/hyperlink" Target="https://www.fantasypros.com/nfl/players/joe-burrow.php" TargetMode="External"/><Relationship Id="rId41" Type="http://schemas.openxmlformats.org/officeDocument/2006/relationships/hyperlink" Target="https://www.fantasypros.com/nfl/players/jeremiyah-love.php" TargetMode="External"/><Relationship Id="rId44" Type="http://schemas.openxmlformats.org/officeDocument/2006/relationships/hyperlink" Target="https://www.fantasypros.com/nfl/players/ladd-mcconkey.php" TargetMode="External"/><Relationship Id="rId43" Type="http://schemas.openxmlformats.org/officeDocument/2006/relationships/hyperlink" Target="https://www.fantasypros.com/nfl/players/davante-adams.php" TargetMode="External"/><Relationship Id="rId46" Type="http://schemas.openxmlformats.org/officeDocument/2006/relationships/hyperlink" Target="https://www.fantasypros.com/nfl/players/jameson-williams.php" TargetMode="External"/><Relationship Id="rId45" Type="http://schemas.openxmlformats.org/officeDocument/2006/relationships/hyperlink" Target="https://www.fantasypros.com/nfl/players/terry-mclaurin.php" TargetMode="External"/><Relationship Id="rId509" Type="http://schemas.openxmlformats.org/officeDocument/2006/relationships/hyperlink" Target="https://www.fantasypros.com/nfl/players/trey-lance.php" TargetMode="External"/><Relationship Id="rId508" Type="http://schemas.openxmlformats.org/officeDocument/2006/relationships/hyperlink" Target="https://www.fantasypros.com/nfl/players/quinn-ewers.php" TargetMode="External"/><Relationship Id="rId503" Type="http://schemas.openxmlformats.org/officeDocument/2006/relationships/hyperlink" Target="https://www.fantasypros.com/nfl/players/brock-wright.php" TargetMode="External"/><Relationship Id="rId502" Type="http://schemas.openxmlformats.org/officeDocument/2006/relationships/hyperlink" Target="https://www.fantasypros.com/nfl/players/dontae-mcmillan.php" TargetMode="External"/><Relationship Id="rId501" Type="http://schemas.openxmlformats.org/officeDocument/2006/relationships/hyperlink" Target="https://www.fantasypros.com/nfl/players/durham-smythe.php" TargetMode="External"/><Relationship Id="rId500" Type="http://schemas.openxmlformats.org/officeDocument/2006/relationships/hyperlink" Target="https://www.fantasypros.com/nfl/players/drew-sample.php" TargetMode="External"/><Relationship Id="rId507" Type="http://schemas.openxmlformats.org/officeDocument/2006/relationships/hyperlink" Target="https://www.fantasypros.com/nfl/players/tanner-hudson.php" TargetMode="External"/><Relationship Id="rId506" Type="http://schemas.openxmlformats.org/officeDocument/2006/relationships/hyperlink" Target="https://www.fantasypros.com/nfl/players/reggie-virgil.php" TargetMode="External"/><Relationship Id="rId505" Type="http://schemas.openxmlformats.org/officeDocument/2006/relationships/hyperlink" Target="https://www.fantasypros.com/nfl/players/van-jefferson.php" TargetMode="External"/><Relationship Id="rId504" Type="http://schemas.openxmlformats.org/officeDocument/2006/relationships/hyperlink" Target="https://www.fantasypros.com/nfl/players/mecole-hardman.php" TargetMode="External"/><Relationship Id="rId48" Type="http://schemas.openxmlformats.org/officeDocument/2006/relationships/hyperlink" Target="https://www.fantasypros.com/nfl/players/christian-watson.php" TargetMode="External"/><Relationship Id="rId47" Type="http://schemas.openxmlformats.org/officeDocument/2006/relationships/hyperlink" Target="https://www.fantasypros.com/nfl/players/jaylen-waddle.php" TargetMode="External"/><Relationship Id="rId49" Type="http://schemas.openxmlformats.org/officeDocument/2006/relationships/hyperlink" Target="https://www.fantasypros.com/nfl/players/travis-etienne.php" TargetMode="External"/><Relationship Id="rId31" Type="http://schemas.openxmlformats.org/officeDocument/2006/relationships/hyperlink" Target="https://www.fantasypros.com/nfl/players/tee-higgins.php" TargetMode="External"/><Relationship Id="rId30" Type="http://schemas.openxmlformats.org/officeDocument/2006/relationships/hyperlink" Target="https://www.fantasypros.com/nfl/players/kyren-williams.php" TargetMode="External"/><Relationship Id="rId33" Type="http://schemas.openxmlformats.org/officeDocument/2006/relationships/hyperlink" Target="https://www.fantasypros.com/nfl/players/drake-maye.php" TargetMode="External"/><Relationship Id="rId32" Type="http://schemas.openxmlformats.org/officeDocument/2006/relationships/hyperlink" Target="https://www.fantasypros.com/nfl/players/devonta-smith.php" TargetMode="External"/><Relationship Id="rId35" Type="http://schemas.openxmlformats.org/officeDocument/2006/relationships/hyperlink" Target="https://www.fantasypros.com/nfl/players/tetairoa-mcmillan.php" TargetMode="External"/><Relationship Id="rId34" Type="http://schemas.openxmlformats.org/officeDocument/2006/relationships/hyperlink" Target="https://www.fantasypros.com/nfl/players/josh-jacobs.php" TargetMode="External"/><Relationship Id="rId37" Type="http://schemas.openxmlformats.org/officeDocument/2006/relationships/hyperlink" Target="https://www.fantasypros.com/nfl/players/javonte-williams.php" TargetMode="External"/><Relationship Id="rId36" Type="http://schemas.openxmlformats.org/officeDocument/2006/relationships/hyperlink" Target="https://www.fantasypros.com/nfl/players/emeka-egbuka.php" TargetMode="External"/><Relationship Id="rId39" Type="http://schemas.openxmlformats.org/officeDocument/2006/relationships/hyperlink" Target="https://www.fantasypros.com/nfl/players/colston-loveland.php" TargetMode="External"/><Relationship Id="rId38" Type="http://schemas.openxmlformats.org/officeDocument/2006/relationships/hyperlink" Target="https://www.fantasypros.com/nfl/players/malik-nabers.php" TargetMode="External"/><Relationship Id="rId20" Type="http://schemas.openxmlformats.org/officeDocument/2006/relationships/hyperlink" Target="https://www.fantasypros.com/nfl/players/trey-mcbride.php" TargetMode="External"/><Relationship Id="rId22" Type="http://schemas.openxmlformats.org/officeDocument/2006/relationships/hyperlink" Target="https://www.fantasypros.com/nfl/players/josh-allen-qb.php" TargetMode="External"/><Relationship Id="rId21" Type="http://schemas.openxmlformats.org/officeDocument/2006/relationships/hyperlink" Target="https://www.fantasypros.com/nfl/players/omarion-hampton.php" TargetMode="External"/><Relationship Id="rId24" Type="http://schemas.openxmlformats.org/officeDocument/2006/relationships/hyperlink" Target="https://www.fantasypros.com/nfl/players/chase-brown.php" TargetMode="External"/><Relationship Id="rId23" Type="http://schemas.openxmlformats.org/officeDocument/2006/relationships/hyperlink" Target="https://www.fantasypros.com/nfl/players/kenneth-walker-rb.php" TargetMode="External"/><Relationship Id="rId409" Type="http://schemas.openxmlformats.org/officeDocument/2006/relationships/hyperlink" Target="https://www.fantasypros.com/nfl/players/mitchell-evans.php" TargetMode="External"/><Relationship Id="rId404" Type="http://schemas.openxmlformats.org/officeDocument/2006/relationships/hyperlink" Target="https://www.fantasypros.com/nfl/players/dyami-brown.php" TargetMode="External"/><Relationship Id="rId403" Type="http://schemas.openxmlformats.org/officeDocument/2006/relationships/hyperlink" Target="https://www.fantasypros.com/nfl/players/devontez-walker.php" TargetMode="External"/><Relationship Id="rId402" Type="http://schemas.openxmlformats.org/officeDocument/2006/relationships/hyperlink" Target="https://www.fantasypros.com/nfl/players/chad-ryland.php" TargetMode="External"/><Relationship Id="rId401" Type="http://schemas.openxmlformats.org/officeDocument/2006/relationships/hyperlink" Target="https://www.fantasypros.com/nfl/players/tommy-tremble.php" TargetMode="External"/><Relationship Id="rId408" Type="http://schemas.openxmlformats.org/officeDocument/2006/relationships/hyperlink" Target="https://www.fantasypros.com/nfl/players/deion-burks.php" TargetMode="External"/><Relationship Id="rId407" Type="http://schemas.openxmlformats.org/officeDocument/2006/relationships/hyperlink" Target="https://www.fantasypros.com/nfl/players/terrell-jennings.php" TargetMode="External"/><Relationship Id="rId406" Type="http://schemas.openxmlformats.org/officeDocument/2006/relationships/hyperlink" Target="https://www.fantasypros.com/nfl/players/brandon-mcmanus.php" TargetMode="External"/><Relationship Id="rId405" Type="http://schemas.openxmlformats.org/officeDocument/2006/relationships/hyperlink" Target="https://www.fantasypros.com/nfl/players/joey-slye.php" TargetMode="External"/><Relationship Id="rId26" Type="http://schemas.openxmlformats.org/officeDocument/2006/relationships/hyperlink" Target="https://www.fantasypros.com/nfl/players/rashee-rice.php" TargetMode="External"/><Relationship Id="rId25" Type="http://schemas.openxmlformats.org/officeDocument/2006/relationships/hyperlink" Target="https://www.fantasypros.com/nfl/players/devon-achane.php" TargetMode="External"/><Relationship Id="rId28" Type="http://schemas.openxmlformats.org/officeDocument/2006/relationships/hyperlink" Target="https://www.fantasypros.com/nfl/players/lamar-jackson.php" TargetMode="External"/><Relationship Id="rId27" Type="http://schemas.openxmlformats.org/officeDocument/2006/relationships/hyperlink" Target="https://www.fantasypros.com/nfl/players/chris-olave.php" TargetMode="External"/><Relationship Id="rId400" Type="http://schemas.openxmlformats.org/officeDocument/2006/relationships/hyperlink" Target="https://www.fantasypros.com/nfl/players/miami-defense.php" TargetMode="External"/><Relationship Id="rId29" Type="http://schemas.openxmlformats.org/officeDocument/2006/relationships/hyperlink" Target="https://www.fantasypros.com/nfl/players/zay-flowers.php" TargetMode="External"/><Relationship Id="rId11" Type="http://schemas.openxmlformats.org/officeDocument/2006/relationships/hyperlink" Target="https://www.fantasypros.com/nfl/players/justin-jefferson.php" TargetMode="External"/><Relationship Id="rId10" Type="http://schemas.openxmlformats.org/officeDocument/2006/relationships/hyperlink" Target="https://www.fantasypros.com/nfl/players/james-cook.php" TargetMode="External"/><Relationship Id="rId13" Type="http://schemas.openxmlformats.org/officeDocument/2006/relationships/hyperlink" Target="https://www.fantasypros.com/nfl/players/nico-collins.php" TargetMode="External"/><Relationship Id="rId12" Type="http://schemas.openxmlformats.org/officeDocument/2006/relationships/hyperlink" Target="https://www.fantasypros.com/nfl/players/derrick-henry.php" TargetMode="External"/><Relationship Id="rId512" Type="http://schemas.openxmlformats.org/officeDocument/2006/relationships/drawing" Target="../drawings/drawing2.xml"/><Relationship Id="rId511" Type="http://schemas.openxmlformats.org/officeDocument/2006/relationships/hyperlink" Target="https://www.fantasypros.com/nfl/players/reggie-gilliam.php" TargetMode="External"/><Relationship Id="rId15" Type="http://schemas.openxmlformats.org/officeDocument/2006/relationships/hyperlink" Target="https://www.fantasypros.com/nfl/players/drake-london.php" TargetMode="External"/><Relationship Id="rId14" Type="http://schemas.openxmlformats.org/officeDocument/2006/relationships/hyperlink" Target="https://www.fantasypros.com/nfl/players/aj-brown.php" TargetMode="External"/><Relationship Id="rId17" Type="http://schemas.openxmlformats.org/officeDocument/2006/relationships/hyperlink" Target="https://www.fantasypros.com/nfl/players/brock-bowers.php" TargetMode="External"/><Relationship Id="rId16" Type="http://schemas.openxmlformats.org/officeDocument/2006/relationships/hyperlink" Target="https://www.fantasypros.com/nfl/players/saquon-barkley.php" TargetMode="External"/><Relationship Id="rId19" Type="http://schemas.openxmlformats.org/officeDocument/2006/relationships/hyperlink" Target="https://www.fantasypros.com/nfl/players/george-pickens.php" TargetMode="External"/><Relationship Id="rId510" Type="http://schemas.openxmlformats.org/officeDocument/2006/relationships/hyperlink" Target="https://www.fantasypros.com/nfl/players/kenny-mcintosh.php" TargetMode="External"/><Relationship Id="rId18" Type="http://schemas.openxmlformats.org/officeDocument/2006/relationships/hyperlink" Target="https://www.fantasypros.com/nfl/players/ashton-jeanty.php" TargetMode="External"/><Relationship Id="rId84" Type="http://schemas.openxmlformats.org/officeDocument/2006/relationships/hyperlink" Target="https://www.fantasypros.com/nfl/players/jk-dobbins.php" TargetMode="External"/><Relationship Id="rId83" Type="http://schemas.openxmlformats.org/officeDocument/2006/relationships/hyperlink" Target="https://www.fantasypros.com/nfl/players/rico-dowdle.php" TargetMode="External"/><Relationship Id="rId86" Type="http://schemas.openxmlformats.org/officeDocument/2006/relationships/hyperlink" Target="https://www.fantasypros.com/nfl/players/kyle-pitts.php" TargetMode="External"/><Relationship Id="rId85" Type="http://schemas.openxmlformats.org/officeDocument/2006/relationships/hyperlink" Target="https://www.fantasypros.com/nfl/players/harold-fannin-jr.php" TargetMode="External"/><Relationship Id="rId88" Type="http://schemas.openxmlformats.org/officeDocument/2006/relationships/hyperlink" Target="https://www.fantasypros.com/nfl/players/quentin-johnston.php" TargetMode="External"/><Relationship Id="rId87" Type="http://schemas.openxmlformats.org/officeDocument/2006/relationships/hyperlink" Target="https://www.fantasypros.com/nfl/players/blake-corum.php" TargetMode="External"/><Relationship Id="rId89" Type="http://schemas.openxmlformats.org/officeDocument/2006/relationships/hyperlink" Target="https://www.fantasypros.com/nfl/players/jaxson-dart.php" TargetMode="External"/><Relationship Id="rId80" Type="http://schemas.openxmlformats.org/officeDocument/2006/relationships/hyperlink" Target="https://www.fantasypros.com/nfl/players/chuba-hubbard.php" TargetMode="External"/><Relationship Id="rId82" Type="http://schemas.openxmlformats.org/officeDocument/2006/relationships/hyperlink" Target="https://www.fantasypros.com/nfl/players/courtland-sutton.php" TargetMode="External"/><Relationship Id="rId81" Type="http://schemas.openxmlformats.org/officeDocument/2006/relationships/hyperlink" Target="https://www.fantasypros.com/nfl/players/parker-washington.php" TargetMode="External"/><Relationship Id="rId73" Type="http://schemas.openxmlformats.org/officeDocument/2006/relationships/hyperlink" Target="https://www.fantasypros.com/nfl/players/jaylen-warren.php" TargetMode="External"/><Relationship Id="rId72" Type="http://schemas.openxmlformats.org/officeDocument/2006/relationships/hyperlink" Target="https://www.fantasypros.com/nfl/players/tony-pollard.php" TargetMode="External"/><Relationship Id="rId75" Type="http://schemas.openxmlformats.org/officeDocument/2006/relationships/hyperlink" Target="https://www.fantasypros.com/nfl/players/alec-pierce.php" TargetMode="External"/><Relationship Id="rId74" Type="http://schemas.openxmlformats.org/officeDocument/2006/relationships/hyperlink" Target="https://www.fantasypros.com/nfl/players/carnell-tate.php" TargetMode="External"/><Relationship Id="rId77" Type="http://schemas.openxmlformats.org/officeDocument/2006/relationships/hyperlink" Target="https://www.fantasypros.com/nfl/players/dak-prescott.php" TargetMode="External"/><Relationship Id="rId76" Type="http://schemas.openxmlformats.org/officeDocument/2006/relationships/hyperlink" Target="https://www.fantasypros.com/nfl/players/dk-metcalf.php" TargetMode="External"/><Relationship Id="rId79" Type="http://schemas.openxmlformats.org/officeDocument/2006/relationships/hyperlink" Target="https://www.fantasypros.com/nfl/players/rhamondre-stevenson.php" TargetMode="External"/><Relationship Id="rId78" Type="http://schemas.openxmlformats.org/officeDocument/2006/relationships/hyperlink" Target="https://www.fantasypros.com/nfl/players/sam-laporta.php" TargetMode="External"/><Relationship Id="rId71" Type="http://schemas.openxmlformats.org/officeDocument/2006/relationships/hyperlink" Target="https://www.fantasypros.com/nfl/players/trevor-lawrence.php" TargetMode="External"/><Relationship Id="rId70" Type="http://schemas.openxmlformats.org/officeDocument/2006/relationships/hyperlink" Target="https://www.fantasypros.com/nfl/players/marvin-harrison-jr.php" TargetMode="External"/><Relationship Id="rId62" Type="http://schemas.openxmlformats.org/officeDocument/2006/relationships/hyperlink" Target="https://www.fantasypros.com/nfl/players/tucker-kraft.php" TargetMode="External"/><Relationship Id="rId61" Type="http://schemas.openxmlformats.org/officeDocument/2006/relationships/hyperlink" Target="https://www.fantasypros.com/nfl/players/treveyon-henderson.php" TargetMode="External"/><Relationship Id="rId64" Type="http://schemas.openxmlformats.org/officeDocument/2006/relationships/hyperlink" Target="https://www.fantasypros.com/nfl/players/bhayshul-tuten.php" TargetMode="External"/><Relationship Id="rId63" Type="http://schemas.openxmlformats.org/officeDocument/2006/relationships/hyperlink" Target="https://www.fantasypros.com/nfl/players/dj-moore-wr.php" TargetMode="External"/><Relationship Id="rId66" Type="http://schemas.openxmlformats.org/officeDocument/2006/relationships/hyperlink" Target="https://www.fantasypros.com/nfl/players/jadarian-price.php" TargetMode="External"/><Relationship Id="rId65" Type="http://schemas.openxmlformats.org/officeDocument/2006/relationships/hyperlink" Target="https://www.fantasypros.com/nfl/players/tyler-warren.php" TargetMode="External"/><Relationship Id="rId68" Type="http://schemas.openxmlformats.org/officeDocument/2006/relationships/hyperlink" Target="https://www.fantasypros.com/nfl/players/justin-herbert.php" TargetMode="External"/><Relationship Id="rId67" Type="http://schemas.openxmlformats.org/officeDocument/2006/relationships/hyperlink" Target="https://www.fantasypros.com/nfl/players/caleb-williams.php" TargetMode="External"/><Relationship Id="rId60" Type="http://schemas.openxmlformats.org/officeDocument/2006/relationships/hyperlink" Target="https://www.fantasypros.com/nfl/players/david-montgomery.php" TargetMode="External"/><Relationship Id="rId69" Type="http://schemas.openxmlformats.org/officeDocument/2006/relationships/hyperlink" Target="https://www.fantasypros.com/nfl/players/brian-thomas-jr.php" TargetMode="External"/><Relationship Id="rId51" Type="http://schemas.openxmlformats.org/officeDocument/2006/relationships/hyperlink" Target="https://www.fantasypros.com/nfl/players/garrett-wilson.php" TargetMode="External"/><Relationship Id="rId50" Type="http://schemas.openxmlformats.org/officeDocument/2006/relationships/hyperlink" Target="https://www.fantasypros.com/nfl/players/jayden-daniels.php" TargetMode="External"/><Relationship Id="rId53" Type="http://schemas.openxmlformats.org/officeDocument/2006/relationships/hyperlink" Target="https://www.fantasypros.com/nfl/players/mike-evans.php" TargetMode="External"/><Relationship Id="rId52" Type="http://schemas.openxmlformats.org/officeDocument/2006/relationships/hyperlink" Target="https://www.fantasypros.com/nfl/players/cam-skattebo.php" TargetMode="External"/><Relationship Id="rId55" Type="http://schemas.openxmlformats.org/officeDocument/2006/relationships/hyperlink" Target="https://www.fantasypros.com/nfl/players/luther-burden-iii.php" TargetMode="External"/><Relationship Id="rId54" Type="http://schemas.openxmlformats.org/officeDocument/2006/relationships/hyperlink" Target="https://www.fantasypros.com/nfl/players/quinshon-judkins.php" TargetMode="External"/><Relationship Id="rId57" Type="http://schemas.openxmlformats.org/officeDocument/2006/relationships/hyperlink" Target="https://www.fantasypros.com/nfl/players/jalen-hurts.php" TargetMode="External"/><Relationship Id="rId56" Type="http://schemas.openxmlformats.org/officeDocument/2006/relationships/hyperlink" Target="https://www.fantasypros.com/nfl/players/dandre-swift.php" TargetMode="External"/><Relationship Id="rId59" Type="http://schemas.openxmlformats.org/officeDocument/2006/relationships/hyperlink" Target="https://www.fantasypros.com/nfl/players/rome-odunze.php" TargetMode="External"/><Relationship Id="rId58" Type="http://schemas.openxmlformats.org/officeDocument/2006/relationships/hyperlink" Target="https://www.fantasypros.com/nfl/players/bucky-irving.php" TargetMode="External"/><Relationship Id="rId107" Type="http://schemas.openxmlformats.org/officeDocument/2006/relationships/hyperlink" Target="https://www.fantasypros.com/nfl/players/rachaad-white.php" TargetMode="External"/><Relationship Id="rId228" Type="http://schemas.openxmlformats.org/officeDocument/2006/relationships/hyperlink" Target="https://www.fantasypros.com/nfl/players/cleveland-defense.php" TargetMode="External"/><Relationship Id="rId349" Type="http://schemas.openxmlformats.org/officeDocument/2006/relationships/hyperlink" Target="https://www.fantasypros.com/nfl/players/carolina-defense.php" TargetMode="External"/><Relationship Id="rId106" Type="http://schemas.openxmlformats.org/officeDocument/2006/relationships/hyperlink" Target="https://www.fantasypros.com/nfl/players/jonathon-brooks.php" TargetMode="External"/><Relationship Id="rId227" Type="http://schemas.openxmlformats.org/officeDocument/2006/relationships/hyperlink" Target="https://www.fantasypros.com/nfl/players/andres-borregales.php" TargetMode="External"/><Relationship Id="rId348" Type="http://schemas.openxmlformats.org/officeDocument/2006/relationships/hyperlink" Target="https://www.fantasypros.com/nfl/players/dallas-defense.php" TargetMode="External"/><Relationship Id="rId469" Type="http://schemas.openxmlformats.org/officeDocument/2006/relationships/hyperlink" Target="https://www.fantasypros.com/nfl/players/jaydn-ott.php" TargetMode="External"/><Relationship Id="rId105" Type="http://schemas.openxmlformats.org/officeDocument/2006/relationships/hyperlink" Target="https://www.fantasypros.com/nfl/players/jayden-reed.php" TargetMode="External"/><Relationship Id="rId226" Type="http://schemas.openxmlformats.org/officeDocument/2006/relationships/hyperlink" Target="https://www.fantasypros.com/nfl/players/pat-freiermuth.php" TargetMode="External"/><Relationship Id="rId347" Type="http://schemas.openxmlformats.org/officeDocument/2006/relationships/hyperlink" Target="https://www.fantasypros.com/nfl/players/zonovan-bam-knight.php" TargetMode="External"/><Relationship Id="rId468" Type="http://schemas.openxmlformats.org/officeDocument/2006/relationships/hyperlink" Target="https://www.fantasypros.com/nfl/players/roman-wilson-wr.php" TargetMode="External"/><Relationship Id="rId104" Type="http://schemas.openxmlformats.org/officeDocument/2006/relationships/hyperlink" Target="https://www.fantasypros.com/nfl/players/travis-kelce.php" TargetMode="External"/><Relationship Id="rId225" Type="http://schemas.openxmlformats.org/officeDocument/2006/relationships/hyperlink" Target="https://www.fantasypros.com/nfl/players/cairo-santos.php" TargetMode="External"/><Relationship Id="rId346" Type="http://schemas.openxmlformats.org/officeDocument/2006/relationships/hyperlink" Target="https://www.fantasypros.com/nfl/players/josh-palmer.php" TargetMode="External"/><Relationship Id="rId467" Type="http://schemas.openxmlformats.org/officeDocument/2006/relationships/hyperlink" Target="https://www.fantasypros.com/nfl/players/jake-bobo.php" TargetMode="External"/><Relationship Id="rId109" Type="http://schemas.openxmlformats.org/officeDocument/2006/relationships/hyperlink" Target="https://www.fantasypros.com/nfl/players/jared-goff.php" TargetMode="External"/><Relationship Id="rId108" Type="http://schemas.openxmlformats.org/officeDocument/2006/relationships/hyperlink" Target="https://www.fantasypros.com/nfl/players/jordan-mason.php" TargetMode="External"/><Relationship Id="rId229" Type="http://schemas.openxmlformats.org/officeDocument/2006/relationships/hyperlink" Target="https://www.fantasypros.com/nfl/players/jake-bates.php" TargetMode="External"/><Relationship Id="rId220" Type="http://schemas.openxmlformats.org/officeDocument/2006/relationships/hyperlink" Target="https://www.fantasypros.com/nfl/players/nathaniel-dell.php" TargetMode="External"/><Relationship Id="rId341" Type="http://schemas.openxmlformats.org/officeDocument/2006/relationships/hyperlink" Target="https://www.fantasypros.com/nfl/players/demario-douglas.php" TargetMode="External"/><Relationship Id="rId462" Type="http://schemas.openxmlformats.org/officeDocument/2006/relationships/hyperlink" Target="https://www.fantasypros.com/nfl/players/kevin-austin.php" TargetMode="External"/><Relationship Id="rId340" Type="http://schemas.openxmlformats.org/officeDocument/2006/relationships/hyperlink" Target="https://www.fantasypros.com/nfl/players/michael-mayer.php" TargetMode="External"/><Relationship Id="rId461" Type="http://schemas.openxmlformats.org/officeDocument/2006/relationships/hyperlink" Target="https://www.fantasypros.com/nfl/players/josh-oliver.php" TargetMode="External"/><Relationship Id="rId460" Type="http://schemas.openxmlformats.org/officeDocument/2006/relationships/hyperlink" Target="https://www.fantasypros.com/nfl/players/roman-hemby.php" TargetMode="External"/><Relationship Id="rId103" Type="http://schemas.openxmlformats.org/officeDocument/2006/relationships/hyperlink" Target="https://www.fantasypros.com/nfl/players/dalton-kincaid.php" TargetMode="External"/><Relationship Id="rId224" Type="http://schemas.openxmlformats.org/officeDocument/2006/relationships/hyperlink" Target="https://www.fantasypros.com/nfl/players/gunnar-helm.php" TargetMode="External"/><Relationship Id="rId345" Type="http://schemas.openxmlformats.org/officeDocument/2006/relationships/hyperlink" Target="https://www.fantasypros.com/nfl/players/treylon-burks.php" TargetMode="External"/><Relationship Id="rId466" Type="http://schemas.openxmlformats.org/officeDocument/2006/relationships/hyperlink" Target="https://www.fantasypros.com/nfl/players/odell-beckham.php" TargetMode="External"/><Relationship Id="rId102" Type="http://schemas.openxmlformats.org/officeDocument/2006/relationships/hyperlink" Target="https://www.fantasypros.com/nfl/players/makai-lemon.php" TargetMode="External"/><Relationship Id="rId223" Type="http://schemas.openxmlformats.org/officeDocument/2006/relationships/hyperlink" Target="https://www.fantasypros.com/nfl/players/detroit-defense.php" TargetMode="External"/><Relationship Id="rId344" Type="http://schemas.openxmlformats.org/officeDocument/2006/relationships/hyperlink" Target="https://www.fantasypros.com/nfl/players/noah-gray.php" TargetMode="External"/><Relationship Id="rId465" Type="http://schemas.openxmlformats.org/officeDocument/2006/relationships/hyperlink" Target="https://www.fantasypros.com/nfl/players/aj-dillon.php" TargetMode="External"/><Relationship Id="rId101" Type="http://schemas.openxmlformats.org/officeDocument/2006/relationships/hyperlink" Target="https://www.fantasypros.com/nfl/players/jacory-croskeymerritt.php" TargetMode="External"/><Relationship Id="rId222" Type="http://schemas.openxmlformats.org/officeDocument/2006/relationships/hyperlink" Target="https://www.fantasypros.com/nfl/players/ollie-gordon.php" TargetMode="External"/><Relationship Id="rId343" Type="http://schemas.openxmlformats.org/officeDocument/2006/relationships/hyperlink" Target="https://www.fantasypros.com/nfl/players/dawson-knox.php" TargetMode="External"/><Relationship Id="rId464" Type="http://schemas.openxmlformats.org/officeDocument/2006/relationships/hyperlink" Target="https://www.fantasypros.com/nfl/players/mo-alie-cox.php" TargetMode="External"/><Relationship Id="rId100" Type="http://schemas.openxmlformats.org/officeDocument/2006/relationships/hyperlink" Target="https://www.fantasypros.com/nfl/players/matthew-stafford.php" TargetMode="External"/><Relationship Id="rId221" Type="http://schemas.openxmlformats.org/officeDocument/2006/relationships/hyperlink" Target="https://www.fantasypros.com/nfl/players/evan-mcpherson.php" TargetMode="External"/><Relationship Id="rId342" Type="http://schemas.openxmlformats.org/officeDocument/2006/relationships/hyperlink" Target="https://www.fantasypros.com/nfl/players/olamide-zaccheaus.php" TargetMode="External"/><Relationship Id="rId463" Type="http://schemas.openxmlformats.org/officeDocument/2006/relationships/hyperlink" Target="https://www.fantasypros.com/nfl/players/jahdae-walker.php" TargetMode="External"/><Relationship Id="rId217" Type="http://schemas.openxmlformats.org/officeDocument/2006/relationships/hyperlink" Target="https://www.fantasypros.com/nfl/players/kansas-city-defense.php" TargetMode="External"/><Relationship Id="rId338" Type="http://schemas.openxmlformats.org/officeDocument/2006/relationships/hyperlink" Target="https://www.fantasypros.com/nfl/players/jatavion-sanders.php" TargetMode="External"/><Relationship Id="rId459" Type="http://schemas.openxmlformats.org/officeDocument/2006/relationships/hyperlink" Target="https://www.fantasypros.com/nfl/players/kendric-pryor.php" TargetMode="External"/><Relationship Id="rId216" Type="http://schemas.openxmlformats.org/officeDocument/2006/relationships/hyperlink" Target="https://www.fantasypros.com/nfl/players/pat-bryant.php" TargetMode="External"/><Relationship Id="rId337" Type="http://schemas.openxmlformats.org/officeDocument/2006/relationships/hyperlink" Target="https://www.fantasypros.com/nfl/players/elijah-arroyo.php" TargetMode="External"/><Relationship Id="rId458" Type="http://schemas.openxmlformats.org/officeDocument/2006/relationships/hyperlink" Target="https://www.fantasypros.com/nfl/players/scott-miller.php" TargetMode="External"/><Relationship Id="rId215" Type="http://schemas.openxmlformats.org/officeDocument/2006/relationships/hyperlink" Target="https://www.fantasypros.com/nfl/players/malik-washington.php" TargetMode="External"/><Relationship Id="rId336" Type="http://schemas.openxmlformats.org/officeDocument/2006/relationships/hyperlink" Target="https://www.fantasypros.com/nfl/players/jalen-royals.php" TargetMode="External"/><Relationship Id="rId457" Type="http://schemas.openxmlformats.org/officeDocument/2006/relationships/hyperlink" Target="https://www.fantasypros.com/nfl/players/jakobie-keeney-james.php" TargetMode="External"/><Relationship Id="rId214" Type="http://schemas.openxmlformats.org/officeDocument/2006/relationships/hyperlink" Target="https://www.fantasypros.com/nfl/players/tyler-loop.php" TargetMode="External"/><Relationship Id="rId335" Type="http://schemas.openxmlformats.org/officeDocument/2006/relationships/hyperlink" Target="https://www.fantasypros.com/nfl/players/jahan-dotson.php" TargetMode="External"/><Relationship Id="rId456" Type="http://schemas.openxmlformats.org/officeDocument/2006/relationships/hyperlink" Target="https://www.fantasypros.com/nfl/players/khalil-herbert.php" TargetMode="External"/><Relationship Id="rId219" Type="http://schemas.openxmlformats.org/officeDocument/2006/relationships/hyperlink" Target="https://www.fantasypros.com/nfl/players/jaylen-wright.php" TargetMode="External"/><Relationship Id="rId218" Type="http://schemas.openxmlformats.org/officeDocument/2006/relationships/hyperlink" Target="https://www.fantasypros.com/nfl/players/jaydon-blue.php" TargetMode="External"/><Relationship Id="rId339" Type="http://schemas.openxmlformats.org/officeDocument/2006/relationships/hyperlink" Target="https://www.fantasypros.com/nfl/players/cole-kmet.php" TargetMode="External"/><Relationship Id="rId330" Type="http://schemas.openxmlformats.org/officeDocument/2006/relationships/hyperlink" Target="https://www.fantasypros.com/nfl/players/jalen-tolbert.php" TargetMode="External"/><Relationship Id="rId451" Type="http://schemas.openxmlformats.org/officeDocument/2006/relationships/hyperlink" Target="https://www.fantasypros.com/nfl/players/donovan-edwards.php" TargetMode="External"/><Relationship Id="rId450" Type="http://schemas.openxmlformats.org/officeDocument/2006/relationships/hyperlink" Target="https://www.fantasypros.com/nfl/players/nate-boerkircher.php" TargetMode="External"/><Relationship Id="rId213" Type="http://schemas.openxmlformats.org/officeDocument/2006/relationships/hyperlink" Target="https://www.fantasypros.com/nfl/players/eddy-pineiro.php" TargetMode="External"/><Relationship Id="rId334" Type="http://schemas.openxmlformats.org/officeDocument/2006/relationships/hyperlink" Target="https://www.fantasypros.com/nfl/players/calvin-austin.php" TargetMode="External"/><Relationship Id="rId455" Type="http://schemas.openxmlformats.org/officeDocument/2006/relationships/hyperlink" Target="https://www.fantasypros.com/nfl/players/tyler-goodson.php" TargetMode="External"/><Relationship Id="rId212" Type="http://schemas.openxmlformats.org/officeDocument/2006/relationships/hyperlink" Target="https://www.fantasypros.com/nfl/players/antonio-williams-wr.php" TargetMode="External"/><Relationship Id="rId333" Type="http://schemas.openxmlformats.org/officeDocument/2006/relationships/hyperlink" Target="https://www.fantasypros.com/nfl/players/jj-mccarthy.php" TargetMode="External"/><Relationship Id="rId454" Type="http://schemas.openxmlformats.org/officeDocument/2006/relationships/hyperlink" Target="https://www.fantasypros.com/nfl/players/taysom-hill.php" TargetMode="External"/><Relationship Id="rId211" Type="http://schemas.openxmlformats.org/officeDocument/2006/relationships/hyperlink" Target="https://www.fantasypros.com/nfl/players/marshawn-lloyd.php" TargetMode="External"/><Relationship Id="rId332" Type="http://schemas.openxmlformats.org/officeDocument/2006/relationships/hyperlink" Target="https://www.fantasypros.com/nfl/players/tyler-higbee.php" TargetMode="External"/><Relationship Id="rId453" Type="http://schemas.openxmlformats.org/officeDocument/2006/relationships/hyperlink" Target="https://www.fantasypros.com/nfl/players/jameis-winston.php" TargetMode="External"/><Relationship Id="rId210" Type="http://schemas.openxmlformats.org/officeDocument/2006/relationships/hyperlink" Target="https://www.fantasypros.com/nfl/players/green-bay-defense.php" TargetMode="External"/><Relationship Id="rId331" Type="http://schemas.openxmlformats.org/officeDocument/2006/relationships/hyperlink" Target="https://www.fantasypros.com/nfl/players/konata-mumpfield.php" TargetMode="External"/><Relationship Id="rId452" Type="http://schemas.openxmlformats.org/officeDocument/2006/relationships/hyperlink" Target="https://www.fantasypros.com/nfl/players/jacob-saylors.php" TargetMode="External"/><Relationship Id="rId370" Type="http://schemas.openxmlformats.org/officeDocument/2006/relationships/hyperlink" Target="https://www.fantasypros.com/nfl/players/john-metchie.php" TargetMode="External"/><Relationship Id="rId491" Type="http://schemas.openxmlformats.org/officeDocument/2006/relationships/hyperlink" Target="https://www.fantasypros.com/nfl/players/pierre-strong-jr.php" TargetMode="External"/><Relationship Id="rId490" Type="http://schemas.openxmlformats.org/officeDocument/2006/relationships/hyperlink" Target="https://www.fantasypros.com/nfl/players/riley-leonard.php" TargetMode="External"/><Relationship Id="rId129" Type="http://schemas.openxmlformats.org/officeDocument/2006/relationships/hyperlink" Target="https://www.fantasypros.com/nfl/players/tyler-allgeier.php" TargetMode="External"/><Relationship Id="rId128" Type="http://schemas.openxmlformats.org/officeDocument/2006/relationships/hyperlink" Target="https://www.fantasypros.com/nfl/players/tyrone-tracy-jr.php" TargetMode="External"/><Relationship Id="rId249" Type="http://schemas.openxmlformats.org/officeDocument/2006/relationships/hyperlink" Target="https://www.fantasypros.com/nfl/players/evan-engram.php" TargetMode="External"/><Relationship Id="rId127" Type="http://schemas.openxmlformats.org/officeDocument/2006/relationships/hyperlink" Target="https://www.fantasypros.com/nfl/players/romeo-doubs.php" TargetMode="External"/><Relationship Id="rId248" Type="http://schemas.openxmlformats.org/officeDocument/2006/relationships/hyperlink" Target="https://www.fantasypros.com/nfl/players/george-holani.php" TargetMode="External"/><Relationship Id="rId369" Type="http://schemas.openxmlformats.org/officeDocument/2006/relationships/hyperlink" Target="https://www.fantasypros.com/nfl/players/donte-thornton-jr.php" TargetMode="External"/><Relationship Id="rId126" Type="http://schemas.openxmlformats.org/officeDocument/2006/relationships/hyperlink" Target="https://www.fantasypros.com/nfl/players/jake-ferguson.php" TargetMode="External"/><Relationship Id="rId247" Type="http://schemas.openxmlformats.org/officeDocument/2006/relationships/hyperlink" Target="https://www.fantasypros.com/nfl/players/colby-parkinson.php" TargetMode="External"/><Relationship Id="rId368" Type="http://schemas.openxmlformats.org/officeDocument/2006/relationships/hyperlink" Target="https://www.fantasypros.com/nfl/players/nick-chubb.php" TargetMode="External"/><Relationship Id="rId489" Type="http://schemas.openxmlformats.org/officeDocument/2006/relationships/hyperlink" Target="https://www.fantasypros.com/nfl/players/dean-connors.php" TargetMode="External"/><Relationship Id="rId121" Type="http://schemas.openxmlformats.org/officeDocument/2006/relationships/hyperlink" Target="https://www.fantasypros.com/nfl/players/jordan-love.php" TargetMode="External"/><Relationship Id="rId242" Type="http://schemas.openxmlformats.org/officeDocument/2006/relationships/hyperlink" Target="https://www.fantasypros.com/nfl/players/germie-bernard.php" TargetMode="External"/><Relationship Id="rId363" Type="http://schemas.openxmlformats.org/officeDocument/2006/relationships/hyperlink" Target="https://www.fantasypros.com/nfl/players/justin-fields.php" TargetMode="External"/><Relationship Id="rId484" Type="http://schemas.openxmlformats.org/officeDocument/2006/relationships/hyperlink" Target="https://www.fantasypros.com/nfl/players/xavier-restrepo.php" TargetMode="External"/><Relationship Id="rId120" Type="http://schemas.openxmlformats.org/officeDocument/2006/relationships/hyperlink" Target="https://www.fantasypros.com/nfl/players/isaiah-likely.php" TargetMode="External"/><Relationship Id="rId241" Type="http://schemas.openxmlformats.org/officeDocument/2006/relationships/hyperlink" Target="https://www.fantasypros.com/nfl/players/keon-coleman.php" TargetMode="External"/><Relationship Id="rId362" Type="http://schemas.openxmlformats.org/officeDocument/2006/relationships/hyperlink" Target="https://www.fantasypros.com/nfl/players/new-york-giants-defense.php" TargetMode="External"/><Relationship Id="rId483" Type="http://schemas.openxmlformats.org/officeDocument/2006/relationships/hyperlink" Target="https://www.fantasypros.com/nfl/players/theo-wease-jr.php" TargetMode="External"/><Relationship Id="rId240" Type="http://schemas.openxmlformats.org/officeDocument/2006/relationships/hyperlink" Target="https://www.fantasypros.com/nfl/players/elic-ayomanor.php" TargetMode="External"/><Relationship Id="rId361" Type="http://schemas.openxmlformats.org/officeDocument/2006/relationships/hyperlink" Target="https://www.fantasypros.com/nfl/players/jmari-taylor.php" TargetMode="External"/><Relationship Id="rId482" Type="http://schemas.openxmlformats.org/officeDocument/2006/relationships/hyperlink" Target="https://www.fantasypros.com/nfl/players/tai-felton.php" TargetMode="External"/><Relationship Id="rId360" Type="http://schemas.openxmlformats.org/officeDocument/2006/relationships/hyperlink" Target="https://www.fantasypros.com/nfl/players/justin-joly.php" TargetMode="External"/><Relationship Id="rId481" Type="http://schemas.openxmlformats.org/officeDocument/2006/relationships/hyperlink" Target="https://www.fantasypros.com/nfl/players/luke-schoonmaker.php" TargetMode="External"/><Relationship Id="rId125" Type="http://schemas.openxmlformats.org/officeDocument/2006/relationships/hyperlink" Target="https://www.fantasypros.com/nfl/players/jayden-higgins.php" TargetMode="External"/><Relationship Id="rId246" Type="http://schemas.openxmlformats.org/officeDocument/2006/relationships/hyperlink" Target="https://www.fantasypros.com/nfl/players/chris-boswell.php" TargetMode="External"/><Relationship Id="rId367" Type="http://schemas.openxmlformats.org/officeDocument/2006/relationships/hyperlink" Target="https://www.fantasypros.com/nfl/players/raheim-sanders.php" TargetMode="External"/><Relationship Id="rId488" Type="http://schemas.openxmlformats.org/officeDocument/2006/relationships/hyperlink" Target="https://www.fantasypros.com/nfl/players/jackson-hawes.php" TargetMode="External"/><Relationship Id="rId124" Type="http://schemas.openxmlformats.org/officeDocument/2006/relationships/hyperlink" Target="https://www.fantasypros.com/nfl/players/tyler-shough.php" TargetMode="External"/><Relationship Id="rId245" Type="http://schemas.openxmlformats.org/officeDocument/2006/relationships/hyperlink" Target="https://www.fantasypros.com/nfl/players/harrison-butker.php" TargetMode="External"/><Relationship Id="rId366" Type="http://schemas.openxmlformats.org/officeDocument/2006/relationships/hyperlink" Target="https://www.fantasypros.com/nfl/players/tampa-bay-defense.php" TargetMode="External"/><Relationship Id="rId487" Type="http://schemas.openxmlformats.org/officeDocument/2006/relationships/hyperlink" Target="https://www.fantasypros.com/nfl/players/will-kacmarek.php" TargetMode="External"/><Relationship Id="rId123" Type="http://schemas.openxmlformats.org/officeDocument/2006/relationships/hyperlink" Target="https://www.fantasypros.com/nfl/players/wandale-robinson.php" TargetMode="External"/><Relationship Id="rId244" Type="http://schemas.openxmlformats.org/officeDocument/2006/relationships/hyperlink" Target="https://www.fantasypros.com/nfl/players/demond-claiborne.php" TargetMode="External"/><Relationship Id="rId365" Type="http://schemas.openxmlformats.org/officeDocument/2006/relationships/hyperlink" Target="https://www.fantasypros.com/nfl/players/xavier-hutchinson.php" TargetMode="External"/><Relationship Id="rId486" Type="http://schemas.openxmlformats.org/officeDocument/2006/relationships/hyperlink" Target="https://www.fantasypros.com/nfl/players/michael-woods.php" TargetMode="External"/><Relationship Id="rId122" Type="http://schemas.openxmlformats.org/officeDocument/2006/relationships/hyperlink" Target="https://www.fantasypros.com/nfl/players/chris-rodriguez-jr.php" TargetMode="External"/><Relationship Id="rId243" Type="http://schemas.openxmlformats.org/officeDocument/2006/relationships/hyperlink" Target="https://www.fantasypros.com/nfl/players/greg-dulcich.php" TargetMode="External"/><Relationship Id="rId364" Type="http://schemas.openxmlformats.org/officeDocument/2006/relationships/hyperlink" Target="https://www.fantasypros.com/nfl/players/jawhar-jordan.php" TargetMode="External"/><Relationship Id="rId485" Type="http://schemas.openxmlformats.org/officeDocument/2006/relationships/hyperlink" Target="https://www.fantasypros.com/nfl/players/elijah-mitchell-rb.php" TargetMode="External"/><Relationship Id="rId95" Type="http://schemas.openxmlformats.org/officeDocument/2006/relationships/hyperlink" Target="https://www.fantasypros.com/nfl/players/george-kittle.php" TargetMode="External"/><Relationship Id="rId94" Type="http://schemas.openxmlformats.org/officeDocument/2006/relationships/hyperlink" Target="https://www.fantasypros.com/nfl/players/jordan-addison.php" TargetMode="External"/><Relationship Id="rId97" Type="http://schemas.openxmlformats.org/officeDocument/2006/relationships/hyperlink" Target="https://www.fantasypros.com/nfl/players/rj-harvey.php" TargetMode="External"/><Relationship Id="rId96" Type="http://schemas.openxmlformats.org/officeDocument/2006/relationships/hyperlink" Target="https://www.fantasypros.com/nfl/players/bo-nix.php" TargetMode="External"/><Relationship Id="rId99" Type="http://schemas.openxmlformats.org/officeDocument/2006/relationships/hyperlink" Target="https://www.fantasypros.com/nfl/players/michael-wilson.php" TargetMode="External"/><Relationship Id="rId480" Type="http://schemas.openxmlformats.org/officeDocument/2006/relationships/hyperlink" Target="https://www.fantasypros.com/nfl/players/jacardia-wright.php" TargetMode="External"/><Relationship Id="rId98" Type="http://schemas.openxmlformats.org/officeDocument/2006/relationships/hyperlink" Target="https://www.fantasypros.com/nfl/players/patrick-mahomes.php" TargetMode="External"/><Relationship Id="rId91" Type="http://schemas.openxmlformats.org/officeDocument/2006/relationships/hyperlink" Target="https://www.fantasypros.com/nfl/players/brock-purdy.php" TargetMode="External"/><Relationship Id="rId90" Type="http://schemas.openxmlformats.org/officeDocument/2006/relationships/hyperlink" Target="https://www.fantasypros.com/nfl/players/kyle-monangai.php" TargetMode="External"/><Relationship Id="rId93" Type="http://schemas.openxmlformats.org/officeDocument/2006/relationships/hyperlink" Target="https://www.fantasypros.com/nfl/players/jordyn-tyson.php" TargetMode="External"/><Relationship Id="rId92" Type="http://schemas.openxmlformats.org/officeDocument/2006/relationships/hyperlink" Target="https://www.fantasypros.com/nfl/players/chris-godwin.php" TargetMode="External"/><Relationship Id="rId118" Type="http://schemas.openxmlformats.org/officeDocument/2006/relationships/hyperlink" Target="https://www.fantasypros.com/nfl/players/josh-downs.php" TargetMode="External"/><Relationship Id="rId239" Type="http://schemas.openxmlformats.org/officeDocument/2006/relationships/hyperlink" Target="https://www.fantasypros.com/nfl/players/harrison-mevis.php" TargetMode="External"/><Relationship Id="rId117" Type="http://schemas.openxmlformats.org/officeDocument/2006/relationships/hyperlink" Target="https://www.fantasypros.com/nfl/players/dallas-goedert.php" TargetMode="External"/><Relationship Id="rId238" Type="http://schemas.openxmlformats.org/officeDocument/2006/relationships/hyperlink" Target="https://www.fantasypros.com/nfl/players/cade-otton.php" TargetMode="External"/><Relationship Id="rId359" Type="http://schemas.openxmlformats.org/officeDocument/2006/relationships/hyperlink" Target="https://www.fantasypros.com/nfl/players/eli-raridon.php" TargetMode="External"/><Relationship Id="rId116" Type="http://schemas.openxmlformats.org/officeDocument/2006/relationships/hyperlink" Target="https://www.fantasypros.com/nfl/players/xavier-worthy.php" TargetMode="External"/><Relationship Id="rId237" Type="http://schemas.openxmlformats.org/officeDocument/2006/relationships/hyperlink" Target="https://www.fantasypros.com/nfl/players/chimere-dike.php" TargetMode="External"/><Relationship Id="rId358" Type="http://schemas.openxmlformats.org/officeDocument/2006/relationships/hyperlink" Target="https://www.fantasypros.com/nfl/players/erick-all.php" TargetMode="External"/><Relationship Id="rId479" Type="http://schemas.openxmlformats.org/officeDocument/2006/relationships/hyperlink" Target="https://www.fantasypros.com/nfl/players/ameer-abdullah.php" TargetMode="External"/><Relationship Id="rId115" Type="http://schemas.openxmlformats.org/officeDocument/2006/relationships/hyperlink" Target="https://www.fantasypros.com/nfl/players/jakobi-meyers.php" TargetMode="External"/><Relationship Id="rId236" Type="http://schemas.openxmlformats.org/officeDocument/2006/relationships/hyperlink" Target="https://www.fantasypros.com/nfl/players/chase-mclaughlin.php" TargetMode="External"/><Relationship Id="rId357" Type="http://schemas.openxmlformats.org/officeDocument/2006/relationships/hyperlink" Target="https://www.fantasypros.com/nfl/players/mac-jones.php" TargetMode="External"/><Relationship Id="rId478" Type="http://schemas.openxmlformats.org/officeDocument/2006/relationships/hyperlink" Target="https://www.fantasypros.com/nfl/players/xavier-smith.php" TargetMode="External"/><Relationship Id="rId119" Type="http://schemas.openxmlformats.org/officeDocument/2006/relationships/hyperlink" Target="https://www.fantasypros.com/nfl/players/baker-mayfield.php" TargetMode="External"/><Relationship Id="rId110" Type="http://schemas.openxmlformats.org/officeDocument/2006/relationships/hyperlink" Target="https://www.fantasypros.com/nfl/players/michael-pittman.php" TargetMode="External"/><Relationship Id="rId231" Type="http://schemas.openxmlformats.org/officeDocument/2006/relationships/hyperlink" Target="https://www.fantasypros.com/nfl/players/aaron-rodgers.php" TargetMode="External"/><Relationship Id="rId352" Type="http://schemas.openxmlformats.org/officeDocument/2006/relationships/hyperlink" Target="https://www.fantasypros.com/nfl/players/carson-beck.php" TargetMode="External"/><Relationship Id="rId473" Type="http://schemas.openxmlformats.org/officeDocument/2006/relationships/hyperlink" Target="https://www.fantasypros.com/nfl/players/tanner-koziol.php" TargetMode="External"/><Relationship Id="rId230" Type="http://schemas.openxmlformats.org/officeDocument/2006/relationships/hyperlink" Target="https://www.fantasypros.com/nfl/players/cooper-kupp.php" TargetMode="External"/><Relationship Id="rId351" Type="http://schemas.openxmlformats.org/officeDocument/2006/relationships/hyperlink" Target="https://www.fantasypros.com/nfl/players/eli-heidenreich.php" TargetMode="External"/><Relationship Id="rId472" Type="http://schemas.openxmlformats.org/officeDocument/2006/relationships/hyperlink" Target="https://www.fantasypros.com/nfl/players/ronnie-rivers.php" TargetMode="External"/><Relationship Id="rId350" Type="http://schemas.openxmlformats.org/officeDocument/2006/relationships/hyperlink" Target="https://www.fantasypros.com/nfl/players/jake-elliott.php" TargetMode="External"/><Relationship Id="rId471" Type="http://schemas.openxmlformats.org/officeDocument/2006/relationships/hyperlink" Target="https://www.fantasypros.com/nfl/players/miles-sanders.php" TargetMode="External"/><Relationship Id="rId470" Type="http://schemas.openxmlformats.org/officeDocument/2006/relationships/hyperlink" Target="https://www.fantasypros.com/nfl/players/tim-patrick.php" TargetMode="External"/><Relationship Id="rId114" Type="http://schemas.openxmlformats.org/officeDocument/2006/relationships/hyperlink" Target="https://www.fantasypros.com/nfl/players/kyler-murray.php" TargetMode="External"/><Relationship Id="rId235" Type="http://schemas.openxmlformats.org/officeDocument/2006/relationships/hyperlink" Target="https://www.fantasypros.com/nfl/players/buffalo-defense.php" TargetMode="External"/><Relationship Id="rId356" Type="http://schemas.openxmlformats.org/officeDocument/2006/relationships/hyperlink" Target="https://www.fantasypros.com/nfl/players/michael-carter-rb.php" TargetMode="External"/><Relationship Id="rId477" Type="http://schemas.openxmlformats.org/officeDocument/2006/relationships/hyperlink" Target="https://www.fantasypros.com/nfl/players/adam-trautman.php" TargetMode="External"/><Relationship Id="rId113" Type="http://schemas.openxmlformats.org/officeDocument/2006/relationships/hyperlink" Target="https://www.fantasypros.com/nfl/players/kenneth-gainwell.php" TargetMode="External"/><Relationship Id="rId234" Type="http://schemas.openxmlformats.org/officeDocument/2006/relationships/hyperlink" Target="https://www.fantasypros.com/nfl/players/david-njoku.php" TargetMode="External"/><Relationship Id="rId355" Type="http://schemas.openxmlformats.org/officeDocument/2006/relationships/hyperlink" Target="https://www.fantasypros.com/nfl/players/bryce-lance.php" TargetMode="External"/><Relationship Id="rId476" Type="http://schemas.openxmlformats.org/officeDocument/2006/relationships/hyperlink" Target="https://www.fantasypros.com/nfl/players/elijah-tau-tolliver.php" TargetMode="External"/><Relationship Id="rId112" Type="http://schemas.openxmlformats.org/officeDocument/2006/relationships/hyperlink" Target="https://www.fantasypros.com/nfl/players/mark-andrews.php" TargetMode="External"/><Relationship Id="rId233" Type="http://schemas.openxmlformats.org/officeDocument/2006/relationships/hyperlink" Target="https://www.fantasypros.com/nfl/players/geno-smith.php" TargetMode="External"/><Relationship Id="rId354" Type="http://schemas.openxmlformats.org/officeDocument/2006/relationships/hyperlink" Target="https://www.fantasypros.com/nfl/players/brenen-thompson.php" TargetMode="External"/><Relationship Id="rId475" Type="http://schemas.openxmlformats.org/officeDocument/2006/relationships/hyperlink" Target="https://www.fantasypros.com/nfl/players/jeshaun-jones.php" TargetMode="External"/><Relationship Id="rId111" Type="http://schemas.openxmlformats.org/officeDocument/2006/relationships/hyperlink" Target="https://www.fantasypros.com/nfl/players/aaron-jones.php" TargetMode="External"/><Relationship Id="rId232" Type="http://schemas.openxmlformats.org/officeDocument/2006/relationships/hyperlink" Target="https://www.fantasypros.com/nfl/players/zachariah-branch.php" TargetMode="External"/><Relationship Id="rId353" Type="http://schemas.openxmlformats.org/officeDocument/2006/relationships/hyperlink" Target="https://www.fantasypros.com/nfl/players/kendrick-bourne.php" TargetMode="External"/><Relationship Id="rId474" Type="http://schemas.openxmlformats.org/officeDocument/2006/relationships/hyperlink" Target="https://www.fantasypros.com/nfl/players/colbie-young.php" TargetMode="External"/><Relationship Id="rId305" Type="http://schemas.openxmlformats.org/officeDocument/2006/relationships/hyperlink" Target="https://www.fantasypros.com/nfl/players/najee-harris-rb.php" TargetMode="External"/><Relationship Id="rId426" Type="http://schemas.openxmlformats.org/officeDocument/2006/relationships/hyperlink" Target="https://www.fantasypros.com/nfl/players/marlin-klein.php" TargetMode="External"/><Relationship Id="rId304" Type="http://schemas.openxmlformats.org/officeDocument/2006/relationships/hyperlink" Target="https://www.fantasypros.com/nfl/players/skyler-bell.php" TargetMode="External"/><Relationship Id="rId425" Type="http://schemas.openxmlformats.org/officeDocument/2006/relationships/hyperlink" Target="https://www.fantasypros.com/nfl/players/cade-klubnik.php" TargetMode="External"/><Relationship Id="rId303" Type="http://schemas.openxmlformats.org/officeDocument/2006/relationships/hyperlink" Target="https://www.fantasypros.com/nfl/players/jerome-ford.php" TargetMode="External"/><Relationship Id="rId424" Type="http://schemas.openxmlformats.org/officeDocument/2006/relationships/hyperlink" Target="https://www.fantasypros.com/nfl/players/austin-hooper.php" TargetMode="External"/><Relationship Id="rId302" Type="http://schemas.openxmlformats.org/officeDocument/2006/relationships/hyperlink" Target="https://www.fantasypros.com/nfl/players/new-orleans-defense.php" TargetMode="External"/><Relationship Id="rId423" Type="http://schemas.openxmlformats.org/officeDocument/2006/relationships/hyperlink" Target="https://www.fantasypros.com/nfl/players/daniel-bellinger.php" TargetMode="External"/><Relationship Id="rId309" Type="http://schemas.openxmlformats.org/officeDocument/2006/relationships/hyperlink" Target="https://www.fantasypros.com/nfl/players/trevor-etienne.php" TargetMode="External"/><Relationship Id="rId308" Type="http://schemas.openxmlformats.org/officeDocument/2006/relationships/hyperlink" Target="https://www.fantasypros.com/nfl/players/jake-tonges.php" TargetMode="External"/><Relationship Id="rId429" Type="http://schemas.openxmlformats.org/officeDocument/2006/relationships/hyperlink" Target="https://www.fantasypros.com/nfl/players/mitchell-tinsley.php" TargetMode="External"/><Relationship Id="rId307" Type="http://schemas.openxmlformats.org/officeDocument/2006/relationships/hyperlink" Target="https://www.fantasypros.com/nfl/players/isaiah-bond.php" TargetMode="External"/><Relationship Id="rId428" Type="http://schemas.openxmlformats.org/officeDocument/2006/relationships/hyperlink" Target="https://www.fantasypros.com/nfl/players/jonnu-smith.php" TargetMode="External"/><Relationship Id="rId306" Type="http://schemas.openxmlformats.org/officeDocument/2006/relationships/hyperlink" Target="https://www.fantasypros.com/nfl/players/brashard-smith.php" TargetMode="External"/><Relationship Id="rId427" Type="http://schemas.openxmlformats.org/officeDocument/2006/relationships/hyperlink" Target="https://www.fantasypros.com/nfl/players/marcus-mariota.php" TargetMode="External"/><Relationship Id="rId301" Type="http://schemas.openxmlformats.org/officeDocument/2006/relationships/hyperlink" Target="https://www.fantasypros.com/nfl/players/seth-mcgowan.php" TargetMode="External"/><Relationship Id="rId422" Type="http://schemas.openxmlformats.org/officeDocument/2006/relationships/hyperlink" Target="https://www.fantasypros.com/nfl/players/jaret-patterson.php" TargetMode="External"/><Relationship Id="rId300" Type="http://schemas.openxmlformats.org/officeDocument/2006/relationships/hyperlink" Target="https://www.fantasypros.com/nfl/players/lequint-allen-jr.php" TargetMode="External"/><Relationship Id="rId421" Type="http://schemas.openxmlformats.org/officeDocument/2006/relationships/hyperlink" Target="https://www.fantasypros.com/nfl/players/joe-flacco.php" TargetMode="External"/><Relationship Id="rId420" Type="http://schemas.openxmlformats.org/officeDocument/2006/relationships/hyperlink" Target="https://www.fantasypros.com/nfl/players/darren-waller.php" TargetMode="External"/><Relationship Id="rId415" Type="http://schemas.openxmlformats.org/officeDocument/2006/relationships/hyperlink" Target="https://www.fantasypros.com/nfl/players/john-bates.php" TargetMode="External"/><Relationship Id="rId414" Type="http://schemas.openxmlformats.org/officeDocument/2006/relationships/hyperlink" Target="https://www.fantasypros.com/nfl/players/jeremy-mcnichols.php" TargetMode="External"/><Relationship Id="rId413" Type="http://schemas.openxmlformats.org/officeDocument/2006/relationships/hyperlink" Target="https://www.fantasypros.com/nfl/players/charlie-kolar.php" TargetMode="External"/><Relationship Id="rId412" Type="http://schemas.openxmlformats.org/officeDocument/2006/relationships/hyperlink" Target="https://www.fantasypros.com/nfl/players/cincinnati-defense.php" TargetMode="External"/><Relationship Id="rId419" Type="http://schemas.openxmlformats.org/officeDocument/2006/relationships/hyperlink" Target="https://www.fantasypros.com/nfl/players/daniel-carlson.php" TargetMode="External"/><Relationship Id="rId418" Type="http://schemas.openxmlformats.org/officeDocument/2006/relationships/hyperlink" Target="https://www.fantasypros.com/nfl/players/zach-ertz.php" TargetMode="External"/><Relationship Id="rId417" Type="http://schemas.openxmlformats.org/officeDocument/2006/relationships/hyperlink" Target="https://www.fantasypros.com/nfl/players/roschon-johnson.php" TargetMode="External"/><Relationship Id="rId416" Type="http://schemas.openxmlformats.org/officeDocument/2006/relationships/hyperlink" Target="https://www.fantasypros.com/nfl/players/greg-dortch.php" TargetMode="External"/><Relationship Id="rId411" Type="http://schemas.openxmlformats.org/officeDocument/2006/relationships/hyperlink" Target="https://www.fantasypros.com/nfl/players/ashton-dulin.php" TargetMode="External"/><Relationship Id="rId410" Type="http://schemas.openxmlformats.org/officeDocument/2006/relationships/hyperlink" Target="https://www.fantasypros.com/nfl/players/sione-vaki.php" TargetMode="External"/><Relationship Id="rId206" Type="http://schemas.openxmlformats.org/officeDocument/2006/relationships/hyperlink" Target="https://www.fantasypros.com/nfl/players/darnell-mooney.php" TargetMode="External"/><Relationship Id="rId327" Type="http://schemas.openxmlformats.org/officeDocument/2006/relationships/hyperlink" Target="https://www.fantasypros.com/nfl/players/will-shipley.php" TargetMode="External"/><Relationship Id="rId448" Type="http://schemas.openxmlformats.org/officeDocument/2006/relationships/hyperlink" Target="https://www.fantasypros.com/nfl/players/marquez-valdesscantling.php" TargetMode="External"/><Relationship Id="rId205" Type="http://schemas.openxmlformats.org/officeDocument/2006/relationships/hyperlink" Target="https://www.fantasypros.com/nfl/players/jason-myers.php" TargetMode="External"/><Relationship Id="rId326" Type="http://schemas.openxmlformats.org/officeDocument/2006/relationships/hyperlink" Target="https://www.fantasypros.com/nfl/players/tez-johnson.php" TargetMode="External"/><Relationship Id="rId447" Type="http://schemas.openxmlformats.org/officeDocument/2006/relationships/hyperlink" Target="https://www.fantasypros.com/nfl/players/spencer-shrader.php" TargetMode="External"/><Relationship Id="rId204" Type="http://schemas.openxmlformats.org/officeDocument/2006/relationships/hyperlink" Target="https://www.fantasypros.com/nfl/players/dontayvion-wicks.php" TargetMode="External"/><Relationship Id="rId325" Type="http://schemas.openxmlformats.org/officeDocument/2006/relationships/hyperlink" Target="https://www.fantasypros.com/nfl/players/cedric-tillman.php" TargetMode="External"/><Relationship Id="rId446" Type="http://schemas.openxmlformats.org/officeDocument/2006/relationships/hyperlink" Target="https://www.fantasypros.com/nfl/players/cash-jones.php" TargetMode="External"/><Relationship Id="rId203" Type="http://schemas.openxmlformats.org/officeDocument/2006/relationships/hyperlink" Target="https://www.fantasypros.com/nfl/players/cam-little.php" TargetMode="External"/><Relationship Id="rId324" Type="http://schemas.openxmlformats.org/officeDocument/2006/relationships/hyperlink" Target="https://www.fantasypros.com/nfl/players/luke-mccaffrey.php" TargetMode="External"/><Relationship Id="rId445" Type="http://schemas.openxmlformats.org/officeDocument/2006/relationships/hyperlink" Target="https://www.fantasypros.com/nfl/players/cj-daniels.php" TargetMode="External"/><Relationship Id="rId209" Type="http://schemas.openxmlformats.org/officeDocument/2006/relationships/hyperlink" Target="https://www.fantasypros.com/nfl/players/tj-hockenson.php" TargetMode="External"/><Relationship Id="rId208" Type="http://schemas.openxmlformats.org/officeDocument/2006/relationships/hyperlink" Target="https://www.fantasypros.com/nfl/players/jaylin-noel.php" TargetMode="External"/><Relationship Id="rId329" Type="http://schemas.openxmlformats.org/officeDocument/2006/relationships/hyperlink" Target="https://www.fantasypros.com/nfl/players/max-klare.php" TargetMode="External"/><Relationship Id="rId207" Type="http://schemas.openxmlformats.org/officeDocument/2006/relationships/hyperlink" Target="https://www.fantasypros.com/nfl/players/troy-franklin.php" TargetMode="External"/><Relationship Id="rId328" Type="http://schemas.openxmlformats.org/officeDocument/2006/relationships/hyperlink" Target="https://www.fantasypros.com/nfl/players/kareem-hunt.php" TargetMode="External"/><Relationship Id="rId449" Type="http://schemas.openxmlformats.org/officeDocument/2006/relationships/hyperlink" Target="https://www.fantasypros.com/nfl/players/ty-chandler.php" TargetMode="External"/><Relationship Id="rId440" Type="http://schemas.openxmlformats.org/officeDocument/2006/relationships/hyperlink" Target="https://www.fantasypros.com/nfl/players/zavier-scott.php" TargetMode="External"/><Relationship Id="rId202" Type="http://schemas.openxmlformats.org/officeDocument/2006/relationships/hyperlink" Target="https://www.fantasypros.com/nfl/players/baltimore-defense.php" TargetMode="External"/><Relationship Id="rId323" Type="http://schemas.openxmlformats.org/officeDocument/2006/relationships/hyperlink" Target="https://www.fantasypros.com/nfl/players/cyrus-allen.php" TargetMode="External"/><Relationship Id="rId444" Type="http://schemas.openxmlformats.org/officeDocument/2006/relationships/hyperlink" Target="https://www.fantasypros.com/nfl/players/myles-montgomery.php" TargetMode="External"/><Relationship Id="rId201" Type="http://schemas.openxmlformats.org/officeDocument/2006/relationships/hyperlink" Target="https://www.fantasypros.com/nfl/players/isaac-teslaa.php" TargetMode="External"/><Relationship Id="rId322" Type="http://schemas.openxmlformats.org/officeDocument/2006/relationships/hyperlink" Target="https://www.fantasypros.com/nfl/players/joe-mixon.php" TargetMode="External"/><Relationship Id="rId443" Type="http://schemas.openxmlformats.org/officeDocument/2006/relationships/hyperlink" Target="https://www.fantasypros.com/nfl/players/antonio-gibson.php" TargetMode="External"/><Relationship Id="rId200" Type="http://schemas.openxmlformats.org/officeDocument/2006/relationships/hyperlink" Target="https://www.fantasypros.com/nfl/players/rashod-bateman.php" TargetMode="External"/><Relationship Id="rId321" Type="http://schemas.openxmlformats.org/officeDocument/2006/relationships/hyperlink" Target="https://www.fantasypros.com/nfl/players/audric-estime.php" TargetMode="External"/><Relationship Id="rId442" Type="http://schemas.openxmlformats.org/officeDocument/2006/relationships/hyperlink" Target="https://www.fantasypros.com/nfl/players/tyler-lockett.php" TargetMode="External"/><Relationship Id="rId320" Type="http://schemas.openxmlformats.org/officeDocument/2006/relationships/hyperlink" Target="https://www.fantasypros.com/nfl/players/caleb-douglas.php" TargetMode="External"/><Relationship Id="rId441" Type="http://schemas.openxmlformats.org/officeDocument/2006/relationships/hyperlink" Target="https://www.fantasypros.com/nfl/players/jake-moody.php" TargetMode="External"/><Relationship Id="rId316" Type="http://schemas.openxmlformats.org/officeDocument/2006/relationships/hyperlink" Target="https://www.fantasypros.com/nfl/players/darnell-washington.php" TargetMode="External"/><Relationship Id="rId437" Type="http://schemas.openxmlformats.org/officeDocument/2006/relationships/hyperlink" Target="https://www.fantasypros.com/nfl/players/frank-gore-jr.php" TargetMode="External"/><Relationship Id="rId315" Type="http://schemas.openxmlformats.org/officeDocument/2006/relationships/hyperlink" Target="https://www.fantasypros.com/nfl/players/andrei-iosivas.php" TargetMode="External"/><Relationship Id="rId436" Type="http://schemas.openxmlformats.org/officeDocument/2006/relationships/hyperlink" Target="https://www.fantasypros.com/nfl/players/tommy-myers.php" TargetMode="External"/><Relationship Id="rId314" Type="http://schemas.openxmlformats.org/officeDocument/2006/relationships/hyperlink" Target="https://www.fantasypros.com/nfl/players/tahj-brooks.php" TargetMode="External"/><Relationship Id="rId435" Type="http://schemas.openxmlformats.org/officeDocument/2006/relationships/hyperlink" Target="https://www.fantasypros.com/nfl/players/dylan-laube.php" TargetMode="External"/><Relationship Id="rId313" Type="http://schemas.openxmlformats.org/officeDocument/2006/relationships/hyperlink" Target="https://www.fantasypros.com/nfl/players/isaac-guerendo.php" TargetMode="External"/><Relationship Id="rId434" Type="http://schemas.openxmlformats.org/officeDocument/2006/relationships/hyperlink" Target="https://www.fantasypros.com/nfl/players/joe-milton.php" TargetMode="External"/><Relationship Id="rId319" Type="http://schemas.openxmlformats.org/officeDocument/2006/relationships/hyperlink" Target="https://www.fantasypros.com/nfl/players/jaleel-mclaughlin.php" TargetMode="External"/><Relationship Id="rId318" Type="http://schemas.openxmlformats.org/officeDocument/2006/relationships/hyperlink" Target="https://www.fantasypros.com/nfl/players/jarquez-hunter.php" TargetMode="External"/><Relationship Id="rId439" Type="http://schemas.openxmlformats.org/officeDocument/2006/relationships/hyperlink" Target="https://www.fantasypros.com/nfl/players/hunter-luepke.php" TargetMode="External"/><Relationship Id="rId317" Type="http://schemas.openxmlformats.org/officeDocument/2006/relationships/hyperlink" Target="https://www.fantasypros.com/nfl/players/chris-brazzell-ii.php" TargetMode="External"/><Relationship Id="rId438" Type="http://schemas.openxmlformats.org/officeDocument/2006/relationships/hyperlink" Target="https://www.fantasypros.com/nfl/players/las-vegas-defense.php" TargetMode="External"/><Relationship Id="rId312" Type="http://schemas.openxmlformats.org/officeDocument/2006/relationships/hyperlink" Target="https://www.fantasypros.com/nfl/players/chicago-defense.php" TargetMode="External"/><Relationship Id="rId433" Type="http://schemas.openxmlformats.org/officeDocument/2006/relationships/hyperlink" Target="https://www.fantasypros.com/nfl/players/damien-martinez.php" TargetMode="External"/><Relationship Id="rId311" Type="http://schemas.openxmlformats.org/officeDocument/2006/relationships/hyperlink" Target="https://www.fantasypros.com/nfl/players/indianapolis-defense.php" TargetMode="External"/><Relationship Id="rId432" Type="http://schemas.openxmlformats.org/officeDocument/2006/relationships/hyperlink" Target="https://www.fantasypros.com/nfl/players/robert-henry-jr.php" TargetMode="External"/><Relationship Id="rId310" Type="http://schemas.openxmlformats.org/officeDocument/2006/relationships/hyperlink" Target="https://www.fantasypros.com/nfl/players/charlie-smyth.php" TargetMode="External"/><Relationship Id="rId431" Type="http://schemas.openxmlformats.org/officeDocument/2006/relationships/hyperlink" Target="https://www.fantasypros.com/nfl/players/demarcus-robinson.php" TargetMode="External"/><Relationship Id="rId430" Type="http://schemas.openxmlformats.org/officeDocument/2006/relationships/hyperlink" Target="https://www.fantasypros.com/nfl/players/malik-benson.ph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raftsharks.com/fantasy/points-outlook/los-angeles-chargers/943" TargetMode="External"/><Relationship Id="rId194" Type="http://schemas.openxmlformats.org/officeDocument/2006/relationships/hyperlink" Target="https://www.draftsharks.com/fantasy/points-outlook/kayshon-boutte/13582" TargetMode="External"/><Relationship Id="rId193" Type="http://schemas.openxmlformats.org/officeDocument/2006/relationships/hyperlink" Target="https://www.draftsharks.com/fantasy/points-outlook/germie-bernard/35953" TargetMode="External"/><Relationship Id="rId192" Type="http://schemas.openxmlformats.org/officeDocument/2006/relationships/hyperlink" Target="https://www.draftsharks.com/fantasy/points-outlook/charlie-smyth/35804" TargetMode="External"/><Relationship Id="rId191" Type="http://schemas.openxmlformats.org/officeDocument/2006/relationships/hyperlink" Target="https://www.draftsharks.com/fantasy/points-outlook/new-york-giants/1402" TargetMode="External"/><Relationship Id="rId187" Type="http://schemas.openxmlformats.org/officeDocument/2006/relationships/hyperlink" Target="https://www.draftsharks.com/fantasy/points-outlook/detroit-lions/2049" TargetMode="External"/><Relationship Id="rId186" Type="http://schemas.openxmlformats.org/officeDocument/2006/relationships/hyperlink" Target="https://www.draftsharks.com/fantasy/points-outlook/jonah-coleman/35927" TargetMode="External"/><Relationship Id="rId185" Type="http://schemas.openxmlformats.org/officeDocument/2006/relationships/hyperlink" Target="https://www.draftsharks.com/fantasy/points-outlook/wil-lutz/7650" TargetMode="External"/><Relationship Id="rId184" Type="http://schemas.openxmlformats.org/officeDocument/2006/relationships/hyperlink" Target="https://www.draftsharks.com/fantasy/points-outlook/jaydon-blue/35533" TargetMode="External"/><Relationship Id="rId189" Type="http://schemas.openxmlformats.org/officeDocument/2006/relationships/hyperlink" Target="https://www.draftsharks.com/fantasy/points-outlook/jalen-nailor/12720" TargetMode="External"/><Relationship Id="rId188" Type="http://schemas.openxmlformats.org/officeDocument/2006/relationships/hyperlink" Target="https://www.draftsharks.com/fantasy/points-outlook/harrison-butker/9930" TargetMode="External"/><Relationship Id="rId183" Type="http://schemas.openxmlformats.org/officeDocument/2006/relationships/hyperlink" Target="https://www.draftsharks.com/fantasy/points-outlook/los-angeles-rams/2551" TargetMode="External"/><Relationship Id="rId182" Type="http://schemas.openxmlformats.org/officeDocument/2006/relationships/hyperlink" Target="https://www.draftsharks.com/fantasy/points-outlook/jauan-jennings/12430" TargetMode="External"/><Relationship Id="rId181" Type="http://schemas.openxmlformats.org/officeDocument/2006/relationships/hyperlink" Target="https://www.draftsharks.com/fantasy/points-outlook/calvin-ridley/9966" TargetMode="External"/><Relationship Id="rId180" Type="http://schemas.openxmlformats.org/officeDocument/2006/relationships/hyperlink" Target="https://www.draftsharks.com/fantasy/points-outlook/philadelphia-eagles/1197" TargetMode="External"/><Relationship Id="rId176" Type="http://schemas.openxmlformats.org/officeDocument/2006/relationships/hyperlink" Target="https://www.draftsharks.com/fantasy/points-outlook/oronde-gadsden-ii/35532" TargetMode="External"/><Relationship Id="rId297" Type="http://schemas.openxmlformats.org/officeDocument/2006/relationships/hyperlink" Target="https://www.draftsharks.com/fantasy/points-outlook/eli-stowers/35974" TargetMode="External"/><Relationship Id="rId175" Type="http://schemas.openxmlformats.org/officeDocument/2006/relationships/hyperlink" Target="https://www.draftsharks.com/fantasy/points-outlook/sam-darnold/9963" TargetMode="External"/><Relationship Id="rId296" Type="http://schemas.openxmlformats.org/officeDocument/2006/relationships/hyperlink" Target="https://www.draftsharks.com/fantasy/points-outlook/chris-bell/35952" TargetMode="External"/><Relationship Id="rId174" Type="http://schemas.openxmlformats.org/officeDocument/2006/relationships/hyperlink" Target="https://www.draftsharks.com/fantasy/points-outlook/jake-bates/35159" TargetMode="External"/><Relationship Id="rId295" Type="http://schemas.openxmlformats.org/officeDocument/2006/relationships/hyperlink" Target="https://www.draftsharks.com/fantasy/points-outlook/marvin-mims-jr-/13554" TargetMode="External"/><Relationship Id="rId173" Type="http://schemas.openxmlformats.org/officeDocument/2006/relationships/hyperlink" Target="https://www.draftsharks.com/fantasy/points-outlook/chigoziem-okonkwo/12711" TargetMode="External"/><Relationship Id="rId294" Type="http://schemas.openxmlformats.org/officeDocument/2006/relationships/hyperlink" Target="https://www.draftsharks.com/fantasy/points-outlook/michael-mayer/13571" TargetMode="External"/><Relationship Id="rId179" Type="http://schemas.openxmlformats.org/officeDocument/2006/relationships/hyperlink" Target="https://www.draftsharks.com/fantasy/points-outlook/dezhaun-stribling/36057" TargetMode="External"/><Relationship Id="rId178" Type="http://schemas.openxmlformats.org/officeDocument/2006/relationships/hyperlink" Target="https://www.draftsharks.com/fantasy/points-outlook/alvin-kamara/7751" TargetMode="External"/><Relationship Id="rId299" Type="http://schemas.openxmlformats.org/officeDocument/2006/relationships/hyperlink" Target="https://www.draftsharks.com/fantasy/points-outlook/shedeur-sanders/35309" TargetMode="External"/><Relationship Id="rId177" Type="http://schemas.openxmlformats.org/officeDocument/2006/relationships/hyperlink" Target="https://www.draftsharks.com/fantasy/points-outlook/harrison-mevis/35864" TargetMode="External"/><Relationship Id="rId298" Type="http://schemas.openxmlformats.org/officeDocument/2006/relationships/hyperlink" Target="https://www.draftsharks.com/fantasy/points-outlook/elic-ayomanor/35338" TargetMode="External"/><Relationship Id="rId198" Type="http://schemas.openxmlformats.org/officeDocument/2006/relationships/hyperlink" Target="https://www.draftsharks.com/fantasy/points-outlook/dalton-schultz/10059" TargetMode="External"/><Relationship Id="rId197" Type="http://schemas.openxmlformats.org/officeDocument/2006/relationships/hyperlink" Target="https://www.draftsharks.com/fantasy/points-outlook/kaytron-allen/35930" TargetMode="External"/><Relationship Id="rId196" Type="http://schemas.openxmlformats.org/officeDocument/2006/relationships/hyperlink" Target="https://www.draftsharks.com/fantasy/points-outlook/terrance-ferguson/35364" TargetMode="External"/><Relationship Id="rId195" Type="http://schemas.openxmlformats.org/officeDocument/2006/relationships/hyperlink" Target="https://www.draftsharks.com/fantasy/points-outlook/braelon-allen/34996" TargetMode="External"/><Relationship Id="rId199" Type="http://schemas.openxmlformats.org/officeDocument/2006/relationships/hyperlink" Target="https://www.draftsharks.com/fantasy/points-outlook/jacksonville-jaguars/1780" TargetMode="External"/><Relationship Id="rId150" Type="http://schemas.openxmlformats.org/officeDocument/2006/relationships/hyperlink" Target="https://www.draftsharks.com/fantasy/points-outlook/tyler-allgeier/12582" TargetMode="External"/><Relationship Id="rId271" Type="http://schemas.openxmlformats.org/officeDocument/2006/relationships/hyperlink" Target="https://www.draftsharks.com/fantasy/points-outlook/arizona-cardinals/894" TargetMode="External"/><Relationship Id="rId270" Type="http://schemas.openxmlformats.org/officeDocument/2006/relationships/hyperlink" Target="https://www.draftsharks.com/fantasy/points-outlook/atlanta-falcons/1266" TargetMode="External"/><Relationship Id="rId1" Type="http://schemas.openxmlformats.org/officeDocument/2006/relationships/hyperlink" Target="https://www.draftsharks.com/fantasy/points-outlook/jahmyr-gibbs/13542" TargetMode="External"/><Relationship Id="rId2" Type="http://schemas.openxmlformats.org/officeDocument/2006/relationships/hyperlink" Target="https://www.draftsharks.com/fantasy/points-outlook/bijan-robinson/13541" TargetMode="External"/><Relationship Id="rId3" Type="http://schemas.openxmlformats.org/officeDocument/2006/relationships/hyperlink" Target="https://www.draftsharks.com/fantasy/points-outlook/puka-nacua/13680" TargetMode="External"/><Relationship Id="rId149" Type="http://schemas.openxmlformats.org/officeDocument/2006/relationships/hyperlink" Target="https://www.draftsharks.com/fantasy/points-outlook/tre-tucker/13739" TargetMode="External"/><Relationship Id="rId4" Type="http://schemas.openxmlformats.org/officeDocument/2006/relationships/hyperlink" Target="https://www.draftsharks.com/fantasy/points-outlook/jamarr-chase/10771" TargetMode="External"/><Relationship Id="rId148" Type="http://schemas.openxmlformats.org/officeDocument/2006/relationships/hyperlink" Target="https://www.draftsharks.com/fantasy/points-outlook/denver-broncos/778" TargetMode="External"/><Relationship Id="rId269" Type="http://schemas.openxmlformats.org/officeDocument/2006/relationships/hyperlink" Target="https://www.draftsharks.com/fantasy/points-outlook/nick-folk/1322" TargetMode="External"/><Relationship Id="rId9" Type="http://schemas.openxmlformats.org/officeDocument/2006/relationships/hyperlink" Target="https://www.draftsharks.com/fantasy/points-outlook/derrick-henry/7461" TargetMode="External"/><Relationship Id="rId143" Type="http://schemas.openxmlformats.org/officeDocument/2006/relationships/hyperlink" Target="https://www.draftsharks.com/fantasy/points-outlook/woody-marks/35328" TargetMode="External"/><Relationship Id="rId264" Type="http://schemas.openxmlformats.org/officeDocument/2006/relationships/hyperlink" Target="https://www.draftsharks.com/fantasy/points-outlook/malik-davis/13435" TargetMode="External"/><Relationship Id="rId142" Type="http://schemas.openxmlformats.org/officeDocument/2006/relationships/hyperlink" Target="https://www.draftsharks.com/fantasy/points-outlook/tyrone-tracy-jr-/34997" TargetMode="External"/><Relationship Id="rId263" Type="http://schemas.openxmlformats.org/officeDocument/2006/relationships/hyperlink" Target="https://www.draftsharks.com/fantasy/points-outlook/darnell-mooney/10628" TargetMode="External"/><Relationship Id="rId141" Type="http://schemas.openxmlformats.org/officeDocument/2006/relationships/hyperlink" Target="https://www.draftsharks.com/fantasy/points-outlook/isaiah-likely/12589" TargetMode="External"/><Relationship Id="rId262" Type="http://schemas.openxmlformats.org/officeDocument/2006/relationships/hyperlink" Target="https://www.draftsharks.com/fantasy/points-outlook/kaleb-johnson/35319" TargetMode="External"/><Relationship Id="rId140" Type="http://schemas.openxmlformats.org/officeDocument/2006/relationships/hyperlink" Target="https://www.draftsharks.com/fantasy/points-outlook/c-j-stroud/13539" TargetMode="External"/><Relationship Id="rId261" Type="http://schemas.openxmlformats.org/officeDocument/2006/relationships/hyperlink" Target="https://www.draftsharks.com/fantasy/points-outlook/ben-sauls/35589" TargetMode="External"/><Relationship Id="rId5" Type="http://schemas.openxmlformats.org/officeDocument/2006/relationships/hyperlink" Target="https://www.draftsharks.com/fantasy/points-outlook/jaxon-smith-njigba/13547" TargetMode="External"/><Relationship Id="rId147" Type="http://schemas.openxmlformats.org/officeDocument/2006/relationships/hyperlink" Target="https://www.draftsharks.com/fantasy/points-outlook/kaimi-fairbairn/9931" TargetMode="External"/><Relationship Id="rId268" Type="http://schemas.openxmlformats.org/officeDocument/2006/relationships/hyperlink" Target="https://www.draftsharks.com/fantasy/points-outlook/adam-randall/35991" TargetMode="External"/><Relationship Id="rId6" Type="http://schemas.openxmlformats.org/officeDocument/2006/relationships/hyperlink" Target="https://www.draftsharks.com/fantasy/points-outlook/james-cook/12585" TargetMode="External"/><Relationship Id="rId146" Type="http://schemas.openxmlformats.org/officeDocument/2006/relationships/hyperlink" Target="https://www.draftsharks.com/fantasy/points-outlook/omar-cooper-jr-/35970" TargetMode="External"/><Relationship Id="rId267" Type="http://schemas.openxmlformats.org/officeDocument/2006/relationships/hyperlink" Target="https://www.draftsharks.com/fantasy/points-outlook/isaac-teslaa/35572" TargetMode="External"/><Relationship Id="rId7" Type="http://schemas.openxmlformats.org/officeDocument/2006/relationships/hyperlink" Target="https://www.draftsharks.com/fantasy/points-outlook/christian-mccaffrey/7750" TargetMode="External"/><Relationship Id="rId145" Type="http://schemas.openxmlformats.org/officeDocument/2006/relationships/hyperlink" Target="https://www.draftsharks.com/fantasy/points-outlook/jalen-coker/35137" TargetMode="External"/><Relationship Id="rId266" Type="http://schemas.openxmlformats.org/officeDocument/2006/relationships/hyperlink" Target="https://www.draftsharks.com/fantasy/points-outlook/keon-coleman/35017" TargetMode="External"/><Relationship Id="rId8" Type="http://schemas.openxmlformats.org/officeDocument/2006/relationships/hyperlink" Target="https://www.draftsharks.com/fantasy/points-outlook/jonathan-taylor/10500" TargetMode="External"/><Relationship Id="rId144" Type="http://schemas.openxmlformats.org/officeDocument/2006/relationships/hyperlink" Target="https://www.draftsharks.com/fantasy/points-outlook/tyjae-spears/13569" TargetMode="External"/><Relationship Id="rId265" Type="http://schemas.openxmlformats.org/officeDocument/2006/relationships/hyperlink" Target="https://www.draftsharks.com/fantasy/points-outlook/tyreek-hill/7572" TargetMode="External"/><Relationship Id="rId260" Type="http://schemas.openxmlformats.org/officeDocument/2006/relationships/hyperlink" Target="https://www.draftsharks.com/fantasy/points-outlook/evan-mcpherson/10871" TargetMode="External"/><Relationship Id="rId139" Type="http://schemas.openxmlformats.org/officeDocument/2006/relationships/hyperlink" Target="https://www.draftsharks.com/fantasy/points-outlook/houston-texans/2969" TargetMode="External"/><Relationship Id="rId138" Type="http://schemas.openxmlformats.org/officeDocument/2006/relationships/hyperlink" Target="https://www.draftsharks.com/fantasy/points-outlook/brenton-strange/13686" TargetMode="External"/><Relationship Id="rId259" Type="http://schemas.openxmlformats.org/officeDocument/2006/relationships/hyperlink" Target="https://www.draftsharks.com/fantasy/points-outlook/brashard-smith/35522" TargetMode="External"/><Relationship Id="rId137" Type="http://schemas.openxmlformats.org/officeDocument/2006/relationships/hyperlink" Target="https://www.draftsharks.com/fantasy/points-outlook/daniel-jones/10225" TargetMode="External"/><Relationship Id="rId258" Type="http://schemas.openxmlformats.org/officeDocument/2006/relationships/hyperlink" Target="https://www.draftsharks.com/fantasy/points-outlook/dontayvion-wicks/13562" TargetMode="External"/><Relationship Id="rId132" Type="http://schemas.openxmlformats.org/officeDocument/2006/relationships/hyperlink" Target="https://www.draftsharks.com/fantasy/points-outlook/cameron-dicker/13243" TargetMode="External"/><Relationship Id="rId253" Type="http://schemas.openxmlformats.org/officeDocument/2006/relationships/hyperlink" Target="https://www.draftsharks.com/fantasy/points-outlook/jordan-james/35329" TargetMode="External"/><Relationship Id="rId131" Type="http://schemas.openxmlformats.org/officeDocument/2006/relationships/hyperlink" Target="https://www.draftsharks.com/fantasy/points-outlook/hunter-henry/7470" TargetMode="External"/><Relationship Id="rId252" Type="http://schemas.openxmlformats.org/officeDocument/2006/relationships/hyperlink" Target="https://www.draftsharks.com/fantasy/points-outlook/las-vegas-raiders/2549" TargetMode="External"/><Relationship Id="rId130" Type="http://schemas.openxmlformats.org/officeDocument/2006/relationships/hyperlink" Target="https://www.draftsharks.com/fantasy/points-outlook/zach-charbonnet/13564" TargetMode="External"/><Relationship Id="rId251" Type="http://schemas.openxmlformats.org/officeDocument/2006/relationships/hyperlink" Target="https://www.draftsharks.com/fantasy/points-outlook/dallas-cowboys/1040" TargetMode="External"/><Relationship Id="rId250" Type="http://schemas.openxmlformats.org/officeDocument/2006/relationships/hyperlink" Target="https://www.draftsharks.com/fantasy/points-outlook/demond-claiborne/35933" TargetMode="External"/><Relationship Id="rId136" Type="http://schemas.openxmlformats.org/officeDocument/2006/relationships/hyperlink" Target="https://www.draftsharks.com/fantasy/points-outlook/aaron-jones/9550" TargetMode="External"/><Relationship Id="rId257" Type="http://schemas.openxmlformats.org/officeDocument/2006/relationships/hyperlink" Target="https://www.draftsharks.com/fantasy/points-outlook/greg-dulcich/12615" TargetMode="External"/><Relationship Id="rId135" Type="http://schemas.openxmlformats.org/officeDocument/2006/relationships/hyperlink" Target="https://www.draftsharks.com/fantasy/points-outlook/malik-willis/12572" TargetMode="External"/><Relationship Id="rId256" Type="http://schemas.openxmlformats.org/officeDocument/2006/relationships/hyperlink" Target="https://www.draftsharks.com/fantasy/points-outlook/colby-parkinson/10622" TargetMode="External"/><Relationship Id="rId134" Type="http://schemas.openxmlformats.org/officeDocument/2006/relationships/hyperlink" Target="https://www.draftsharks.com/fantasy/points-outlook/rachaad-white/12583" TargetMode="External"/><Relationship Id="rId255" Type="http://schemas.openxmlformats.org/officeDocument/2006/relationships/hyperlink" Target="https://www.draftsharks.com/fantasy/points-outlook/travis-hunter/35371" TargetMode="External"/><Relationship Id="rId133" Type="http://schemas.openxmlformats.org/officeDocument/2006/relationships/hyperlink" Target="https://www.draftsharks.com/fantasy/points-outlook/dallas-goedert/9997" TargetMode="External"/><Relationship Id="rId254" Type="http://schemas.openxmlformats.org/officeDocument/2006/relationships/hyperlink" Target="https://www.draftsharks.com/fantasy/points-outlook/pat-bryant/35355" TargetMode="External"/><Relationship Id="rId172" Type="http://schemas.openxmlformats.org/officeDocument/2006/relationships/hyperlink" Target="https://www.draftsharks.com/fantasy/points-outlook/new-england-patriots/2430" TargetMode="External"/><Relationship Id="rId293" Type="http://schemas.openxmlformats.org/officeDocument/2006/relationships/hyperlink" Target="https://www.draftsharks.com/fantasy/points-outlook/kavontae-turpin/13534" TargetMode="External"/><Relationship Id="rId171" Type="http://schemas.openxmlformats.org/officeDocument/2006/relationships/hyperlink" Target="https://www.draftsharks.com/fantasy/points-outlook/trey-smack/36121" TargetMode="External"/><Relationship Id="rId292" Type="http://schemas.openxmlformats.org/officeDocument/2006/relationships/hyperlink" Target="https://www.draftsharks.com/fantasy/points-outlook/audric-estime/34992" TargetMode="External"/><Relationship Id="rId170" Type="http://schemas.openxmlformats.org/officeDocument/2006/relationships/hyperlink" Target="https://www.draftsharks.com/fantasy/points-outlook/minnesota-vikings/3086" TargetMode="External"/><Relationship Id="rId291" Type="http://schemas.openxmlformats.org/officeDocument/2006/relationships/hyperlink" Target="https://www.draftsharks.com/fantasy/points-outlook/troy-franklin/34981" TargetMode="External"/><Relationship Id="rId290" Type="http://schemas.openxmlformats.org/officeDocument/2006/relationships/hyperlink" Target="https://www.draftsharks.com/fantasy/points-outlook/andre-szmyt/35380" TargetMode="External"/><Relationship Id="rId165" Type="http://schemas.openxmlformats.org/officeDocument/2006/relationships/hyperlink" Target="https://www.draftsharks.com/fantasy/points-outlook/cam-little/35130" TargetMode="External"/><Relationship Id="rId286" Type="http://schemas.openxmlformats.org/officeDocument/2006/relationships/hyperlink" Target="https://www.draftsharks.com/fantasy/points-outlook/matt-gay/10311" TargetMode="External"/><Relationship Id="rId164" Type="http://schemas.openxmlformats.org/officeDocument/2006/relationships/hyperlink" Target="https://www.draftsharks.com/fantasy/points-outlook/eddy-pineiro/10134" TargetMode="External"/><Relationship Id="rId285" Type="http://schemas.openxmlformats.org/officeDocument/2006/relationships/hyperlink" Target="https://www.draftsharks.com/fantasy/points-outlook/michael-penix-jr-/34983" TargetMode="External"/><Relationship Id="rId163" Type="http://schemas.openxmlformats.org/officeDocument/2006/relationships/hyperlink" Target="https://www.draftsharks.com/fantasy/points-outlook/cairo-santos/7126" TargetMode="External"/><Relationship Id="rId284" Type="http://schemas.openxmlformats.org/officeDocument/2006/relationships/hyperlink" Target="https://www.draftsharks.com/fantasy/points-outlook/tua-tagovailoa/10483" TargetMode="External"/><Relationship Id="rId162" Type="http://schemas.openxmlformats.org/officeDocument/2006/relationships/hyperlink" Target="https://www.draftsharks.com/fantasy/points-outlook/baltimore-ravens/2564" TargetMode="External"/><Relationship Id="rId283" Type="http://schemas.openxmlformats.org/officeDocument/2006/relationships/hyperlink" Target="https://www.draftsharks.com/fantasy/points-outlook/elijah-sarratt/35954" TargetMode="External"/><Relationship Id="rId169" Type="http://schemas.openxmlformats.org/officeDocument/2006/relationships/hyperlink" Target="https://www.draftsharks.com/fantasy/points-outlook/dylan-sampson/35390" TargetMode="External"/><Relationship Id="rId168" Type="http://schemas.openxmlformats.org/officeDocument/2006/relationships/hyperlink" Target="https://www.draftsharks.com/fantasy/points-outlook/pittsburgh-steelers/2897" TargetMode="External"/><Relationship Id="rId289" Type="http://schemas.openxmlformats.org/officeDocument/2006/relationships/hyperlink" Target="https://www.draftsharks.com/fantasy/points-outlook/devin-neal/35392" TargetMode="External"/><Relationship Id="rId167" Type="http://schemas.openxmlformats.org/officeDocument/2006/relationships/hyperlink" Target="https://www.draftsharks.com/fantasy/points-outlook/cameron-ward/35310" TargetMode="External"/><Relationship Id="rId288" Type="http://schemas.openxmlformats.org/officeDocument/2006/relationships/hyperlink" Target="https://www.draftsharks.com/fantasy/points-outlook/emari-demercado/14427" TargetMode="External"/><Relationship Id="rId166" Type="http://schemas.openxmlformats.org/officeDocument/2006/relationships/hyperlink" Target="https://www.draftsharks.com/fantasy/points-outlook/khalil-shakir/12603" TargetMode="External"/><Relationship Id="rId287" Type="http://schemas.openxmlformats.org/officeDocument/2006/relationships/hyperlink" Target="https://www.draftsharks.com/fantasy/points-outlook/nathaniel-dell/13552" TargetMode="External"/><Relationship Id="rId161" Type="http://schemas.openxmlformats.org/officeDocument/2006/relationships/hyperlink" Target="https://www.draftsharks.com/fantasy/points-outlook/juwan-johnson/12426" TargetMode="External"/><Relationship Id="rId282" Type="http://schemas.openxmlformats.org/officeDocument/2006/relationships/hyperlink" Target="https://www.draftsharks.com/fantasy/points-outlook/jarquez-hunter/35331" TargetMode="External"/><Relationship Id="rId160" Type="http://schemas.openxmlformats.org/officeDocument/2006/relationships/hyperlink" Target="https://www.draftsharks.com/fantasy/points-outlook/green-bay-packers/2408" TargetMode="External"/><Relationship Id="rId281" Type="http://schemas.openxmlformats.org/officeDocument/2006/relationships/hyperlink" Target="https://www.draftsharks.com/fantasy/points-outlook/david-njoku/7770" TargetMode="External"/><Relationship Id="rId280" Type="http://schemas.openxmlformats.org/officeDocument/2006/relationships/hyperlink" Target="https://www.draftsharks.com/fantasy/points-outlook/darnell-washington/13574" TargetMode="External"/><Relationship Id="rId159" Type="http://schemas.openxmlformats.org/officeDocument/2006/relationships/hyperlink" Target="https://www.draftsharks.com/fantasy/points-outlook/tyler-loop/35591" TargetMode="External"/><Relationship Id="rId154" Type="http://schemas.openxmlformats.org/officeDocument/2006/relationships/hyperlink" Target="https://www.draftsharks.com/fantasy/points-outlook/adonai-mitchell/35018" TargetMode="External"/><Relationship Id="rId275" Type="http://schemas.openxmlformats.org/officeDocument/2006/relationships/hyperlink" Target="https://www.draftsharks.com/fantasy/points-outlook/jakobi-lane/35955" TargetMode="External"/><Relationship Id="rId153" Type="http://schemas.openxmlformats.org/officeDocument/2006/relationships/hyperlink" Target="https://www.draftsharks.com/fantasy/points-outlook/denzel-boston/35949" TargetMode="External"/><Relationship Id="rId274" Type="http://schemas.openxmlformats.org/officeDocument/2006/relationships/hyperlink" Target="https://www.draftsharks.com/fantasy/points-outlook/kimani-vidal/34998" TargetMode="External"/><Relationship Id="rId152" Type="http://schemas.openxmlformats.org/officeDocument/2006/relationships/hyperlink" Target="https://www.draftsharks.com/fantasy/points-outlook/brian-robinson-jr-/12581" TargetMode="External"/><Relationship Id="rId273" Type="http://schemas.openxmlformats.org/officeDocument/2006/relationships/hyperlink" Target="https://www.draftsharks.com/fantasy/points-outlook/washington-commanders/2575" TargetMode="External"/><Relationship Id="rId151" Type="http://schemas.openxmlformats.org/officeDocument/2006/relationships/hyperlink" Target="https://www.draftsharks.com/fantasy/points-outlook/wandale-robinson/12600" TargetMode="External"/><Relationship Id="rId272" Type="http://schemas.openxmlformats.org/officeDocument/2006/relationships/hyperlink" Target="https://www.draftsharks.com/fantasy/points-outlook/carolina-panthers/2415" TargetMode="External"/><Relationship Id="rId158" Type="http://schemas.openxmlformats.org/officeDocument/2006/relationships/hyperlink" Target="https://www.draftsharks.com/fantasy/points-outlook/kenyon-sadiq/35973" TargetMode="External"/><Relationship Id="rId279" Type="http://schemas.openxmlformats.org/officeDocument/2006/relationships/hyperlink" Target="https://www.draftsharks.com/fantasy/points-outlook/joey-slye/10421" TargetMode="External"/><Relationship Id="rId157" Type="http://schemas.openxmlformats.org/officeDocument/2006/relationships/hyperlink" Target="https://www.draftsharks.com/fantasy/points-outlook/keaton-mitchell/13674" TargetMode="External"/><Relationship Id="rId278" Type="http://schemas.openxmlformats.org/officeDocument/2006/relationships/hyperlink" Target="https://www.draftsharks.com/fantasy/points-outlook/miami-dolphins/1164" TargetMode="External"/><Relationship Id="rId156" Type="http://schemas.openxmlformats.org/officeDocument/2006/relationships/hyperlink" Target="https://www.draftsharks.com/fantasy/points-outlook/jake-ferguson/12708" TargetMode="External"/><Relationship Id="rId277" Type="http://schemas.openxmlformats.org/officeDocument/2006/relationships/hyperlink" Target="https://www.draftsharks.com/fantasy/points-outlook/ray-davis/34993" TargetMode="External"/><Relationship Id="rId155" Type="http://schemas.openxmlformats.org/officeDocument/2006/relationships/hyperlink" Target="https://www.draftsharks.com/fantasy/points-outlook/seattle-seahawks/2739" TargetMode="External"/><Relationship Id="rId276" Type="http://schemas.openxmlformats.org/officeDocument/2006/relationships/hyperlink" Target="https://www.draftsharks.com/fantasy/points-outlook/devaughn-vele/35134" TargetMode="External"/><Relationship Id="rId40" Type="http://schemas.openxmlformats.org/officeDocument/2006/relationships/hyperlink" Target="https://www.draftsharks.com/fantasy/points-outlook/travis-etienne/10757" TargetMode="External"/><Relationship Id="rId42" Type="http://schemas.openxmlformats.org/officeDocument/2006/relationships/hyperlink" Target="https://www.draftsharks.com/fantasy/points-outlook/mike-evans/6938" TargetMode="External"/><Relationship Id="rId41" Type="http://schemas.openxmlformats.org/officeDocument/2006/relationships/hyperlink" Target="https://www.draftsharks.com/fantasy/points-outlook/tyler-warren/35359" TargetMode="External"/><Relationship Id="rId44" Type="http://schemas.openxmlformats.org/officeDocument/2006/relationships/hyperlink" Target="https://www.draftsharks.com/fantasy/points-outlook/garrett-wilson/12592" TargetMode="External"/><Relationship Id="rId43" Type="http://schemas.openxmlformats.org/officeDocument/2006/relationships/hyperlink" Target="https://www.draftsharks.com/fantasy/points-outlook/jameson-williams/12595" TargetMode="External"/><Relationship Id="rId46" Type="http://schemas.openxmlformats.org/officeDocument/2006/relationships/hyperlink" Target="https://www.draftsharks.com/fantasy/points-outlook/tetairoa-mcmillan/35333" TargetMode="External"/><Relationship Id="rId45" Type="http://schemas.openxmlformats.org/officeDocument/2006/relationships/hyperlink" Target="https://www.draftsharks.com/fantasy/points-outlook/breece-hall/12577" TargetMode="External"/><Relationship Id="rId48" Type="http://schemas.openxmlformats.org/officeDocument/2006/relationships/hyperlink" Target="https://www.draftsharks.com/fantasy/points-outlook/emeka-egbuka/35335" TargetMode="External"/><Relationship Id="rId47" Type="http://schemas.openxmlformats.org/officeDocument/2006/relationships/hyperlink" Target="https://www.draftsharks.com/fantasy/points-outlook/lamar-jackson/9964" TargetMode="External"/><Relationship Id="rId49" Type="http://schemas.openxmlformats.org/officeDocument/2006/relationships/hyperlink" Target="https://www.draftsharks.com/fantasy/points-outlook/terry-mclaurin/10269" TargetMode="External"/><Relationship Id="rId31" Type="http://schemas.openxmlformats.org/officeDocument/2006/relationships/hyperlink" Target="https://www.draftsharks.com/fantasy/points-outlook/zay-flowers/13550" TargetMode="External"/><Relationship Id="rId30" Type="http://schemas.openxmlformats.org/officeDocument/2006/relationships/hyperlink" Target="https://www.draftsharks.com/fantasy/points-outlook/colston-loveland/35360" TargetMode="External"/><Relationship Id="rId33" Type="http://schemas.openxmlformats.org/officeDocument/2006/relationships/hyperlink" Target="https://www.draftsharks.com/fantasy/points-outlook/chris-olave/12596" TargetMode="External"/><Relationship Id="rId32" Type="http://schemas.openxmlformats.org/officeDocument/2006/relationships/hyperlink" Target="https://www.draftsharks.com/fantasy/points-outlook/javonte-williams/10759" TargetMode="External"/><Relationship Id="rId35" Type="http://schemas.openxmlformats.org/officeDocument/2006/relationships/hyperlink" Target="https://www.draftsharks.com/fantasy/points-outlook/trey-mcbride/12587" TargetMode="External"/><Relationship Id="rId34" Type="http://schemas.openxmlformats.org/officeDocument/2006/relationships/hyperlink" Target="https://www.draftsharks.com/fantasy/points-outlook/jeremiyah-love/35925" TargetMode="External"/><Relationship Id="rId37" Type="http://schemas.openxmlformats.org/officeDocument/2006/relationships/hyperlink" Target="https://www.draftsharks.com/fantasy/points-outlook/devonta-smith/10773" TargetMode="External"/><Relationship Id="rId36" Type="http://schemas.openxmlformats.org/officeDocument/2006/relationships/hyperlink" Target="https://www.draftsharks.com/fantasy/points-outlook/kyren-williams/12580" TargetMode="External"/><Relationship Id="rId39" Type="http://schemas.openxmlformats.org/officeDocument/2006/relationships/hyperlink" Target="https://www.draftsharks.com/fantasy/points-outlook/jaylen-waddle/10772" TargetMode="External"/><Relationship Id="rId38" Type="http://schemas.openxmlformats.org/officeDocument/2006/relationships/hyperlink" Target="https://www.draftsharks.com/fantasy/points-outlook/davante-adams/6973" TargetMode="External"/><Relationship Id="rId20" Type="http://schemas.openxmlformats.org/officeDocument/2006/relationships/hyperlink" Target="https://www.draftsharks.com/fantasy/points-outlook/kenneth-walker-iii/12579" TargetMode="External"/><Relationship Id="rId22" Type="http://schemas.openxmlformats.org/officeDocument/2006/relationships/hyperlink" Target="https://www.draftsharks.com/fantasy/points-outlook/rashee-rice/13553" TargetMode="External"/><Relationship Id="rId21" Type="http://schemas.openxmlformats.org/officeDocument/2006/relationships/hyperlink" Target="https://www.draftsharks.com/fantasy/points-outlook/omarion-hampton/35318" TargetMode="External"/><Relationship Id="rId24" Type="http://schemas.openxmlformats.org/officeDocument/2006/relationships/hyperlink" Target="https://www.draftsharks.com/fantasy/points-outlook/devon-achane/13563" TargetMode="External"/><Relationship Id="rId23" Type="http://schemas.openxmlformats.org/officeDocument/2006/relationships/hyperlink" Target="https://www.draftsharks.com/fantasy/points-outlook/josh-jacobs/10195" TargetMode="External"/><Relationship Id="rId26" Type="http://schemas.openxmlformats.org/officeDocument/2006/relationships/hyperlink" Target="https://www.draftsharks.com/fantasy/points-outlook/brock-bowers/35006" TargetMode="External"/><Relationship Id="rId25" Type="http://schemas.openxmlformats.org/officeDocument/2006/relationships/hyperlink" Target="https://www.draftsharks.com/fantasy/points-outlook/tee-higgins/10607" TargetMode="External"/><Relationship Id="rId28" Type="http://schemas.openxmlformats.org/officeDocument/2006/relationships/hyperlink" Target="https://www.draftsharks.com/fantasy/points-outlook/christian-watson/12607" TargetMode="External"/><Relationship Id="rId27" Type="http://schemas.openxmlformats.org/officeDocument/2006/relationships/hyperlink" Target="https://www.draftsharks.com/fantasy/points-outlook/chase-brown/13586" TargetMode="External"/><Relationship Id="rId29" Type="http://schemas.openxmlformats.org/officeDocument/2006/relationships/hyperlink" Target="https://www.draftsharks.com/fantasy/points-outlook/malik-nabers/34977" TargetMode="External"/><Relationship Id="rId11" Type="http://schemas.openxmlformats.org/officeDocument/2006/relationships/hyperlink" Target="https://www.draftsharks.com/fantasy/points-outlook/ceedee-lamb/10590" TargetMode="External"/><Relationship Id="rId10" Type="http://schemas.openxmlformats.org/officeDocument/2006/relationships/hyperlink" Target="https://www.draftsharks.com/fantasy/points-outlook/amon-ra-st-brown/10783" TargetMode="External"/><Relationship Id="rId13" Type="http://schemas.openxmlformats.org/officeDocument/2006/relationships/hyperlink" Target="https://www.draftsharks.com/fantasy/points-outlook/saquon-barkley/9994" TargetMode="External"/><Relationship Id="rId12" Type="http://schemas.openxmlformats.org/officeDocument/2006/relationships/hyperlink" Target="https://www.draftsharks.com/fantasy/points-outlook/justin-jefferson/10586" TargetMode="External"/><Relationship Id="rId15" Type="http://schemas.openxmlformats.org/officeDocument/2006/relationships/hyperlink" Target="https://www.draftsharks.com/fantasy/points-outlook/nico-collins/10796" TargetMode="External"/><Relationship Id="rId14" Type="http://schemas.openxmlformats.org/officeDocument/2006/relationships/hyperlink" Target="https://www.draftsharks.com/fantasy/points-outlook/ashton-jeanty/35317" TargetMode="External"/><Relationship Id="rId17" Type="http://schemas.openxmlformats.org/officeDocument/2006/relationships/hyperlink" Target="https://www.draftsharks.com/fantasy/points-outlook/josh-allen/9962" TargetMode="External"/><Relationship Id="rId16" Type="http://schemas.openxmlformats.org/officeDocument/2006/relationships/hyperlink" Target="https://www.draftsharks.com/fantasy/points-outlook/a-j-brown/10198" TargetMode="External"/><Relationship Id="rId19" Type="http://schemas.openxmlformats.org/officeDocument/2006/relationships/hyperlink" Target="https://www.draftsharks.com/fantasy/points-outlook/george-pickens/12599" TargetMode="External"/><Relationship Id="rId18" Type="http://schemas.openxmlformats.org/officeDocument/2006/relationships/hyperlink" Target="https://www.draftsharks.com/fantasy/points-outlook/drake-london/12594" TargetMode="External"/><Relationship Id="rId84" Type="http://schemas.openxmlformats.org/officeDocument/2006/relationships/hyperlink" Target="https://www.draftsharks.com/fantasy/points-outlook/jordyn-tyson/35947" TargetMode="External"/><Relationship Id="rId83" Type="http://schemas.openxmlformats.org/officeDocument/2006/relationships/hyperlink" Target="https://www.draftsharks.com/fantasy/points-outlook/quentin-johnston/13545" TargetMode="External"/><Relationship Id="rId86" Type="http://schemas.openxmlformats.org/officeDocument/2006/relationships/hyperlink" Target="https://www.draftsharks.com/fantasy/points-outlook/j-k-dobbins/10478" TargetMode="External"/><Relationship Id="rId85" Type="http://schemas.openxmlformats.org/officeDocument/2006/relationships/hyperlink" Target="https://www.draftsharks.com/fantasy/points-outlook/tony-pollard/10305" TargetMode="External"/><Relationship Id="rId88" Type="http://schemas.openxmlformats.org/officeDocument/2006/relationships/hyperlink" Target="https://www.draftsharks.com/fantasy/points-outlook/jaxson-dart/35312" TargetMode="External"/><Relationship Id="rId87" Type="http://schemas.openxmlformats.org/officeDocument/2006/relationships/hyperlink" Target="https://www.draftsharks.com/fantasy/points-outlook/jordan-addison/13546" TargetMode="External"/><Relationship Id="rId89" Type="http://schemas.openxmlformats.org/officeDocument/2006/relationships/hyperlink" Target="https://www.draftsharks.com/fantasy/points-outlook/rhamondre-stevenson/10763" TargetMode="External"/><Relationship Id="rId80" Type="http://schemas.openxmlformats.org/officeDocument/2006/relationships/hyperlink" Target="https://www.draftsharks.com/fantasy/points-outlook/dak-prescott/7453" TargetMode="External"/><Relationship Id="rId82" Type="http://schemas.openxmlformats.org/officeDocument/2006/relationships/hyperlink" Target="https://www.draftsharks.com/fantasy/points-outlook/jayden-reed/13557" TargetMode="External"/><Relationship Id="rId81" Type="http://schemas.openxmlformats.org/officeDocument/2006/relationships/hyperlink" Target="https://www.draftsharks.com/fantasy/points-outlook/kyler-murray/10217" TargetMode="External"/><Relationship Id="rId73" Type="http://schemas.openxmlformats.org/officeDocument/2006/relationships/hyperlink" Target="https://www.draftsharks.com/fantasy/points-outlook/trevor-lawrence/10748" TargetMode="External"/><Relationship Id="rId72" Type="http://schemas.openxmlformats.org/officeDocument/2006/relationships/hyperlink" Target="https://www.draftsharks.com/fantasy/points-outlook/brian-thomas-jr-/35014" TargetMode="External"/><Relationship Id="rId75" Type="http://schemas.openxmlformats.org/officeDocument/2006/relationships/hyperlink" Target="https://www.draftsharks.com/fantasy/points-outlook/justin-herbert/10488" TargetMode="External"/><Relationship Id="rId74" Type="http://schemas.openxmlformats.org/officeDocument/2006/relationships/hyperlink" Target="https://www.draftsharks.com/fantasy/points-outlook/jadarian-price/35926" TargetMode="External"/><Relationship Id="rId77" Type="http://schemas.openxmlformats.org/officeDocument/2006/relationships/hyperlink" Target="https://www.draftsharks.com/fantasy/points-outlook/caleb-williams/34974" TargetMode="External"/><Relationship Id="rId76" Type="http://schemas.openxmlformats.org/officeDocument/2006/relationships/hyperlink" Target="https://www.draftsharks.com/fantasy/points-outlook/brock-purdy/12737" TargetMode="External"/><Relationship Id="rId79" Type="http://schemas.openxmlformats.org/officeDocument/2006/relationships/hyperlink" Target="https://www.draftsharks.com/fantasy/points-outlook/carnell-tate/35950" TargetMode="External"/><Relationship Id="rId78" Type="http://schemas.openxmlformats.org/officeDocument/2006/relationships/hyperlink" Target="https://www.draftsharks.com/fantasy/points-outlook/courtland-sutton/9968" TargetMode="External"/><Relationship Id="rId71" Type="http://schemas.openxmlformats.org/officeDocument/2006/relationships/hyperlink" Target="https://www.draftsharks.com/fantasy/points-outlook/bhayshul-tuten/35322" TargetMode="External"/><Relationship Id="rId70" Type="http://schemas.openxmlformats.org/officeDocument/2006/relationships/hyperlink" Target="https://www.draftsharks.com/fantasy/points-outlook/harold-fannin-jr-/35361" TargetMode="External"/><Relationship Id="rId62" Type="http://schemas.openxmlformats.org/officeDocument/2006/relationships/hyperlink" Target="https://www.draftsharks.com/fantasy/points-outlook/jalen-hurts/10490" TargetMode="External"/><Relationship Id="rId61" Type="http://schemas.openxmlformats.org/officeDocument/2006/relationships/hyperlink" Target="https://www.draftsharks.com/fantasy/points-outlook/joe-burrow/10482" TargetMode="External"/><Relationship Id="rId64" Type="http://schemas.openxmlformats.org/officeDocument/2006/relationships/hyperlink" Target="https://www.draftsharks.com/fantasy/points-outlook/alec-pierce/12605" TargetMode="External"/><Relationship Id="rId63" Type="http://schemas.openxmlformats.org/officeDocument/2006/relationships/hyperlink" Target="https://www.draftsharks.com/fantasy/points-outlook/quinshon-judkins/35320" TargetMode="External"/><Relationship Id="rId66" Type="http://schemas.openxmlformats.org/officeDocument/2006/relationships/hyperlink" Target="https://www.draftsharks.com/fantasy/points-outlook/d-k-metcalf/10197" TargetMode="External"/><Relationship Id="rId65" Type="http://schemas.openxmlformats.org/officeDocument/2006/relationships/hyperlink" Target="https://www.draftsharks.com/fantasy/points-outlook/parker-washington/13551" TargetMode="External"/><Relationship Id="rId68" Type="http://schemas.openxmlformats.org/officeDocument/2006/relationships/hyperlink" Target="https://www.draftsharks.com/fantasy/points-outlook/bucky-irving/34991" TargetMode="External"/><Relationship Id="rId67" Type="http://schemas.openxmlformats.org/officeDocument/2006/relationships/hyperlink" Target="https://www.draftsharks.com/fantasy/points-outlook/treveyon-henderson/35323" TargetMode="External"/><Relationship Id="rId60" Type="http://schemas.openxmlformats.org/officeDocument/2006/relationships/hyperlink" Target="https://www.draftsharks.com/fantasy/points-outlook/d-j-moore/9970" TargetMode="External"/><Relationship Id="rId69" Type="http://schemas.openxmlformats.org/officeDocument/2006/relationships/hyperlink" Target="https://www.draftsharks.com/fantasy/points-outlook/marvin-harrison-jr-/34975" TargetMode="External"/><Relationship Id="rId51" Type="http://schemas.openxmlformats.org/officeDocument/2006/relationships/hyperlink" Target="https://www.draftsharks.com/fantasy/points-outlook/tucker-kraft/13575" TargetMode="External"/><Relationship Id="rId50" Type="http://schemas.openxmlformats.org/officeDocument/2006/relationships/hyperlink" Target="https://www.draftsharks.com/fantasy/points-outlook/luther-burden-iii/35334" TargetMode="External"/><Relationship Id="rId53" Type="http://schemas.openxmlformats.org/officeDocument/2006/relationships/hyperlink" Target="https://www.draftsharks.com/fantasy/points-outlook/rome-odunze/34980" TargetMode="External"/><Relationship Id="rId52" Type="http://schemas.openxmlformats.org/officeDocument/2006/relationships/hyperlink" Target="https://www.draftsharks.com/fantasy/points-outlook/ladd-mcconkey/35015" TargetMode="External"/><Relationship Id="rId55" Type="http://schemas.openxmlformats.org/officeDocument/2006/relationships/hyperlink" Target="https://www.draftsharks.com/fantasy/points-outlook/drake-maye/15318" TargetMode="External"/><Relationship Id="rId54" Type="http://schemas.openxmlformats.org/officeDocument/2006/relationships/hyperlink" Target="https://www.draftsharks.com/fantasy/points-outlook/dandre-swift/10476" TargetMode="External"/><Relationship Id="rId57" Type="http://schemas.openxmlformats.org/officeDocument/2006/relationships/hyperlink" Target="https://www.draftsharks.com/fantasy/points-outlook/jayden-daniels/34982" TargetMode="External"/><Relationship Id="rId56" Type="http://schemas.openxmlformats.org/officeDocument/2006/relationships/hyperlink" Target="https://www.draftsharks.com/fantasy/points-outlook/sam-laporta/13576" TargetMode="External"/><Relationship Id="rId59" Type="http://schemas.openxmlformats.org/officeDocument/2006/relationships/hyperlink" Target="https://www.draftsharks.com/fantasy/points-outlook/david-montgomery/10194" TargetMode="External"/><Relationship Id="rId58" Type="http://schemas.openxmlformats.org/officeDocument/2006/relationships/hyperlink" Target="https://www.draftsharks.com/fantasy/points-outlook/cameron-skattebo/35382" TargetMode="External"/><Relationship Id="rId107" Type="http://schemas.openxmlformats.org/officeDocument/2006/relationships/hyperlink" Target="https://www.draftsharks.com/fantasy/points-outlook/matthew-stafford/2" TargetMode="External"/><Relationship Id="rId228" Type="http://schemas.openxmlformats.org/officeDocument/2006/relationships/hyperlink" Target="https://www.draftsharks.com/fantasy/points-outlook/jaylen-wright/34988" TargetMode="External"/><Relationship Id="rId106" Type="http://schemas.openxmlformats.org/officeDocument/2006/relationships/hyperlink" Target="https://www.draftsharks.com/fantasy/points-outlook/jakobi-meyers/10364" TargetMode="External"/><Relationship Id="rId227" Type="http://schemas.openxmlformats.org/officeDocument/2006/relationships/hyperlink" Target="https://www.draftsharks.com/fantasy/points-outlook/trey-benson/34989" TargetMode="External"/><Relationship Id="rId105" Type="http://schemas.openxmlformats.org/officeDocument/2006/relationships/hyperlink" Target="https://www.draftsharks.com/fantasy/points-outlook/mark-andrews/10009" TargetMode="External"/><Relationship Id="rId226" Type="http://schemas.openxmlformats.org/officeDocument/2006/relationships/hyperlink" Target="https://www.draftsharks.com/fantasy/points-outlook/san-francisco-49ers/309" TargetMode="External"/><Relationship Id="rId104" Type="http://schemas.openxmlformats.org/officeDocument/2006/relationships/hyperlink" Target="https://www.draftsharks.com/fantasy/points-outlook/jared-goff/7449" TargetMode="External"/><Relationship Id="rId225" Type="http://schemas.openxmlformats.org/officeDocument/2006/relationships/hyperlink" Target="https://www.draftsharks.com/fantasy/points-outlook/jacoby-brissett/7555" TargetMode="External"/><Relationship Id="rId109" Type="http://schemas.openxmlformats.org/officeDocument/2006/relationships/hyperlink" Target="https://www.draftsharks.com/fantasy/points-outlook/deebo-samuel/10205" TargetMode="External"/><Relationship Id="rId108" Type="http://schemas.openxmlformats.org/officeDocument/2006/relationships/hyperlink" Target="https://www.draftsharks.com/fantasy/points-outlook/jayden-higgins/35345" TargetMode="External"/><Relationship Id="rId229" Type="http://schemas.openxmlformats.org/officeDocument/2006/relationships/hyperlink" Target="https://www.draftsharks.com/fantasy/points-outlook/cade-otton/12705" TargetMode="External"/><Relationship Id="rId220" Type="http://schemas.openxmlformats.org/officeDocument/2006/relationships/hyperlink" Target="https://www.draftsharks.com/fantasy/points-outlook/tampa-bay-buccaneers/834" TargetMode="External"/><Relationship Id="rId103" Type="http://schemas.openxmlformats.org/officeDocument/2006/relationships/hyperlink" Target="https://www.draftsharks.com/fantasy/points-outlook/romeo-doubs/12606" TargetMode="External"/><Relationship Id="rId224" Type="http://schemas.openxmlformats.org/officeDocument/2006/relationships/hyperlink" Target="https://www.draftsharks.com/fantasy/points-outlook/will-reichard/35128" TargetMode="External"/><Relationship Id="rId102" Type="http://schemas.openxmlformats.org/officeDocument/2006/relationships/hyperlink" Target="https://www.draftsharks.com/fantasy/points-outlook/jonathon-brooks/34987" TargetMode="External"/><Relationship Id="rId223" Type="http://schemas.openxmlformats.org/officeDocument/2006/relationships/hyperlink" Target="https://www.draftsharks.com/fantasy/points-outlook/fernando-mendoza/35915" TargetMode="External"/><Relationship Id="rId101" Type="http://schemas.openxmlformats.org/officeDocument/2006/relationships/hyperlink" Target="https://www.draftsharks.com/fantasy/points-outlook/kyle-monangai/35326" TargetMode="External"/><Relationship Id="rId222" Type="http://schemas.openxmlformats.org/officeDocument/2006/relationships/hyperlink" Target="https://www.draftsharks.com/fantasy/points-outlook/tre-harris/35339" TargetMode="External"/><Relationship Id="rId100" Type="http://schemas.openxmlformats.org/officeDocument/2006/relationships/hyperlink" Target="https://www.draftsharks.com/fantasy/points-outlook/jacory-croskey-merritt/35720" TargetMode="External"/><Relationship Id="rId221" Type="http://schemas.openxmlformats.org/officeDocument/2006/relationships/hyperlink" Target="https://www.draftsharks.com/fantasy/points-outlook/emmett-johnson/35932" TargetMode="External"/><Relationship Id="rId217" Type="http://schemas.openxmlformats.org/officeDocument/2006/relationships/hyperlink" Target="https://www.draftsharks.com/fantasy/points-outlook/tank-bigsby/13565" TargetMode="External"/><Relationship Id="rId216" Type="http://schemas.openxmlformats.org/officeDocument/2006/relationships/hyperlink" Target="https://www.draftsharks.com/fantasy/points-outlook/chris-boswell/7396" TargetMode="External"/><Relationship Id="rId215" Type="http://schemas.openxmlformats.org/officeDocument/2006/relationships/hyperlink" Target="https://www.draftsharks.com/fantasy/points-outlook/kansas-city-chiefs/951" TargetMode="External"/><Relationship Id="rId214" Type="http://schemas.openxmlformats.org/officeDocument/2006/relationships/hyperlink" Target="https://www.draftsharks.com/fantasy/points-outlook/james-conner/7778" TargetMode="External"/><Relationship Id="rId219" Type="http://schemas.openxmlformats.org/officeDocument/2006/relationships/hyperlink" Target="https://www.draftsharks.com/fantasy/points-outlook/chase-mclaughlin/10436" TargetMode="External"/><Relationship Id="rId218" Type="http://schemas.openxmlformats.org/officeDocument/2006/relationships/hyperlink" Target="https://www.draftsharks.com/fantasy/points-outlook/aj-barner/35009" TargetMode="External"/><Relationship Id="rId213" Type="http://schemas.openxmlformats.org/officeDocument/2006/relationships/hyperlink" Target="https://www.draftsharks.com/fantasy/points-outlook/pat-freiermuth/10749" TargetMode="External"/><Relationship Id="rId212" Type="http://schemas.openxmlformats.org/officeDocument/2006/relationships/hyperlink" Target="https://www.draftsharks.com/fantasy/points-outlook/jason-myers/7374" TargetMode="External"/><Relationship Id="rId211" Type="http://schemas.openxmlformats.org/officeDocument/2006/relationships/hyperlink" Target="https://www.draftsharks.com/fantasy/points-outlook/keenan-allen/6678" TargetMode="External"/><Relationship Id="rId210" Type="http://schemas.openxmlformats.org/officeDocument/2006/relationships/hyperlink" Target="https://www.draftsharks.com/fantasy/points-outlook/cleveland-browns/810" TargetMode="External"/><Relationship Id="rId129" Type="http://schemas.openxmlformats.org/officeDocument/2006/relationships/hyperlink" Target="https://www.draftsharks.com/fantasy/points-outlook/isiah-pacheco/12735" TargetMode="External"/><Relationship Id="rId128" Type="http://schemas.openxmlformats.org/officeDocument/2006/relationships/hyperlink" Target="https://www.draftsharks.com/fantasy/points-outlook/jalen-mcmillan/35026" TargetMode="External"/><Relationship Id="rId249" Type="http://schemas.openxmlformats.org/officeDocument/2006/relationships/hyperlink" Target="https://www.draftsharks.com/fantasy/points-outlook/new-york-jets/1812" TargetMode="External"/><Relationship Id="rId127" Type="http://schemas.openxmlformats.org/officeDocument/2006/relationships/hyperlink" Target="https://www.draftsharks.com/fantasy/points-outlook/kenneth-gainwell/10761" TargetMode="External"/><Relationship Id="rId248" Type="http://schemas.openxmlformats.org/officeDocument/2006/relationships/hyperlink" Target="https://www.draftsharks.com/fantasy/points-outlook/kendre-miller/13570" TargetMode="External"/><Relationship Id="rId126" Type="http://schemas.openxmlformats.org/officeDocument/2006/relationships/hyperlink" Target="https://www.draftsharks.com/fantasy/points-outlook/rashid-shaheed/13347" TargetMode="External"/><Relationship Id="rId247" Type="http://schemas.openxmlformats.org/officeDocument/2006/relationships/hyperlink" Target="https://www.draftsharks.com/fantasy/points-outlook/zachariah-branch/35993" TargetMode="External"/><Relationship Id="rId121" Type="http://schemas.openxmlformats.org/officeDocument/2006/relationships/hyperlink" Target="https://www.draftsharks.com/fantasy/points-outlook/dalton-kincaid/13573" TargetMode="External"/><Relationship Id="rId242" Type="http://schemas.openxmlformats.org/officeDocument/2006/relationships/hyperlink" Target="https://www.draftsharks.com/fantasy/points-outlook/cooper-kupp/7761" TargetMode="External"/><Relationship Id="rId120" Type="http://schemas.openxmlformats.org/officeDocument/2006/relationships/hyperlink" Target="https://www.draftsharks.com/fantasy/points-outlook/kc-concepcion/35951" TargetMode="External"/><Relationship Id="rId241" Type="http://schemas.openxmlformats.org/officeDocument/2006/relationships/hyperlink" Target="https://www.draftsharks.com/fantasy/points-outlook/gunnar-helm/35365" TargetMode="External"/><Relationship Id="rId240" Type="http://schemas.openxmlformats.org/officeDocument/2006/relationships/hyperlink" Target="https://www.draftsharks.com/fantasy/points-outlook/emanuel-wilson/14231" TargetMode="External"/><Relationship Id="rId125" Type="http://schemas.openxmlformats.org/officeDocument/2006/relationships/hyperlink" Target="https://www.draftsharks.com/fantasy/points-outlook/rj-harvey/35325" TargetMode="External"/><Relationship Id="rId246" Type="http://schemas.openxmlformats.org/officeDocument/2006/relationships/hyperlink" Target="https://www.draftsharks.com/fantasy/points-outlook/ryan-flournoy/35132" TargetMode="External"/><Relationship Id="rId124" Type="http://schemas.openxmlformats.org/officeDocument/2006/relationships/hyperlink" Target="https://www.draftsharks.com/fantasy/points-outlook/chris-rodriguez/13677" TargetMode="External"/><Relationship Id="rId245" Type="http://schemas.openxmlformats.org/officeDocument/2006/relationships/hyperlink" Target="https://www.draftsharks.com/fantasy/points-outlook/cincinnati-bengals/665" TargetMode="External"/><Relationship Id="rId123" Type="http://schemas.openxmlformats.org/officeDocument/2006/relationships/hyperlink" Target="https://www.draftsharks.com/fantasy/points-outlook/michael-wilson/13558" TargetMode="External"/><Relationship Id="rId244" Type="http://schemas.openxmlformats.org/officeDocument/2006/relationships/hyperlink" Target="https://www.draftsharks.com/fantasy/points-outlook/brandon-aiyuk/10582" TargetMode="External"/><Relationship Id="rId122" Type="http://schemas.openxmlformats.org/officeDocument/2006/relationships/hyperlink" Target="https://www.draftsharks.com/fantasy/points-outlook/chris-godwin/7783" TargetMode="External"/><Relationship Id="rId243" Type="http://schemas.openxmlformats.org/officeDocument/2006/relationships/hyperlink" Target="https://www.draftsharks.com/fantasy/points-outlook/ryan-fitzgerald/35590" TargetMode="External"/><Relationship Id="rId95" Type="http://schemas.openxmlformats.org/officeDocument/2006/relationships/hyperlink" Target="https://www.draftsharks.com/fantasy/points-outlook/kyle-pitts/10747" TargetMode="External"/><Relationship Id="rId94" Type="http://schemas.openxmlformats.org/officeDocument/2006/relationships/hyperlink" Target="https://www.draftsharks.com/fantasy/points-outlook/bo-nix/34984" TargetMode="External"/><Relationship Id="rId97" Type="http://schemas.openxmlformats.org/officeDocument/2006/relationships/hyperlink" Target="https://www.draftsharks.com/fantasy/points-outlook/xavier-worthy/35021" TargetMode="External"/><Relationship Id="rId96" Type="http://schemas.openxmlformats.org/officeDocument/2006/relationships/hyperlink" Target="https://www.draftsharks.com/fantasy/points-outlook/patrick-mahomes/7746" TargetMode="External"/><Relationship Id="rId99" Type="http://schemas.openxmlformats.org/officeDocument/2006/relationships/hyperlink" Target="https://www.draftsharks.com/fantasy/points-outlook/jaylen-warren/13199" TargetMode="External"/><Relationship Id="rId98" Type="http://schemas.openxmlformats.org/officeDocument/2006/relationships/hyperlink" Target="https://www.draftsharks.com/fantasy/points-outlook/blake-corum/34990" TargetMode="External"/><Relationship Id="rId91" Type="http://schemas.openxmlformats.org/officeDocument/2006/relationships/hyperlink" Target="https://www.draftsharks.com/fantasy/points-outlook/george-kittle/9540" TargetMode="External"/><Relationship Id="rId90" Type="http://schemas.openxmlformats.org/officeDocument/2006/relationships/hyperlink" Target="https://www.draftsharks.com/fantasy/points-outlook/jordan-mason/13153" TargetMode="External"/><Relationship Id="rId93" Type="http://schemas.openxmlformats.org/officeDocument/2006/relationships/hyperlink" Target="https://www.draftsharks.com/fantasy/points-outlook/rico-dowdle/12103" TargetMode="External"/><Relationship Id="rId92" Type="http://schemas.openxmlformats.org/officeDocument/2006/relationships/hyperlink" Target="https://www.draftsharks.com/fantasy/points-outlook/chuba-hubbard/10766" TargetMode="External"/><Relationship Id="rId118" Type="http://schemas.openxmlformats.org/officeDocument/2006/relationships/hyperlink" Target="https://www.draftsharks.com/fantasy/points-outlook/josh-downs/13548" TargetMode="External"/><Relationship Id="rId239" Type="http://schemas.openxmlformats.org/officeDocument/2006/relationships/hyperlink" Target="https://www.draftsharks.com/fantasy/points-outlook/kaelon-black/36026" TargetMode="External"/><Relationship Id="rId117" Type="http://schemas.openxmlformats.org/officeDocument/2006/relationships/hyperlink" Target="https://www.draftsharks.com/fantasy/points-outlook/baker-mayfield/9960" TargetMode="External"/><Relationship Id="rId238" Type="http://schemas.openxmlformats.org/officeDocument/2006/relationships/hyperlink" Target="https://www.draftsharks.com/fantasy/points-outlook/tennessee-titans/3020" TargetMode="External"/><Relationship Id="rId116" Type="http://schemas.openxmlformats.org/officeDocument/2006/relationships/hyperlink" Target="https://www.draftsharks.com/fantasy/points-outlook/stefon-diggs/7280" TargetMode="External"/><Relationship Id="rId237" Type="http://schemas.openxmlformats.org/officeDocument/2006/relationships/hyperlink" Target="https://www.draftsharks.com/fantasy/points-outlook/new-orleans-saints/2688" TargetMode="External"/><Relationship Id="rId115" Type="http://schemas.openxmlformats.org/officeDocument/2006/relationships/hyperlink" Target="https://www.draftsharks.com/fantasy/points-outlook/matthew-golden/35515" TargetMode="External"/><Relationship Id="rId236" Type="http://schemas.openxmlformats.org/officeDocument/2006/relationships/hyperlink" Target="https://www.draftsharks.com/fantasy/points-outlook/najee-harris/10758" TargetMode="External"/><Relationship Id="rId119" Type="http://schemas.openxmlformats.org/officeDocument/2006/relationships/hyperlink" Target="https://www.draftsharks.com/fantasy/points-outlook/brandon-aubrey/16247" TargetMode="External"/><Relationship Id="rId110" Type="http://schemas.openxmlformats.org/officeDocument/2006/relationships/hyperlink" Target="https://www.draftsharks.com/fantasy/points-outlook/michael-pittman-jr-/10584" TargetMode="External"/><Relationship Id="rId231" Type="http://schemas.openxmlformats.org/officeDocument/2006/relationships/hyperlink" Target="https://www.draftsharks.com/fantasy/points-outlook/tyler-bass/10630" TargetMode="External"/><Relationship Id="rId230" Type="http://schemas.openxmlformats.org/officeDocument/2006/relationships/hyperlink" Target="https://www.draftsharks.com/fantasy/points-outlook/indianapolis-colts/1013" TargetMode="External"/><Relationship Id="rId114" Type="http://schemas.openxmlformats.org/officeDocument/2006/relationships/hyperlink" Target="https://www.draftsharks.com/fantasy/points-outlook/jordan-love/10489" TargetMode="External"/><Relationship Id="rId235" Type="http://schemas.openxmlformats.org/officeDocument/2006/relationships/hyperlink" Target="https://www.draftsharks.com/fantasy/points-outlook/jaylin-noel/35357" TargetMode="External"/><Relationship Id="rId113" Type="http://schemas.openxmlformats.org/officeDocument/2006/relationships/hyperlink" Target="https://www.draftsharks.com/fantasy/points-outlook/travis-kelce/6709" TargetMode="External"/><Relationship Id="rId234" Type="http://schemas.openxmlformats.org/officeDocument/2006/relationships/hyperlink" Target="https://www.draftsharks.com/fantasy/points-outlook/jake-moody/15551" TargetMode="External"/><Relationship Id="rId112" Type="http://schemas.openxmlformats.org/officeDocument/2006/relationships/hyperlink" Target="https://www.draftsharks.com/fantasy/points-outlook/makai-lemon/35948" TargetMode="External"/><Relationship Id="rId233" Type="http://schemas.openxmlformats.org/officeDocument/2006/relationships/hyperlink" Target="https://www.draftsharks.com/fantasy/points-outlook/jake-elliott/9541" TargetMode="External"/><Relationship Id="rId111" Type="http://schemas.openxmlformats.org/officeDocument/2006/relationships/hyperlink" Target="https://www.draftsharks.com/fantasy/points-outlook/tyler-shough/35510" TargetMode="External"/><Relationship Id="rId232" Type="http://schemas.openxmlformats.org/officeDocument/2006/relationships/hyperlink" Target="https://www.draftsharks.com/fantasy/points-outlook/justice-hill/10226" TargetMode="External"/><Relationship Id="rId305" Type="http://schemas.openxmlformats.org/officeDocument/2006/relationships/hyperlink" Target="https://www.draftsharks.com/fantasy/points-outlook/malachi-fields/35961" TargetMode="External"/><Relationship Id="rId304" Type="http://schemas.openxmlformats.org/officeDocument/2006/relationships/hyperlink" Target="https://www.draftsharks.com/fantasy/points-outlook/antonio-williams/35957" TargetMode="External"/><Relationship Id="rId303" Type="http://schemas.openxmlformats.org/officeDocument/2006/relationships/hyperlink" Target="https://www.draftsharks.com/fantasy/points-outlook/tory-horton/35349" TargetMode="External"/><Relationship Id="rId302" Type="http://schemas.openxmlformats.org/officeDocument/2006/relationships/hyperlink" Target="https://www.draftsharks.com/fantasy/points-outlook/marquise-brown/10204" TargetMode="External"/><Relationship Id="rId309" Type="http://schemas.openxmlformats.org/officeDocument/2006/relationships/hyperlink" Target="https://www.draftsharks.com/fantasy/points-outlook/a-j-dillon/10494" TargetMode="External"/><Relationship Id="rId308" Type="http://schemas.openxmlformats.org/officeDocument/2006/relationships/hyperlink" Target="https://www.draftsharks.com/fantasy/points-outlook/joe-mixon/7774" TargetMode="External"/><Relationship Id="rId307" Type="http://schemas.openxmlformats.org/officeDocument/2006/relationships/hyperlink" Target="https://www.draftsharks.com/fantasy/points-outlook/mason-taylor/35362" TargetMode="External"/><Relationship Id="rId306" Type="http://schemas.openxmlformats.org/officeDocument/2006/relationships/hyperlink" Target="https://www.draftsharks.com/fantasy/points-outlook/kyle-williams/35557" TargetMode="External"/><Relationship Id="rId301" Type="http://schemas.openxmlformats.org/officeDocument/2006/relationships/hyperlink" Target="https://www.draftsharks.com/fantasy/points-outlook/ted-hurst/35963" TargetMode="External"/><Relationship Id="rId300" Type="http://schemas.openxmlformats.org/officeDocument/2006/relationships/hyperlink" Target="https://www.draftsharks.com/fantasy/points-outlook/jack-bech/35352" TargetMode="External"/><Relationship Id="rId206" Type="http://schemas.openxmlformats.org/officeDocument/2006/relationships/hyperlink" Target="https://www.draftsharks.com/fantasy/points-outlook/buffalo-bills/841" TargetMode="External"/><Relationship Id="rId327" Type="http://schemas.openxmlformats.org/officeDocument/2006/relationships/drawing" Target="../drawings/drawing5.xml"/><Relationship Id="rId205" Type="http://schemas.openxmlformats.org/officeDocument/2006/relationships/hyperlink" Target="https://www.draftsharks.com/fantasy/points-outlook/chicago-bears/646" TargetMode="External"/><Relationship Id="rId326" Type="http://schemas.openxmlformats.org/officeDocument/2006/relationships/hyperlink" Target="https://www.draftsharks.com/fantasy/points-outlook/riley-patterson/10900" TargetMode="External"/><Relationship Id="rId204" Type="http://schemas.openxmlformats.org/officeDocument/2006/relationships/hyperlink" Target="https://www.draftsharks.com/fantasy/points-outlook/sean-tucker/13568" TargetMode="External"/><Relationship Id="rId325" Type="http://schemas.openxmlformats.org/officeDocument/2006/relationships/hyperlink" Target="https://www.draftsharks.com/fantasy/points-outlook/younghoe-koo/9932" TargetMode="External"/><Relationship Id="rId203" Type="http://schemas.openxmlformats.org/officeDocument/2006/relationships/hyperlink" Target="https://www.draftsharks.com/fantasy/points-outlook/jerry-jeudy/10598" TargetMode="External"/><Relationship Id="rId324" Type="http://schemas.openxmlformats.org/officeDocument/2006/relationships/hyperlink" Target="https://www.draftsharks.com/fantasy/points-outlook/spencer-shrader/35208" TargetMode="External"/><Relationship Id="rId209" Type="http://schemas.openxmlformats.org/officeDocument/2006/relationships/hyperlink" Target="https://www.draftsharks.com/fantasy/points-outlook/andres-borregales/35588" TargetMode="External"/><Relationship Id="rId208" Type="http://schemas.openxmlformats.org/officeDocument/2006/relationships/hyperlink" Target="https://www.draftsharks.com/fantasy/points-outlook/bryce-young/13540" TargetMode="External"/><Relationship Id="rId207" Type="http://schemas.openxmlformats.org/officeDocument/2006/relationships/hyperlink" Target="https://www.draftsharks.com/fantasy/points-outlook/nicholas-singleton/35929" TargetMode="External"/><Relationship Id="rId202" Type="http://schemas.openxmlformats.org/officeDocument/2006/relationships/hyperlink" Target="https://www.draftsharks.com/fantasy/points-outlook/t-j-hockenson/10223" TargetMode="External"/><Relationship Id="rId323" Type="http://schemas.openxmlformats.org/officeDocument/2006/relationships/hyperlink" Target="https://www.draftsharks.com/fantasy/points-outlook/ty-simpson/35918" TargetMode="External"/><Relationship Id="rId201" Type="http://schemas.openxmlformats.org/officeDocument/2006/relationships/hyperlink" Target="https://www.draftsharks.com/fantasy/points-outlook/mike-washington-jr-/35935" TargetMode="External"/><Relationship Id="rId322" Type="http://schemas.openxmlformats.org/officeDocument/2006/relationships/hyperlink" Target="https://www.draftsharks.com/fantasy/points-outlook/j-j-mccarthy/34985" TargetMode="External"/><Relationship Id="rId200" Type="http://schemas.openxmlformats.org/officeDocument/2006/relationships/hyperlink" Target="https://www.draftsharks.com/fantasy/points-outlook/rashod-bateman/10776" TargetMode="External"/><Relationship Id="rId321" Type="http://schemas.openxmlformats.org/officeDocument/2006/relationships/hyperlink" Target="https://www.draftsharks.com/fantasy/points-outlook/blake-grupe/14344" TargetMode="External"/><Relationship Id="rId320" Type="http://schemas.openxmlformats.org/officeDocument/2006/relationships/hyperlink" Target="https://www.draftsharks.com/fantasy/points-outlook/chris-brazzell-ii/35956" TargetMode="External"/><Relationship Id="rId316" Type="http://schemas.openxmlformats.org/officeDocument/2006/relationships/hyperlink" Target="https://www.draftsharks.com/fantasy/points-outlook/jake-tonges/35877" TargetMode="External"/><Relationship Id="rId315" Type="http://schemas.openxmlformats.org/officeDocument/2006/relationships/hyperlink" Target="https://www.draftsharks.com/fantasy/points-outlook/chad-ryland/14293" TargetMode="External"/><Relationship Id="rId314" Type="http://schemas.openxmlformats.org/officeDocument/2006/relationships/hyperlink" Target="https://www.draftsharks.com/fantasy/points-outlook/demario-douglas/13766" TargetMode="External"/><Relationship Id="rId313" Type="http://schemas.openxmlformats.org/officeDocument/2006/relationships/hyperlink" Target="https://www.draftsharks.com/fantasy/points-outlook/chimere-dike/35563" TargetMode="External"/><Relationship Id="rId319" Type="http://schemas.openxmlformats.org/officeDocument/2006/relationships/hyperlink" Target="https://www.draftsharks.com/fantasy/points-outlook/michael-trigg/35979" TargetMode="External"/><Relationship Id="rId318" Type="http://schemas.openxmlformats.org/officeDocument/2006/relationships/hyperlink" Target="https://www.draftsharks.com/fantasy/points-outlook/theo-wease-jr-/35769" TargetMode="External"/><Relationship Id="rId317" Type="http://schemas.openxmlformats.org/officeDocument/2006/relationships/hyperlink" Target="https://www.draftsharks.com/fantasy/points-outlook/john-metchie/12602" TargetMode="External"/><Relationship Id="rId312" Type="http://schemas.openxmlformats.org/officeDocument/2006/relationships/hyperlink" Target="https://www.draftsharks.com/fantasy/points-outlook/theo-johnson/35010" TargetMode="External"/><Relationship Id="rId311" Type="http://schemas.openxmlformats.org/officeDocument/2006/relationships/hyperlink" Target="https://www.draftsharks.com/fantasy/points-outlook/max-klare/35975" TargetMode="External"/><Relationship Id="rId310" Type="http://schemas.openxmlformats.org/officeDocument/2006/relationships/hyperlink" Target="https://www.draftsharks.com/fantasy/points-outlook/christian-kirk/9969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bssports.com/nfl/players/3174704/tyler-loop/fantasy/" TargetMode="External"/><Relationship Id="rId194" Type="http://schemas.openxmlformats.org/officeDocument/2006/relationships/hyperlink" Target="https://www.cbssports.com/nfl/players/2006951/cooper-kupp/fantasy/" TargetMode="External"/><Relationship Id="rId193" Type="http://schemas.openxmlformats.org/officeDocument/2006/relationships/hyperlink" Target="https://www.cbssports.com/nfl/players/2136748/dalton-schultz/fantasy/" TargetMode="External"/><Relationship Id="rId192" Type="http://schemas.openxmlformats.org/officeDocument/2006/relationships/hyperlink" Target="https://www.cbssports.com/nfl/players/2975590/tyler-allgeier/fantasy/" TargetMode="External"/><Relationship Id="rId191" Type="http://schemas.openxmlformats.org/officeDocument/2006/relationships/hyperlink" Target="https://www.cbssports.com/nfl/players/3162619/harrison-mevis/fantasy/" TargetMode="External"/><Relationship Id="rId187" Type="http://schemas.openxmlformats.org/officeDocument/2006/relationships/hyperlink" Target="https://www.cbssports.com/nfl/players/2132690/cairo-santos/fantasy/" TargetMode="External"/><Relationship Id="rId186" Type="http://schemas.openxmlformats.org/officeDocument/2006/relationships/hyperlink" Target="https://www.cbssports.com/nfl/players/3169283/aj-barner/fantasy/" TargetMode="External"/><Relationship Id="rId185" Type="http://schemas.openxmlformats.org/officeDocument/2006/relationships/hyperlink" Target="https://www.cbssports.com/nfl/players/2815179/cade-otton/fantasy/" TargetMode="External"/><Relationship Id="rId184" Type="http://schemas.openxmlformats.org/officeDocument/2006/relationships/hyperlink" Target="https://www.cbssports.com/nfl/players/2741201/jerry-jeudy/fantasy/" TargetMode="External"/><Relationship Id="rId189" Type="http://schemas.openxmlformats.org/officeDocument/2006/relationships/hyperlink" Target="https://www.cbssports.com/nfl/players/28875227/jaydon-blue/fantasy/" TargetMode="External"/><Relationship Id="rId188" Type="http://schemas.openxmlformats.org/officeDocument/2006/relationships/hyperlink" Target="https://www.cbssports.com/nfl/players/1930/browns/fantasy/" TargetMode="External"/><Relationship Id="rId183" Type="http://schemas.openxmlformats.org/officeDocument/2006/relationships/hyperlink" Target="https://www.cbssports.com/nfl/players/29125433/kenyon-sadiq/fantasy/" TargetMode="External"/><Relationship Id="rId182" Type="http://schemas.openxmlformats.org/officeDocument/2006/relationships/hyperlink" Target="https://www.cbssports.com/nfl/players/1913/jaguars/fantasy/" TargetMode="External"/><Relationship Id="rId181" Type="http://schemas.openxmlformats.org/officeDocument/2006/relationships/hyperlink" Target="https://www.cbssports.com/nfl/players/2962681/evan-mcpherson/fantasy/" TargetMode="External"/><Relationship Id="rId180" Type="http://schemas.openxmlformats.org/officeDocument/2006/relationships/hyperlink" Target="https://www.cbssports.com/nfl/players/29104952/emanuel-wilson/fantasy/" TargetMode="External"/><Relationship Id="rId176" Type="http://schemas.openxmlformats.org/officeDocument/2006/relationships/hyperlink" Target="https://www.cbssports.com/nfl/players/28916212/jordan-james/fantasy/" TargetMode="External"/><Relationship Id="rId175" Type="http://schemas.openxmlformats.org/officeDocument/2006/relationships/hyperlink" Target="https://www.cbssports.com/nfl/players/2180514/jauan-jennings/fantasy/" TargetMode="External"/><Relationship Id="rId174" Type="http://schemas.openxmlformats.org/officeDocument/2006/relationships/hyperlink" Target="https://www.cbssports.com/nfl/players/410721/nick-folk/fantasy/" TargetMode="External"/><Relationship Id="rId173" Type="http://schemas.openxmlformats.org/officeDocument/2006/relationships/hyperlink" Target="https://www.cbssports.com/nfl/players/2186637/juwan-johnson/fantasy/" TargetMode="External"/><Relationship Id="rId179" Type="http://schemas.openxmlformats.org/officeDocument/2006/relationships/hyperlink" Target="https://www.cbssports.com/nfl/players/2165272/chase-mclaughlin/fantasy/" TargetMode="External"/><Relationship Id="rId178" Type="http://schemas.openxmlformats.org/officeDocument/2006/relationships/hyperlink" Target="https://www.cbssports.com/nfl/players/3131541/spencer-shrader/fantasy/" TargetMode="External"/><Relationship Id="rId177" Type="http://schemas.openxmlformats.org/officeDocument/2006/relationships/hyperlink" Target="https://www.cbssports.com/nfl/players/3164710/keaton-mitchell/fantasy/" TargetMode="External"/><Relationship Id="rId198" Type="http://schemas.openxmlformats.org/officeDocument/2006/relationships/hyperlink" Target="https://www.cbssports.com/nfl/players/2773009/malik-davis/fantasy/" TargetMode="External"/><Relationship Id="rId197" Type="http://schemas.openxmlformats.org/officeDocument/2006/relationships/hyperlink" Target="https://www.cbssports.com/nfl/players/28912068/dylan-sampson/fantasy/" TargetMode="External"/><Relationship Id="rId196" Type="http://schemas.openxmlformats.org/officeDocument/2006/relationships/hyperlink" Target="https://www.cbssports.com/nfl/players/1917/saints/fantasy/" TargetMode="External"/><Relationship Id="rId195" Type="http://schemas.openxmlformats.org/officeDocument/2006/relationships/hyperlink" Target="https://www.cbssports.com/nfl/players/1908/cowboys/fantasy/" TargetMode="External"/><Relationship Id="rId199" Type="http://schemas.openxmlformats.org/officeDocument/2006/relationships/hyperlink" Target="https://www.cbssports.com/nfl/players/1904/bills/fantasy/" TargetMode="External"/><Relationship Id="rId150" Type="http://schemas.openxmlformats.org/officeDocument/2006/relationships/hyperlink" Target="https://www.cbssports.com/nfl/players/3121696/brenton-strange/fantasy/" TargetMode="External"/><Relationship Id="rId1" Type="http://schemas.openxmlformats.org/officeDocument/2006/relationships/hyperlink" Target="https://www.cbssports.com/nfl/players/3162723/jahmyr-gibbs/fantasy/" TargetMode="External"/><Relationship Id="rId2" Type="http://schemas.openxmlformats.org/officeDocument/2006/relationships/hyperlink" Target="https://www.cbssports.com/nfl/players/3168163/bijan-robinson/fantasy/" TargetMode="External"/><Relationship Id="rId3" Type="http://schemas.openxmlformats.org/officeDocument/2006/relationships/hyperlink" Target="https://www.cbssports.com/nfl/players/2866395/jonathan-taylor/fantasy/" TargetMode="External"/><Relationship Id="rId149" Type="http://schemas.openxmlformats.org/officeDocument/2006/relationships/hyperlink" Target="https://www.cbssports.com/nfl/players/2741207/brian-robinson-jr/fantasy/" TargetMode="External"/><Relationship Id="rId4" Type="http://schemas.openxmlformats.org/officeDocument/2006/relationships/hyperlink" Target="https://www.cbssports.com/nfl/players/2061188/derrick-henry/fantasy/" TargetMode="External"/><Relationship Id="rId148" Type="http://schemas.openxmlformats.org/officeDocument/2006/relationships/hyperlink" Target="https://www.cbssports.com/nfl/players/3171045/woody-marks/fantasy/" TargetMode="External"/><Relationship Id="rId9" Type="http://schemas.openxmlformats.org/officeDocument/2006/relationships/hyperlink" Target="https://www.cbssports.com/nfl/players/3171161/devon-achane/fantasy/" TargetMode="External"/><Relationship Id="rId143" Type="http://schemas.openxmlformats.org/officeDocument/2006/relationships/hyperlink" Target="https://www.cbssports.com/nfl/players/2961997/cameron-dicker/fantasy/" TargetMode="External"/><Relationship Id="rId142" Type="http://schemas.openxmlformats.org/officeDocument/2006/relationships/hyperlink" Target="https://www.cbssports.com/nfl/players/2240188/michael-pittman/fantasy/" TargetMode="External"/><Relationship Id="rId141" Type="http://schemas.openxmlformats.org/officeDocument/2006/relationships/hyperlink" Target="https://www.cbssports.com/nfl/players/29123772/makai-lemon/fantasy/" TargetMode="External"/><Relationship Id="rId140" Type="http://schemas.openxmlformats.org/officeDocument/2006/relationships/hyperlink" Target="https://www.cbssports.com/nfl/players/3163079/cj-stroud/fantasy/" TargetMode="External"/><Relationship Id="rId5" Type="http://schemas.openxmlformats.org/officeDocument/2006/relationships/hyperlink" Target="https://www.cbssports.com/nfl/players/3121687/puka-nacua/fantasy/" TargetMode="External"/><Relationship Id="rId147" Type="http://schemas.openxmlformats.org/officeDocument/2006/relationships/hyperlink" Target="https://www.cbssports.com/nfl/players/1922/steelers/fantasy/" TargetMode="External"/><Relationship Id="rId6" Type="http://schemas.openxmlformats.org/officeDocument/2006/relationships/hyperlink" Target="https://www.cbssports.com/nfl/players/2136743/christian-mccaffrey/fantasy/" TargetMode="External"/><Relationship Id="rId146" Type="http://schemas.openxmlformats.org/officeDocument/2006/relationships/hyperlink" Target="https://www.cbssports.com/nfl/players/1902/falcons/fantasy/" TargetMode="External"/><Relationship Id="rId7" Type="http://schemas.openxmlformats.org/officeDocument/2006/relationships/hyperlink" Target="https://www.cbssports.com/nfl/players/2966320/jamarr-chase/fantasy/" TargetMode="External"/><Relationship Id="rId145" Type="http://schemas.openxmlformats.org/officeDocument/2006/relationships/hyperlink" Target="https://www.cbssports.com/nfl/players/2250863/rashid-shaheed/fantasy/" TargetMode="External"/><Relationship Id="rId8" Type="http://schemas.openxmlformats.org/officeDocument/2006/relationships/hyperlink" Target="https://www.cbssports.com/nfl/players/2975698/james-cook/fantasy/" TargetMode="External"/><Relationship Id="rId144" Type="http://schemas.openxmlformats.org/officeDocument/2006/relationships/hyperlink" Target="https://www.cbssports.com/nfl/players/2180320/sam-darnold/fantasy/" TargetMode="External"/><Relationship Id="rId139" Type="http://schemas.openxmlformats.org/officeDocument/2006/relationships/hyperlink" Target="https://www.cbssports.com/nfl/players/2180829/kyler-murray/fantasy/" TargetMode="External"/><Relationship Id="rId138" Type="http://schemas.openxmlformats.org/officeDocument/2006/relationships/hyperlink" Target="https://www.cbssports.com/nfl/players/2963637/tyrone-tracy-jr/fantasy/" TargetMode="External"/><Relationship Id="rId137" Type="http://schemas.openxmlformats.org/officeDocument/2006/relationships/hyperlink" Target="https://www.cbssports.com/nfl/players/2964667/chris-rodriguez-jr/fantasy/" TargetMode="External"/><Relationship Id="rId132" Type="http://schemas.openxmlformats.org/officeDocument/2006/relationships/hyperlink" Target="https://www.cbssports.com/nfl/players/2080032/baker-mayfield/fantasy/" TargetMode="External"/><Relationship Id="rId131" Type="http://schemas.openxmlformats.org/officeDocument/2006/relationships/hyperlink" Target="https://www.cbssports.com/nfl/players/2082721/alvin-kamara/fantasy/" TargetMode="External"/><Relationship Id="rId130" Type="http://schemas.openxmlformats.org/officeDocument/2006/relationships/hyperlink" Target="https://www.cbssports.com/nfl/players/1996562/kaimi-fairbairn/fantasy/" TargetMode="External"/><Relationship Id="rId136" Type="http://schemas.openxmlformats.org/officeDocument/2006/relationships/hyperlink" Target="https://www.cbssports.com/nfl/players/3123810/zach-charbonnet/fantasy/" TargetMode="External"/><Relationship Id="rId135" Type="http://schemas.openxmlformats.org/officeDocument/2006/relationships/hyperlink" Target="https://www.cbssports.com/nfl/players/2179245/daniel-jones/fantasy/" TargetMode="External"/><Relationship Id="rId134" Type="http://schemas.openxmlformats.org/officeDocument/2006/relationships/hyperlink" Target="https://www.cbssports.com/nfl/players/1931/patriots/fantasy/" TargetMode="External"/><Relationship Id="rId133" Type="http://schemas.openxmlformats.org/officeDocument/2006/relationships/hyperlink" Target="https://www.cbssports.com/nfl/players/3121193/bo-nix/fantasy/" TargetMode="External"/><Relationship Id="rId172" Type="http://schemas.openxmlformats.org/officeDocument/2006/relationships/hyperlink" Target="https://www.cbssports.com/nfl/players/29123718/kc-concepcion/fantasy/" TargetMode="External"/><Relationship Id="rId171" Type="http://schemas.openxmlformats.org/officeDocument/2006/relationships/hyperlink" Target="https://www.cbssports.com/nfl/players/2876348/blake-grupe/fantasy/" TargetMode="External"/><Relationship Id="rId170" Type="http://schemas.openxmlformats.org/officeDocument/2006/relationships/hyperlink" Target="https://www.cbssports.com/nfl/players/2186328/calvin-ridley/fantasy/" TargetMode="External"/><Relationship Id="rId165" Type="http://schemas.openxmlformats.org/officeDocument/2006/relationships/hyperlink" Target="https://www.cbssports.com/nfl/players/3163990/jalen-coker/fantasy/" TargetMode="External"/><Relationship Id="rId164" Type="http://schemas.openxmlformats.org/officeDocument/2006/relationships/hyperlink" Target="https://www.cbssports.com/nfl/players/3122588/tyjae-spears/fantasy/" TargetMode="External"/><Relationship Id="rId163" Type="http://schemas.openxmlformats.org/officeDocument/2006/relationships/hyperlink" Target="https://www.cbssports.com/nfl/players/1910/lions/fantasy/" TargetMode="External"/><Relationship Id="rId162" Type="http://schemas.openxmlformats.org/officeDocument/2006/relationships/hyperlink" Target="https://www.cbssports.com/nfl/players/26702477/cam-little/fantasy/" TargetMode="External"/><Relationship Id="rId169" Type="http://schemas.openxmlformats.org/officeDocument/2006/relationships/hyperlink" Target="https://www.cbssports.com/nfl/players/2139735/deebo-samuel/fantasy/" TargetMode="External"/><Relationship Id="rId168" Type="http://schemas.openxmlformats.org/officeDocument/2006/relationships/hyperlink" Target="https://www.cbssports.com/nfl/players/3173439/jake-bates/fantasy/" TargetMode="External"/><Relationship Id="rId167" Type="http://schemas.openxmlformats.org/officeDocument/2006/relationships/hyperlink" Target="https://www.cbssports.com/nfl/players/2967762/jayden-reed/fantasy/" TargetMode="External"/><Relationship Id="rId166" Type="http://schemas.openxmlformats.org/officeDocument/2006/relationships/hyperlink" Target="https://www.cbssports.com/nfl/players/28878514/adam-randall/fantasy/" TargetMode="External"/><Relationship Id="rId161" Type="http://schemas.openxmlformats.org/officeDocument/2006/relationships/hyperlink" Target="https://www.cbssports.com/nfl/players/2804167/malik-willis/fantasy/" TargetMode="External"/><Relationship Id="rId160" Type="http://schemas.openxmlformats.org/officeDocument/2006/relationships/hyperlink" Target="https://www.cbssports.com/nfl/players/3124276/theo-wease-jr/fantasy/" TargetMode="External"/><Relationship Id="rId159" Type="http://schemas.openxmlformats.org/officeDocument/2006/relationships/hyperlink" Target="https://www.cbssports.com/nfl/players/2079848/hunter-henry/fantasy/" TargetMode="External"/><Relationship Id="rId154" Type="http://schemas.openxmlformats.org/officeDocument/2006/relationships/hyperlink" Target="https://www.cbssports.com/nfl/players/1924/chargers/fantasy/" TargetMode="External"/><Relationship Id="rId153" Type="http://schemas.openxmlformats.org/officeDocument/2006/relationships/hyperlink" Target="https://www.cbssports.com/nfl/players/2961886/romeo-doubs/fantasy/" TargetMode="External"/><Relationship Id="rId152" Type="http://schemas.openxmlformats.org/officeDocument/2006/relationships/hyperlink" Target="https://www.cbssports.com/nfl/players/2078888/harrison-butker/fantasy/" TargetMode="External"/><Relationship Id="rId151" Type="http://schemas.openxmlformats.org/officeDocument/2006/relationships/hyperlink" Target="https://www.cbssports.com/nfl/players/1903/ravens/fantasy/" TargetMode="External"/><Relationship Id="rId158" Type="http://schemas.openxmlformats.org/officeDocument/2006/relationships/hyperlink" Target="https://www.cbssports.com/nfl/players/2963970/tank-dell/fantasy/" TargetMode="External"/><Relationship Id="rId157" Type="http://schemas.openxmlformats.org/officeDocument/2006/relationships/hyperlink" Target="https://www.cbssports.com/nfl/players/26730787/xavier-worthy/fantasy/" TargetMode="External"/><Relationship Id="rId156" Type="http://schemas.openxmlformats.org/officeDocument/2006/relationships/hyperlink" Target="https://www.cbssports.com/nfl/players/2969119/khalil-shakir/fantasy/" TargetMode="External"/><Relationship Id="rId155" Type="http://schemas.openxmlformats.org/officeDocument/2006/relationships/hyperlink" Target="https://www.cbssports.com/nfl/players/1877247/jacoby-brissett/fantasy/" TargetMode="External"/><Relationship Id="rId40" Type="http://schemas.openxmlformats.org/officeDocument/2006/relationships/hyperlink" Target="https://www.cbssports.com/nfl/players/26693971/brock-bowers/fantasy/" TargetMode="External"/><Relationship Id="rId42" Type="http://schemas.openxmlformats.org/officeDocument/2006/relationships/hyperlink" Target="https://www.cbssports.com/nfl/players/2809208/tee-higgins/fantasy/" TargetMode="External"/><Relationship Id="rId41" Type="http://schemas.openxmlformats.org/officeDocument/2006/relationships/hyperlink" Target="https://www.cbssports.com/nfl/players/26732838/bhayshul-tuten/fantasy/" TargetMode="External"/><Relationship Id="rId44" Type="http://schemas.openxmlformats.org/officeDocument/2006/relationships/hyperlink" Target="https://www.cbssports.com/nfl/players/28878286/quinshon-judkins/fantasy/" TargetMode="External"/><Relationship Id="rId43" Type="http://schemas.openxmlformats.org/officeDocument/2006/relationships/hyperlink" Target="https://www.cbssports.com/nfl/players/2809206/travis-etienne/fantasy/" TargetMode="External"/><Relationship Id="rId46" Type="http://schemas.openxmlformats.org/officeDocument/2006/relationships/hyperlink" Target="https://www.cbssports.com/nfl/players/28875230/jadarian-price/fantasy/" TargetMode="External"/><Relationship Id="rId45" Type="http://schemas.openxmlformats.org/officeDocument/2006/relationships/hyperlink" Target="https://www.cbssports.com/nfl/players/3127049/zay-flowers/fantasy/" TargetMode="External"/><Relationship Id="rId48" Type="http://schemas.openxmlformats.org/officeDocument/2006/relationships/hyperlink" Target="https://www.cbssports.com/nfl/players/26696165/emeka-egbuka/fantasy/" TargetMode="External"/><Relationship Id="rId47" Type="http://schemas.openxmlformats.org/officeDocument/2006/relationships/hyperlink" Target="https://www.cbssports.com/nfl/players/3123337/jayden-daniels/fantasy/" TargetMode="External"/><Relationship Id="rId49" Type="http://schemas.openxmlformats.org/officeDocument/2006/relationships/hyperlink" Target="https://www.cbssports.com/nfl/players/2240246/jalen-hurts/fantasy/" TargetMode="External"/><Relationship Id="rId31" Type="http://schemas.openxmlformats.org/officeDocument/2006/relationships/hyperlink" Target="https://www.cbssports.com/nfl/players/29133405/jeremiyah-love/fantasy/" TargetMode="External"/><Relationship Id="rId30" Type="http://schemas.openxmlformats.org/officeDocument/2006/relationships/hyperlink" Target="https://www.cbssports.com/nfl/players/2871343/justin-jefferson/fantasy/" TargetMode="External"/><Relationship Id="rId33" Type="http://schemas.openxmlformats.org/officeDocument/2006/relationships/hyperlink" Target="https://www.cbssports.com/nfl/players/3123469/breece-hall/fantasy/" TargetMode="External"/><Relationship Id="rId32" Type="http://schemas.openxmlformats.org/officeDocument/2006/relationships/hyperlink" Target="https://www.cbssports.com/nfl/players/2871710/dandre-swift/fantasy/" TargetMode="External"/><Relationship Id="rId35" Type="http://schemas.openxmlformats.org/officeDocument/2006/relationships/hyperlink" Target="https://www.cbssports.com/nfl/players/2963666/chris-olave/fantasy/" TargetMode="External"/><Relationship Id="rId34" Type="http://schemas.openxmlformats.org/officeDocument/2006/relationships/hyperlink" Target="https://www.cbssports.com/nfl/players/2179798/joe-burrow/fantasy/" TargetMode="External"/><Relationship Id="rId37" Type="http://schemas.openxmlformats.org/officeDocument/2006/relationships/hyperlink" Target="https://www.cbssports.com/nfl/players/26695757/drake-maye/fantasy/" TargetMode="External"/><Relationship Id="rId36" Type="http://schemas.openxmlformats.org/officeDocument/2006/relationships/hyperlink" Target="https://www.cbssports.com/nfl/players/2963385/trey-mcbride/fantasy/" TargetMode="External"/><Relationship Id="rId39" Type="http://schemas.openxmlformats.org/officeDocument/2006/relationships/hyperlink" Target="https://www.cbssports.com/nfl/players/26693770/bucky-irving/fantasy/" TargetMode="External"/><Relationship Id="rId38" Type="http://schemas.openxmlformats.org/officeDocument/2006/relationships/hyperlink" Target="https://www.cbssports.com/nfl/players/26697761/malik-nabers/fantasy/" TargetMode="External"/><Relationship Id="rId20" Type="http://schemas.openxmlformats.org/officeDocument/2006/relationships/hyperlink" Target="https://www.cbssports.com/nfl/players/3124978/rashee-rice/fantasy/" TargetMode="External"/><Relationship Id="rId22" Type="http://schemas.openxmlformats.org/officeDocument/2006/relationships/hyperlink" Target="https://www.cbssports.com/nfl/players/26697012/cam-skattebo/fantasy/" TargetMode="External"/><Relationship Id="rId21" Type="http://schemas.openxmlformats.org/officeDocument/2006/relationships/hyperlink" Target="https://www.cbssports.com/nfl/players/2865251/ceedee-lamb/fantasy/" TargetMode="External"/><Relationship Id="rId24" Type="http://schemas.openxmlformats.org/officeDocument/2006/relationships/hyperlink" Target="https://www.cbssports.com/nfl/players/3123212/george-pickens/fantasy/" TargetMode="External"/><Relationship Id="rId23" Type="http://schemas.openxmlformats.org/officeDocument/2006/relationships/hyperlink" Target="https://www.cbssports.com/nfl/players/3121372/kenneth-walker-iii/fantasy/" TargetMode="External"/><Relationship Id="rId26" Type="http://schemas.openxmlformats.org/officeDocument/2006/relationships/hyperlink" Target="https://www.cbssports.com/nfl/players/2181169/lamar-jackson/fantasy/" TargetMode="External"/><Relationship Id="rId25" Type="http://schemas.openxmlformats.org/officeDocument/2006/relationships/hyperlink" Target="https://www.cbssports.com/nfl/players/2258303/aj-brown/fantasy/" TargetMode="External"/><Relationship Id="rId28" Type="http://schemas.openxmlformats.org/officeDocument/2006/relationships/hyperlink" Target="https://www.cbssports.com/nfl/players/2878193/nico-collins/fantasy/" TargetMode="External"/><Relationship Id="rId27" Type="http://schemas.openxmlformats.org/officeDocument/2006/relationships/hyperlink" Target="https://www.cbssports.com/nfl/players/2961719/javonte-williams/fantasy/" TargetMode="External"/><Relationship Id="rId29" Type="http://schemas.openxmlformats.org/officeDocument/2006/relationships/hyperlink" Target="https://www.cbssports.com/nfl/players/1824864/dak-prescott/fantasy/" TargetMode="External"/><Relationship Id="rId11" Type="http://schemas.openxmlformats.org/officeDocument/2006/relationships/hyperlink" Target="https://www.cbssports.com/nfl/players/28874008/ashton-jeanty/fantasy/" TargetMode="External"/><Relationship Id="rId10" Type="http://schemas.openxmlformats.org/officeDocument/2006/relationships/hyperlink" Target="https://www.cbssports.com/nfl/players/3162959/jaxon-smith-njigba/fantasy/" TargetMode="External"/><Relationship Id="rId13" Type="http://schemas.openxmlformats.org/officeDocument/2006/relationships/hyperlink" Target="https://www.cbssports.com/nfl/players/2185957/saquon-barkley/fantasy/" TargetMode="External"/><Relationship Id="rId12" Type="http://schemas.openxmlformats.org/officeDocument/2006/relationships/hyperlink" Target="https://www.cbssports.com/nfl/players/2181054/josh-allen/fantasy/" TargetMode="External"/><Relationship Id="rId15" Type="http://schemas.openxmlformats.org/officeDocument/2006/relationships/hyperlink" Target="https://www.cbssports.com/nfl/players/2967690/amon-ra-st-brown/fantasy/" TargetMode="External"/><Relationship Id="rId14" Type="http://schemas.openxmlformats.org/officeDocument/2006/relationships/hyperlink" Target="https://www.cbssports.com/nfl/players/2965160/chase-brown/fantasy/" TargetMode="External"/><Relationship Id="rId17" Type="http://schemas.openxmlformats.org/officeDocument/2006/relationships/hyperlink" Target="https://www.cbssports.com/nfl/players/3121836/kyren-williams/fantasy/" TargetMode="External"/><Relationship Id="rId16" Type="http://schemas.openxmlformats.org/officeDocument/2006/relationships/hyperlink" Target="https://www.cbssports.com/nfl/players/2257876/josh-jacobs/fantasy/" TargetMode="External"/><Relationship Id="rId19" Type="http://schemas.openxmlformats.org/officeDocument/2006/relationships/hyperlink" Target="https://www.cbssports.com/nfl/players/28908905/omarion-hampton/fantasy/" TargetMode="External"/><Relationship Id="rId18" Type="http://schemas.openxmlformats.org/officeDocument/2006/relationships/hyperlink" Target="https://www.cbssports.com/nfl/players/3127902/drake-london/fantasy/" TargetMode="External"/><Relationship Id="rId84" Type="http://schemas.openxmlformats.org/officeDocument/2006/relationships/hyperlink" Target="https://www.cbssports.com/nfl/players/3126535/jaylen-warren/fantasy/" TargetMode="External"/><Relationship Id="rId83" Type="http://schemas.openxmlformats.org/officeDocument/2006/relationships/hyperlink" Target="https://www.cbssports.com/nfl/players/2061053/jared-goff/fantasy/" TargetMode="External"/><Relationship Id="rId86" Type="http://schemas.openxmlformats.org/officeDocument/2006/relationships/hyperlink" Target="https://www.cbssports.com/nfl/players/2818265/george-kittle/fantasy/" TargetMode="External"/><Relationship Id="rId85" Type="http://schemas.openxmlformats.org/officeDocument/2006/relationships/hyperlink" Target="https://www.cbssports.com/nfl/players/2962110/jaylen-waddle/fantasy/" TargetMode="External"/><Relationship Id="rId88" Type="http://schemas.openxmlformats.org/officeDocument/2006/relationships/hyperlink" Target="https://www.cbssports.com/nfl/players/3126952/jacory-croskey-merritt/fantasy/" TargetMode="External"/><Relationship Id="rId87" Type="http://schemas.openxmlformats.org/officeDocument/2006/relationships/hyperlink" Target="https://www.cbssports.com/nfl/players/1909/broncos/fantasy/" TargetMode="External"/><Relationship Id="rId89" Type="http://schemas.openxmlformats.org/officeDocument/2006/relationships/hyperlink" Target="https://www.cbssports.com/nfl/players/2869806/christian-watson/fantasy/" TargetMode="External"/><Relationship Id="rId80" Type="http://schemas.openxmlformats.org/officeDocument/2006/relationships/hyperlink" Target="https://www.cbssports.com/nfl/players/2964514/kyle-pitts/fantasy/" TargetMode="External"/><Relationship Id="rId82" Type="http://schemas.openxmlformats.org/officeDocument/2006/relationships/hyperlink" Target="https://www.cbssports.com/nfl/players/3125832/rhamondre-stevenson/fantasy/" TargetMode="External"/><Relationship Id="rId81" Type="http://schemas.openxmlformats.org/officeDocument/2006/relationships/hyperlink" Target="https://www.cbssports.com/nfl/players/28874927/matthew-golden/fantasy/" TargetMode="External"/><Relationship Id="rId73" Type="http://schemas.openxmlformats.org/officeDocument/2006/relationships/hyperlink" Target="https://www.cbssports.com/nfl/players/1824909/mike-evans/fantasy/" TargetMode="External"/><Relationship Id="rId72" Type="http://schemas.openxmlformats.org/officeDocument/2006/relationships/hyperlink" Target="https://www.cbssports.com/nfl/players/2221960/justin-herbert/fantasy/" TargetMode="External"/><Relationship Id="rId75" Type="http://schemas.openxmlformats.org/officeDocument/2006/relationships/hyperlink" Target="https://www.cbssports.com/nfl/players/26694019/jaxson-dart/fantasy/" TargetMode="External"/><Relationship Id="rId74" Type="http://schemas.openxmlformats.org/officeDocument/2006/relationships/hyperlink" Target="https://www.cbssports.com/nfl/players/3133332/tucker-kraft/fantasy/" TargetMode="External"/><Relationship Id="rId77" Type="http://schemas.openxmlformats.org/officeDocument/2006/relationships/hyperlink" Target="https://www.cbssports.com/nfl/players/2142052/patrick-mahomes/fantasy/" TargetMode="External"/><Relationship Id="rId76" Type="http://schemas.openxmlformats.org/officeDocument/2006/relationships/hyperlink" Target="https://www.cbssports.com/nfl/players/2184011/tony-pollard/fantasy/" TargetMode="External"/><Relationship Id="rId79" Type="http://schemas.openxmlformats.org/officeDocument/2006/relationships/hyperlink" Target="https://www.cbssports.com/nfl/players/2967185/trevor-lawrence/fantasy/" TargetMode="External"/><Relationship Id="rId78" Type="http://schemas.openxmlformats.org/officeDocument/2006/relationships/hyperlink" Target="https://www.cbssports.com/nfl/players/26695775/caleb-williams/fantasy/" TargetMode="External"/><Relationship Id="rId71" Type="http://schemas.openxmlformats.org/officeDocument/2006/relationships/hyperlink" Target="https://www.cbssports.com/nfl/players/2179328/dj-moore/fantasy/" TargetMode="External"/><Relationship Id="rId70" Type="http://schemas.openxmlformats.org/officeDocument/2006/relationships/hyperlink" Target="https://www.cbssports.com/nfl/players/28874444/luther-burden-iii/fantasy/" TargetMode="External"/><Relationship Id="rId62" Type="http://schemas.openxmlformats.org/officeDocument/2006/relationships/hyperlink" Target="https://www.cbssports.com/nfl/players/2965664/alec-pierce/fantasy/" TargetMode="External"/><Relationship Id="rId61" Type="http://schemas.openxmlformats.org/officeDocument/2006/relationships/hyperlink" Target="https://www.cbssports.com/nfl/players/28877124/tetairoa-mcmillan/fantasy/" TargetMode="External"/><Relationship Id="rId64" Type="http://schemas.openxmlformats.org/officeDocument/2006/relationships/hyperlink" Target="https://www.cbssports.com/nfl/players/3123864/garrett-wilson/fantasy/" TargetMode="External"/><Relationship Id="rId63" Type="http://schemas.openxmlformats.org/officeDocument/2006/relationships/hyperlink" Target="https://www.cbssports.com/nfl/players/2132551/dallas-goedert/fantasy/" TargetMode="External"/><Relationship Id="rId66" Type="http://schemas.openxmlformats.org/officeDocument/2006/relationships/hyperlink" Target="https://www.cbssports.com/nfl/players/3168800/tyler-warren/fantasy/" TargetMode="External"/><Relationship Id="rId65" Type="http://schemas.openxmlformats.org/officeDocument/2006/relationships/hyperlink" Target="https://www.cbssports.com/nfl/players/1114942/matthew-stafford/fantasy/" TargetMode="External"/><Relationship Id="rId68" Type="http://schemas.openxmlformats.org/officeDocument/2006/relationships/hyperlink" Target="https://www.cbssports.com/nfl/players/2804420/jk-dobbins/fantasy/" TargetMode="External"/><Relationship Id="rId67" Type="http://schemas.openxmlformats.org/officeDocument/2006/relationships/hyperlink" Target="https://www.cbssports.com/nfl/players/3163962/ladd-mcconkey/fantasy/" TargetMode="External"/><Relationship Id="rId60" Type="http://schemas.openxmlformats.org/officeDocument/2006/relationships/hyperlink" Target="https://www.cbssports.com/nfl/players/2961306/brock-purdy/fantasy/" TargetMode="External"/><Relationship Id="rId69" Type="http://schemas.openxmlformats.org/officeDocument/2006/relationships/hyperlink" Target="https://www.cbssports.com/nfl/players/2865693/chuba-hubbard/fantasy/" TargetMode="External"/><Relationship Id="rId51" Type="http://schemas.openxmlformats.org/officeDocument/2006/relationships/hyperlink" Target="https://www.cbssports.com/nfl/players/2866975/devonta-smith/fantasy/" TargetMode="External"/><Relationship Id="rId50" Type="http://schemas.openxmlformats.org/officeDocument/2006/relationships/hyperlink" Target="https://www.cbssports.com/nfl/players/3125968/jameson-williams/fantasy/" TargetMode="External"/><Relationship Id="rId53" Type="http://schemas.openxmlformats.org/officeDocument/2006/relationships/hyperlink" Target="https://www.cbssports.com/nfl/players/2261252/david-montgomery/fantasy/" TargetMode="External"/><Relationship Id="rId52" Type="http://schemas.openxmlformats.org/officeDocument/2006/relationships/hyperlink" Target="https://www.cbssports.com/nfl/players/28874696/colston-loveland/fantasy/" TargetMode="External"/><Relationship Id="rId55" Type="http://schemas.openxmlformats.org/officeDocument/2006/relationships/hyperlink" Target="https://www.cbssports.com/nfl/players/2139279/terry-mclaurin/fantasy/" TargetMode="External"/><Relationship Id="rId54" Type="http://schemas.openxmlformats.org/officeDocument/2006/relationships/hyperlink" Target="https://www.cbssports.com/nfl/players/2252798/rico-dowdle/fantasy/" TargetMode="External"/><Relationship Id="rId57" Type="http://schemas.openxmlformats.org/officeDocument/2006/relationships/hyperlink" Target="https://www.cbssports.com/nfl/players/3162979/rome-odunze/fantasy/" TargetMode="External"/><Relationship Id="rId56" Type="http://schemas.openxmlformats.org/officeDocument/2006/relationships/hyperlink" Target="https://www.cbssports.com/nfl/players/3121207/rj-harvey/fantasy/" TargetMode="External"/><Relationship Id="rId59" Type="http://schemas.openxmlformats.org/officeDocument/2006/relationships/hyperlink" Target="https://www.cbssports.com/nfl/players/26699547/treveyon-henderson/fantasy/" TargetMode="External"/><Relationship Id="rId58" Type="http://schemas.openxmlformats.org/officeDocument/2006/relationships/hyperlink" Target="https://www.cbssports.com/nfl/players/1893167/davante-adams/fantasy/" TargetMode="External"/><Relationship Id="rId107" Type="http://schemas.openxmlformats.org/officeDocument/2006/relationships/hyperlink" Target="https://www.cbssports.com/nfl/players/2961906/isaiah-likely/fantasy/" TargetMode="External"/><Relationship Id="rId106" Type="http://schemas.openxmlformats.org/officeDocument/2006/relationships/hyperlink" Target="https://www.cbssports.com/nfl/players/2183835/jakobi-meyers/fantasy/" TargetMode="External"/><Relationship Id="rId105" Type="http://schemas.openxmlformats.org/officeDocument/2006/relationships/hyperlink" Target="https://www.cbssports.com/nfl/players/29124411/carnell-tate/fantasy/" TargetMode="External"/><Relationship Id="rId104" Type="http://schemas.openxmlformats.org/officeDocument/2006/relationships/hyperlink" Target="https://www.cbssports.com/nfl/players/3169252/blake-corum/fantasy/" TargetMode="External"/><Relationship Id="rId109" Type="http://schemas.openxmlformats.org/officeDocument/2006/relationships/hyperlink" Target="https://www.cbssports.com/nfl/players/2818150/chris-godwin/fantasy/" TargetMode="External"/><Relationship Id="rId108" Type="http://schemas.openxmlformats.org/officeDocument/2006/relationships/hyperlink" Target="https://www.cbssports.com/nfl/players/2966551/isiah-pacheco/fantasy/" TargetMode="External"/><Relationship Id="rId103" Type="http://schemas.openxmlformats.org/officeDocument/2006/relationships/hyperlink" Target="https://www.cbssports.com/nfl/players/2071937/aaron-jones/fantasy/" TargetMode="External"/><Relationship Id="rId102" Type="http://schemas.openxmlformats.org/officeDocument/2006/relationships/hyperlink" Target="https://www.cbssports.com/nfl/players/2968948/kenneth-gainwell/fantasy/" TargetMode="External"/><Relationship Id="rId101" Type="http://schemas.openxmlformats.org/officeDocument/2006/relationships/hyperlink" Target="https://www.cbssports.com/nfl/players/1926/seahawks/fantasy/" TargetMode="External"/><Relationship Id="rId100" Type="http://schemas.openxmlformats.org/officeDocument/2006/relationships/hyperlink" Target="https://www.cbssports.com/nfl/players/2815718/brandon-aubrey/fantasy/" TargetMode="External"/><Relationship Id="rId129" Type="http://schemas.openxmlformats.org/officeDocument/2006/relationships/hyperlink" Target="https://www.cbssports.com/nfl/players/2239997/jordan-love/fantasy/" TargetMode="External"/><Relationship Id="rId128" Type="http://schemas.openxmlformats.org/officeDocument/2006/relationships/hyperlink" Target="https://www.cbssports.com/nfl/players/2867159/jake-ferguson/fantasy/" TargetMode="External"/><Relationship Id="rId127" Type="http://schemas.openxmlformats.org/officeDocument/2006/relationships/hyperlink" Target="https://www.cbssports.com/nfl/players/28900885/jordyn-tyson/fantasy/" TargetMode="External"/><Relationship Id="rId126" Type="http://schemas.openxmlformats.org/officeDocument/2006/relationships/hyperlink" Target="https://www.cbssports.com/nfl/players/1921/eagles/fantasy/" TargetMode="External"/><Relationship Id="rId121" Type="http://schemas.openxmlformats.org/officeDocument/2006/relationships/hyperlink" Target="https://www.cbssports.com/nfl/players/2982991/dalton-kincaid/fantasy/" TargetMode="External"/><Relationship Id="rId120" Type="http://schemas.openxmlformats.org/officeDocument/2006/relationships/hyperlink" Target="https://www.cbssports.com/nfl/players/3162290/jordan-addison/fantasy/" TargetMode="External"/><Relationship Id="rId125" Type="http://schemas.openxmlformats.org/officeDocument/2006/relationships/hyperlink" Target="https://www.cbssports.com/nfl/players/3124107/wandale-robinson/fantasy/" TargetMode="External"/><Relationship Id="rId124" Type="http://schemas.openxmlformats.org/officeDocument/2006/relationships/hyperlink" Target="https://www.cbssports.com/nfl/players/2960940/rashod-bateman/fantasy/" TargetMode="External"/><Relationship Id="rId123" Type="http://schemas.openxmlformats.org/officeDocument/2006/relationships/hyperlink" Target="https://www.cbssports.com/nfl/players/3162599/kaelon-black/fantasy/" TargetMode="External"/><Relationship Id="rId122" Type="http://schemas.openxmlformats.org/officeDocument/2006/relationships/hyperlink" Target="https://www.cbssports.com/nfl/players/1916/vikings/fantasy/" TargetMode="External"/><Relationship Id="rId95" Type="http://schemas.openxmlformats.org/officeDocument/2006/relationships/hyperlink" Target="https://www.cbssports.com/nfl/players/1923/rams/fantasy/" TargetMode="External"/><Relationship Id="rId94" Type="http://schemas.openxmlformats.org/officeDocument/2006/relationships/hyperlink" Target="https://www.cbssports.com/nfl/players/28900882/harold-fannin-jr/fantasy/" TargetMode="External"/><Relationship Id="rId97" Type="http://schemas.openxmlformats.org/officeDocument/2006/relationships/hyperlink" Target="https://www.cbssports.com/nfl/players/3177368/kyle-monangai/fantasy/" TargetMode="External"/><Relationship Id="rId96" Type="http://schemas.openxmlformats.org/officeDocument/2006/relationships/hyperlink" Target="https://www.cbssports.com/nfl/players/2967536/jordan-mason/fantasy/" TargetMode="External"/><Relationship Id="rId99" Type="http://schemas.openxmlformats.org/officeDocument/2006/relationships/hyperlink" Target="https://www.cbssports.com/nfl/players/2260185/dk-metcalf/fantasy/" TargetMode="External"/><Relationship Id="rId98" Type="http://schemas.openxmlformats.org/officeDocument/2006/relationships/hyperlink" Target="https://www.cbssports.com/nfl/players/1932/texans/fantasy/" TargetMode="External"/><Relationship Id="rId91" Type="http://schemas.openxmlformats.org/officeDocument/2006/relationships/hyperlink" Target="https://www.cbssports.com/nfl/players/26701883/marvin-harrison-jr/fantasy/" TargetMode="External"/><Relationship Id="rId90" Type="http://schemas.openxmlformats.org/officeDocument/2006/relationships/hyperlink" Target="https://www.cbssports.com/nfl/players/2218461/courtland-sutton/fantasy/" TargetMode="External"/><Relationship Id="rId93" Type="http://schemas.openxmlformats.org/officeDocument/2006/relationships/hyperlink" Target="https://www.cbssports.com/nfl/players/3124197/sam-laporta/fantasy/" TargetMode="External"/><Relationship Id="rId92" Type="http://schemas.openxmlformats.org/officeDocument/2006/relationships/hyperlink" Target="https://www.cbssports.com/nfl/players/3162609/quentin-johnston/fantasy/" TargetMode="External"/><Relationship Id="rId118" Type="http://schemas.openxmlformats.org/officeDocument/2006/relationships/hyperlink" Target="https://www.cbssports.com/nfl/players/3169147/rachaad-white/fantasy/" TargetMode="External"/><Relationship Id="rId117" Type="http://schemas.openxmlformats.org/officeDocument/2006/relationships/hyperlink" Target="https://www.cbssports.com/nfl/players/1725130/travis-kelce/fantasy/" TargetMode="External"/><Relationship Id="rId116" Type="http://schemas.openxmlformats.org/officeDocument/2006/relationships/hyperlink" Target="https://www.cbssports.com/nfl/players/3162970/josh-downs/fantasy/" TargetMode="External"/><Relationship Id="rId115" Type="http://schemas.openxmlformats.org/officeDocument/2006/relationships/hyperlink" Target="https://www.cbssports.com/nfl/players/3132164/brian-thomas-jr/fantasy/" TargetMode="External"/><Relationship Id="rId119" Type="http://schemas.openxmlformats.org/officeDocument/2006/relationships/hyperlink" Target="https://www.cbssports.com/nfl/players/2965181/michael-wilson/fantasy/" TargetMode="External"/><Relationship Id="rId110" Type="http://schemas.openxmlformats.org/officeDocument/2006/relationships/hyperlink" Target="https://www.cbssports.com/nfl/players/3168820/parker-washington/fantasy/" TargetMode="External"/><Relationship Id="rId114" Type="http://schemas.openxmlformats.org/officeDocument/2006/relationships/hyperlink" Target="https://www.cbssports.com/nfl/players/2169640/jason-myers/fantasy/" TargetMode="External"/><Relationship Id="rId113" Type="http://schemas.openxmlformats.org/officeDocument/2006/relationships/hyperlink" Target="https://www.cbssports.com/nfl/players/2964064/tyler-shough/fantasy/" TargetMode="External"/><Relationship Id="rId112" Type="http://schemas.openxmlformats.org/officeDocument/2006/relationships/hyperlink" Target="https://www.cbssports.com/nfl/players/2131121/mark-andrews/fantasy/" TargetMode="External"/><Relationship Id="rId111" Type="http://schemas.openxmlformats.org/officeDocument/2006/relationships/hyperlink" Target="https://www.cbssports.com/nfl/players/26730706/jonathon-brooks/fantasy/" TargetMode="External"/><Relationship Id="rId206" Type="http://schemas.openxmlformats.org/officeDocument/2006/relationships/hyperlink" Target="https://www.cbssports.com/nfl/players/3121084/will-reichard/fantasy/" TargetMode="External"/><Relationship Id="rId205" Type="http://schemas.openxmlformats.org/officeDocument/2006/relationships/hyperlink" Target="https://www.cbssports.com/nfl/players/2964372/emari-demercado/fantasy/" TargetMode="External"/><Relationship Id="rId204" Type="http://schemas.openxmlformats.org/officeDocument/2006/relationships/hyperlink" Target="https://www.cbssports.com/nfl/players/26708551/jayden-higgins/fantasy/" TargetMode="External"/><Relationship Id="rId203" Type="http://schemas.openxmlformats.org/officeDocument/2006/relationships/hyperlink" Target="https://www.cbssports.com/nfl/players/26726580/braelon-allen/fantasy/" TargetMode="External"/><Relationship Id="rId207" Type="http://schemas.openxmlformats.org/officeDocument/2006/relationships/drawing" Target="../drawings/drawing6.xml"/><Relationship Id="rId202" Type="http://schemas.openxmlformats.org/officeDocument/2006/relationships/hyperlink" Target="https://www.cbssports.com/nfl/players/26727374/oronde-gadsden-ii/fantasy/" TargetMode="External"/><Relationship Id="rId201" Type="http://schemas.openxmlformats.org/officeDocument/2006/relationships/hyperlink" Target="https://www.cbssports.com/nfl/players/2964274/greg-dulcich/fantasy/" TargetMode="External"/><Relationship Id="rId200" Type="http://schemas.openxmlformats.org/officeDocument/2006/relationships/hyperlink" Target="https://www.cbssports.com/nfl/players/26696676/dezhaun-stribling/fantas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2</v>
      </c>
      <c r="C1" s="5" t="s">
        <v>4</v>
      </c>
      <c r="D1" s="1" t="s">
        <v>5</v>
      </c>
      <c r="E1" s="1" t="s">
        <v>7</v>
      </c>
      <c r="F1" s="1" t="s">
        <v>8</v>
      </c>
      <c r="G1" s="1" t="s">
        <v>10</v>
      </c>
    </row>
    <row r="2">
      <c r="A2" s="6">
        <v>1.0</v>
      </c>
      <c r="B2" s="12" t="s">
        <v>12</v>
      </c>
      <c r="C2" s="13" t="s">
        <v>21</v>
      </c>
      <c r="D2" s="13">
        <v>2.0</v>
      </c>
      <c r="E2" s="13">
        <v>1.0</v>
      </c>
      <c r="F2" s="13">
        <v>1.5</v>
      </c>
      <c r="G2" s="15">
        <v>1.0</v>
      </c>
    </row>
    <row r="3">
      <c r="A3" s="6">
        <v>2.0</v>
      </c>
      <c r="B3" s="12" t="s">
        <v>24</v>
      </c>
      <c r="C3" s="13" t="s">
        <v>32</v>
      </c>
      <c r="D3" s="13">
        <v>1.0</v>
      </c>
      <c r="E3" s="13">
        <v>2.0</v>
      </c>
      <c r="F3" s="13">
        <v>1.5</v>
      </c>
      <c r="G3" s="15">
        <v>2.0</v>
      </c>
    </row>
    <row r="4">
      <c r="A4" s="6">
        <v>3.0</v>
      </c>
      <c r="B4" s="12" t="s">
        <v>33</v>
      </c>
      <c r="C4" s="13" t="s">
        <v>38</v>
      </c>
      <c r="D4" s="13">
        <v>6.0</v>
      </c>
      <c r="E4" s="13">
        <v>3.0</v>
      </c>
      <c r="F4" s="13">
        <v>4.5</v>
      </c>
      <c r="G4" s="15">
        <v>3.0</v>
      </c>
    </row>
    <row r="5">
      <c r="A5" s="6">
        <v>4.0</v>
      </c>
      <c r="B5" s="12" t="s">
        <v>41</v>
      </c>
      <c r="C5" s="13" t="s">
        <v>46</v>
      </c>
      <c r="D5" s="13">
        <v>4.0</v>
      </c>
      <c r="E5" s="13">
        <v>5.0</v>
      </c>
      <c r="F5" s="13">
        <v>4.5</v>
      </c>
      <c r="G5" s="15" t="s">
        <v>48</v>
      </c>
    </row>
    <row r="6">
      <c r="A6" s="6">
        <v>5.0</v>
      </c>
      <c r="B6" s="12" t="s">
        <v>50</v>
      </c>
      <c r="C6" s="13" t="s">
        <v>55</v>
      </c>
      <c r="D6" s="13">
        <v>3.0</v>
      </c>
      <c r="E6" s="13">
        <v>7.0</v>
      </c>
      <c r="F6" s="13">
        <v>5.0</v>
      </c>
      <c r="G6" s="15" t="s">
        <v>56</v>
      </c>
    </row>
    <row r="7">
      <c r="A7" s="6">
        <v>6.0</v>
      </c>
      <c r="B7" s="12" t="s">
        <v>57</v>
      </c>
      <c r="C7" s="13" t="s">
        <v>60</v>
      </c>
      <c r="D7" s="13">
        <v>9.0</v>
      </c>
      <c r="E7" s="13">
        <v>4.0</v>
      </c>
      <c r="F7" s="13">
        <v>6.5</v>
      </c>
      <c r="G7" s="15" t="s">
        <v>63</v>
      </c>
    </row>
    <row r="8">
      <c r="A8" s="6">
        <v>7.0</v>
      </c>
      <c r="B8" s="12" t="s">
        <v>64</v>
      </c>
      <c r="C8" s="13" t="s">
        <v>70</v>
      </c>
      <c r="D8" s="13">
        <v>5.0</v>
      </c>
      <c r="E8" s="13">
        <v>10.0</v>
      </c>
      <c r="F8" s="13">
        <v>7.5</v>
      </c>
      <c r="G8" s="15" t="s">
        <v>72</v>
      </c>
    </row>
    <row r="9">
      <c r="A9" s="6">
        <v>8.0</v>
      </c>
      <c r="B9" s="12" t="s">
        <v>74</v>
      </c>
      <c r="C9" s="13" t="s">
        <v>82</v>
      </c>
      <c r="D9" s="13">
        <v>10.0</v>
      </c>
      <c r="E9" s="13">
        <v>6.0</v>
      </c>
      <c r="F9" s="13">
        <v>8.0</v>
      </c>
      <c r="G9" s="15" t="s">
        <v>83</v>
      </c>
    </row>
    <row r="10">
      <c r="A10" s="6">
        <v>9.0</v>
      </c>
      <c r="B10" s="12" t="s">
        <v>85</v>
      </c>
      <c r="C10" s="13" t="s">
        <v>95</v>
      </c>
      <c r="D10" s="13">
        <v>11.0</v>
      </c>
      <c r="E10" s="13">
        <v>8.0</v>
      </c>
      <c r="F10" s="13">
        <v>9.5</v>
      </c>
      <c r="G10" s="15" t="s">
        <v>97</v>
      </c>
    </row>
    <row r="11">
      <c r="A11" s="6">
        <v>10.0</v>
      </c>
      <c r="B11" s="12" t="s">
        <v>99</v>
      </c>
      <c r="C11" s="13" t="s">
        <v>104</v>
      </c>
      <c r="D11" s="13">
        <v>8.0</v>
      </c>
      <c r="E11" s="13">
        <v>12.0</v>
      </c>
      <c r="F11" s="13">
        <v>10.0</v>
      </c>
      <c r="G11" s="15" t="s">
        <v>105</v>
      </c>
    </row>
    <row r="12">
      <c r="A12" s="6">
        <v>11.0</v>
      </c>
      <c r="B12" s="12" t="s">
        <v>106</v>
      </c>
      <c r="C12" s="13" t="s">
        <v>110</v>
      </c>
      <c r="D12" s="13">
        <v>12.0</v>
      </c>
      <c r="E12" s="13">
        <v>14.0</v>
      </c>
      <c r="F12" s="13">
        <v>13.0</v>
      </c>
      <c r="G12" s="15" t="s">
        <v>111</v>
      </c>
    </row>
    <row r="13">
      <c r="A13" s="6">
        <v>12.0</v>
      </c>
      <c r="B13" s="12" t="s">
        <v>114</v>
      </c>
      <c r="C13" s="13" t="s">
        <v>109</v>
      </c>
      <c r="D13" s="13">
        <v>18.0</v>
      </c>
      <c r="E13" s="13">
        <v>9.0</v>
      </c>
      <c r="F13" s="13">
        <v>13.5</v>
      </c>
      <c r="G13" s="15" t="s">
        <v>122</v>
      </c>
    </row>
    <row r="14">
      <c r="A14" s="6">
        <v>13.0</v>
      </c>
      <c r="B14" s="12" t="s">
        <v>123</v>
      </c>
      <c r="C14" s="13" t="s">
        <v>128</v>
      </c>
      <c r="D14" s="13">
        <v>7.0</v>
      </c>
      <c r="E14" s="13">
        <v>23.0</v>
      </c>
      <c r="F14" s="13">
        <v>15.0</v>
      </c>
      <c r="G14" s="15" t="s">
        <v>130</v>
      </c>
    </row>
    <row r="15">
      <c r="A15" s="6">
        <v>14.0</v>
      </c>
      <c r="B15" s="12" t="s">
        <v>133</v>
      </c>
      <c r="C15" s="13" t="s">
        <v>137</v>
      </c>
      <c r="D15" s="13">
        <v>14.0</v>
      </c>
      <c r="E15" s="13">
        <v>16.0</v>
      </c>
      <c r="F15" s="13">
        <v>15.0</v>
      </c>
      <c r="G15" s="15" t="s">
        <v>138</v>
      </c>
    </row>
    <row r="16">
      <c r="A16" s="6">
        <v>15.0</v>
      </c>
      <c r="B16" s="12" t="s">
        <v>139</v>
      </c>
      <c r="C16" s="13" t="s">
        <v>144</v>
      </c>
      <c r="D16" s="13">
        <v>15.0</v>
      </c>
      <c r="E16" s="13">
        <v>15.0</v>
      </c>
      <c r="F16" s="13">
        <v>15.0</v>
      </c>
      <c r="G16" s="15" t="s">
        <v>147</v>
      </c>
    </row>
    <row r="17">
      <c r="A17" s="6">
        <v>16.0</v>
      </c>
      <c r="B17" s="12" t="s">
        <v>150</v>
      </c>
      <c r="C17" s="13" t="s">
        <v>155</v>
      </c>
      <c r="D17" s="13">
        <v>20.0</v>
      </c>
      <c r="E17" s="13">
        <v>11.0</v>
      </c>
      <c r="F17" s="13">
        <v>15.5</v>
      </c>
      <c r="G17" s="15" t="s">
        <v>156</v>
      </c>
    </row>
    <row r="18">
      <c r="A18" s="6">
        <v>17.0</v>
      </c>
      <c r="B18" s="12" t="s">
        <v>160</v>
      </c>
      <c r="C18" s="13" t="s">
        <v>168</v>
      </c>
      <c r="D18" s="13">
        <v>19.0</v>
      </c>
      <c r="E18" s="13">
        <v>13.0</v>
      </c>
      <c r="F18" s="13">
        <v>16.0</v>
      </c>
      <c r="G18" s="15" t="s">
        <v>169</v>
      </c>
    </row>
    <row r="19">
      <c r="A19" s="6">
        <v>18.0</v>
      </c>
      <c r="B19" s="12" t="s">
        <v>170</v>
      </c>
      <c r="C19" s="13" t="s">
        <v>175</v>
      </c>
      <c r="D19" s="13">
        <v>16.0</v>
      </c>
      <c r="E19" s="13">
        <v>20.0</v>
      </c>
      <c r="F19" s="13">
        <v>18.0</v>
      </c>
      <c r="G19" s="15" t="s">
        <v>177</v>
      </c>
    </row>
    <row r="20">
      <c r="A20" s="6">
        <v>19.0</v>
      </c>
      <c r="B20" s="12" t="s">
        <v>178</v>
      </c>
      <c r="C20" s="13" t="s">
        <v>179</v>
      </c>
      <c r="D20" s="13">
        <v>21.0</v>
      </c>
      <c r="E20" s="13">
        <v>19.0</v>
      </c>
      <c r="F20" s="13">
        <v>20.0</v>
      </c>
      <c r="G20" s="15" t="s">
        <v>185</v>
      </c>
    </row>
    <row r="21">
      <c r="A21" s="6">
        <v>20.0</v>
      </c>
      <c r="B21" s="12" t="s">
        <v>186</v>
      </c>
      <c r="C21" s="13" t="s">
        <v>191</v>
      </c>
      <c r="D21" s="13">
        <v>24.0</v>
      </c>
      <c r="E21" s="13">
        <v>17.0</v>
      </c>
      <c r="F21" s="13">
        <v>20.5</v>
      </c>
      <c r="G21" s="15" t="s">
        <v>192</v>
      </c>
    </row>
    <row r="22">
      <c r="A22" s="6">
        <v>21.0</v>
      </c>
      <c r="B22" s="12" t="s">
        <v>193</v>
      </c>
      <c r="C22" s="13" t="s">
        <v>198</v>
      </c>
      <c r="D22" s="13">
        <v>23.0</v>
      </c>
      <c r="E22" s="13">
        <v>18.0</v>
      </c>
      <c r="F22" s="13">
        <v>20.5</v>
      </c>
      <c r="G22" s="15" t="s">
        <v>199</v>
      </c>
    </row>
    <row r="23">
      <c r="A23" s="6">
        <v>22.0</v>
      </c>
      <c r="B23" s="12" t="s">
        <v>201</v>
      </c>
      <c r="C23" s="13" t="s">
        <v>207</v>
      </c>
      <c r="D23" s="13">
        <v>13.0</v>
      </c>
      <c r="E23" s="13">
        <v>31.0</v>
      </c>
      <c r="F23" s="13">
        <v>22.0</v>
      </c>
      <c r="G23" s="15" t="s">
        <v>209</v>
      </c>
    </row>
    <row r="24">
      <c r="A24" s="6">
        <v>23.0</v>
      </c>
      <c r="B24" s="12" t="s">
        <v>210</v>
      </c>
      <c r="C24" s="13" t="s">
        <v>214</v>
      </c>
      <c r="D24" s="13">
        <v>17.0</v>
      </c>
      <c r="E24" s="13">
        <v>27.0</v>
      </c>
      <c r="F24" s="13">
        <v>22.0</v>
      </c>
      <c r="G24" s="15" t="s">
        <v>215</v>
      </c>
    </row>
    <row r="25">
      <c r="A25" s="6">
        <v>24.0</v>
      </c>
      <c r="B25" s="12" t="s">
        <v>216</v>
      </c>
      <c r="C25" s="13" t="s">
        <v>220</v>
      </c>
      <c r="D25" s="13">
        <v>22.0</v>
      </c>
      <c r="E25" s="13">
        <v>29.0</v>
      </c>
      <c r="F25" s="13">
        <v>25.5</v>
      </c>
      <c r="G25" s="15" t="s">
        <v>222</v>
      </c>
    </row>
    <row r="26">
      <c r="A26" s="6">
        <v>25.0</v>
      </c>
      <c r="B26" s="12" t="s">
        <v>224</v>
      </c>
      <c r="C26" s="13" t="s">
        <v>231</v>
      </c>
      <c r="D26" s="13">
        <v>30.0</v>
      </c>
      <c r="E26" s="13">
        <v>22.0</v>
      </c>
      <c r="F26" s="13">
        <v>26.0</v>
      </c>
      <c r="G26" s="15" t="s">
        <v>233</v>
      </c>
    </row>
    <row r="27">
      <c r="A27" s="6">
        <v>26.0</v>
      </c>
      <c r="B27" s="12" t="s">
        <v>234</v>
      </c>
      <c r="C27" s="13" t="s">
        <v>187</v>
      </c>
      <c r="D27" s="13">
        <v>28.0</v>
      </c>
      <c r="E27" s="13">
        <v>24.0</v>
      </c>
      <c r="F27" s="13">
        <v>26.0</v>
      </c>
      <c r="G27" s="15" t="s">
        <v>239</v>
      </c>
    </row>
    <row r="28">
      <c r="A28" s="6">
        <v>27.0</v>
      </c>
      <c r="B28" s="12" t="s">
        <v>240</v>
      </c>
      <c r="C28" s="13" t="s">
        <v>195</v>
      </c>
      <c r="D28" s="13">
        <v>26.0</v>
      </c>
      <c r="E28" s="13">
        <v>26.0</v>
      </c>
      <c r="F28" s="13">
        <v>26.0</v>
      </c>
      <c r="G28" s="15" t="s">
        <v>245</v>
      </c>
    </row>
    <row r="29">
      <c r="A29" s="6">
        <v>28.0</v>
      </c>
      <c r="B29" s="12" t="s">
        <v>246</v>
      </c>
      <c r="C29" s="13" t="s">
        <v>226</v>
      </c>
      <c r="D29" s="13">
        <v>34.0</v>
      </c>
      <c r="E29" s="13">
        <v>21.0</v>
      </c>
      <c r="F29" s="13">
        <v>27.5</v>
      </c>
      <c r="G29" s="15" t="s">
        <v>254</v>
      </c>
    </row>
    <row r="30">
      <c r="A30" s="6">
        <v>29.0</v>
      </c>
      <c r="B30" s="12" t="s">
        <v>256</v>
      </c>
      <c r="C30" s="13" t="s">
        <v>261</v>
      </c>
      <c r="D30" s="13">
        <v>31.0</v>
      </c>
      <c r="E30" s="13">
        <v>25.0</v>
      </c>
      <c r="F30" s="13">
        <v>28.0</v>
      </c>
      <c r="G30" s="15" t="s">
        <v>262</v>
      </c>
    </row>
    <row r="31">
      <c r="A31" s="6">
        <v>30.0</v>
      </c>
      <c r="B31" s="12" t="s">
        <v>263</v>
      </c>
      <c r="C31" s="13" t="s">
        <v>268</v>
      </c>
      <c r="D31" s="13">
        <v>27.0</v>
      </c>
      <c r="E31" s="13">
        <v>33.0</v>
      </c>
      <c r="F31" s="13">
        <v>30.0</v>
      </c>
      <c r="G31" s="15" t="s">
        <v>269</v>
      </c>
    </row>
    <row r="32">
      <c r="A32" s="6">
        <v>31.0</v>
      </c>
      <c r="B32" s="12" t="s">
        <v>271</v>
      </c>
      <c r="C32" s="13" t="s">
        <v>275</v>
      </c>
      <c r="D32" s="13">
        <v>32.0</v>
      </c>
      <c r="E32" s="13">
        <v>28.0</v>
      </c>
      <c r="F32" s="13">
        <v>30.0</v>
      </c>
      <c r="G32" s="15" t="s">
        <v>276</v>
      </c>
    </row>
    <row r="33">
      <c r="A33" s="6">
        <v>32.0</v>
      </c>
      <c r="B33" s="12" t="s">
        <v>277</v>
      </c>
      <c r="C33" s="13" t="s">
        <v>280</v>
      </c>
      <c r="D33" s="13">
        <v>35.0</v>
      </c>
      <c r="E33" s="13">
        <v>30.0</v>
      </c>
      <c r="F33" s="13">
        <v>32.5</v>
      </c>
      <c r="G33" s="15" t="s">
        <v>281</v>
      </c>
    </row>
    <row r="34">
      <c r="A34" s="6">
        <v>33.0</v>
      </c>
      <c r="B34" s="12" t="s">
        <v>283</v>
      </c>
      <c r="C34" s="13" t="s">
        <v>287</v>
      </c>
      <c r="D34" s="13">
        <v>25.0</v>
      </c>
      <c r="E34" s="13">
        <v>43.0</v>
      </c>
      <c r="F34" s="13">
        <v>34.0</v>
      </c>
      <c r="G34" s="15" t="s">
        <v>288</v>
      </c>
    </row>
    <row r="35">
      <c r="A35" s="6">
        <v>34.0</v>
      </c>
      <c r="B35" s="12" t="s">
        <v>290</v>
      </c>
      <c r="C35" s="13" t="s">
        <v>293</v>
      </c>
      <c r="D35" s="13">
        <v>29.0</v>
      </c>
      <c r="E35" s="13">
        <v>39.0</v>
      </c>
      <c r="F35" s="13">
        <v>34.0</v>
      </c>
      <c r="G35" s="15">
        <v>34.0</v>
      </c>
    </row>
    <row r="36">
      <c r="A36" s="6">
        <v>35.0</v>
      </c>
      <c r="B36" s="12" t="s">
        <v>297</v>
      </c>
      <c r="C36" s="13" t="s">
        <v>301</v>
      </c>
      <c r="D36" s="13">
        <v>36.0</v>
      </c>
      <c r="E36" s="13">
        <v>32.0</v>
      </c>
      <c r="F36" s="13">
        <v>34.0</v>
      </c>
      <c r="G36" s="15" t="s">
        <v>303</v>
      </c>
    </row>
    <row r="37">
      <c r="A37" s="6">
        <v>36.0</v>
      </c>
      <c r="B37" s="12" t="s">
        <v>305</v>
      </c>
      <c r="C37" s="13" t="s">
        <v>310</v>
      </c>
      <c r="D37" s="13">
        <v>33.0</v>
      </c>
      <c r="E37" s="13">
        <v>42.0</v>
      </c>
      <c r="F37" s="13">
        <v>37.5</v>
      </c>
      <c r="G37" s="15" t="s">
        <v>311</v>
      </c>
    </row>
    <row r="38">
      <c r="A38" s="6">
        <v>37.0</v>
      </c>
      <c r="B38" s="12" t="s">
        <v>312</v>
      </c>
      <c r="C38" s="13" t="s">
        <v>316</v>
      </c>
      <c r="D38" s="13">
        <v>43.0</v>
      </c>
      <c r="E38" s="13">
        <v>34.0</v>
      </c>
      <c r="F38" s="13">
        <v>38.5</v>
      </c>
      <c r="G38" s="15" t="s">
        <v>318</v>
      </c>
    </row>
    <row r="39">
      <c r="A39" s="6">
        <v>38.0</v>
      </c>
      <c r="B39" s="12" t="s">
        <v>322</v>
      </c>
      <c r="C39" s="13" t="s">
        <v>321</v>
      </c>
      <c r="D39" s="13">
        <v>41.0</v>
      </c>
      <c r="E39" s="13">
        <v>41.0</v>
      </c>
      <c r="F39" s="13">
        <v>41.0</v>
      </c>
      <c r="G39" s="15" t="s">
        <v>325</v>
      </c>
    </row>
    <row r="40">
      <c r="A40" s="6">
        <v>39.0</v>
      </c>
      <c r="B40" s="12" t="s">
        <v>326</v>
      </c>
      <c r="C40" s="13" t="s">
        <v>329</v>
      </c>
      <c r="D40" s="13">
        <v>39.0</v>
      </c>
      <c r="E40" s="13">
        <v>44.0</v>
      </c>
      <c r="F40" s="13">
        <v>41.5</v>
      </c>
      <c r="G40" s="15" t="s">
        <v>336</v>
      </c>
    </row>
    <row r="41">
      <c r="A41" s="6">
        <v>40.0</v>
      </c>
      <c r="B41" s="12" t="s">
        <v>337</v>
      </c>
      <c r="C41" s="13" t="s">
        <v>342</v>
      </c>
      <c r="D41" s="13">
        <v>37.0</v>
      </c>
      <c r="E41" s="13">
        <v>48.0</v>
      </c>
      <c r="F41" s="13">
        <v>42.5</v>
      </c>
      <c r="G41" s="15" t="s">
        <v>343</v>
      </c>
    </row>
    <row r="42">
      <c r="A42" s="6">
        <v>41.0</v>
      </c>
      <c r="B42" s="12" t="s">
        <v>345</v>
      </c>
      <c r="C42" s="13" t="s">
        <v>349</v>
      </c>
      <c r="D42" s="13">
        <v>40.0</v>
      </c>
      <c r="E42" s="13">
        <v>45.0</v>
      </c>
      <c r="F42" s="13">
        <v>42.5</v>
      </c>
      <c r="G42" s="15" t="s">
        <v>352</v>
      </c>
    </row>
    <row r="43">
      <c r="A43" s="6">
        <v>42.0</v>
      </c>
      <c r="B43" s="12" t="s">
        <v>354</v>
      </c>
      <c r="C43" s="13" t="s">
        <v>356</v>
      </c>
      <c r="D43" s="13">
        <v>46.0</v>
      </c>
      <c r="E43" s="13">
        <v>40.0</v>
      </c>
      <c r="F43" s="13">
        <v>43.0</v>
      </c>
      <c r="G43" s="15" t="s">
        <v>358</v>
      </c>
    </row>
    <row r="44">
      <c r="A44" s="6">
        <v>43.0</v>
      </c>
      <c r="B44" s="12" t="s">
        <v>360</v>
      </c>
      <c r="C44" s="13" t="s">
        <v>363</v>
      </c>
      <c r="D44" s="13">
        <v>38.0</v>
      </c>
      <c r="E44" s="13">
        <v>51.0</v>
      </c>
      <c r="F44" s="13">
        <v>44.5</v>
      </c>
      <c r="G44" s="15" t="s">
        <v>365</v>
      </c>
    </row>
    <row r="45">
      <c r="A45" s="6">
        <v>44.0</v>
      </c>
      <c r="B45" s="12" t="s">
        <v>368</v>
      </c>
      <c r="C45" s="13" t="s">
        <v>371</v>
      </c>
      <c r="D45" s="13">
        <v>53.0</v>
      </c>
      <c r="E45" s="13">
        <v>37.0</v>
      </c>
      <c r="F45" s="13">
        <v>45.0</v>
      </c>
      <c r="G45" s="15" t="s">
        <v>374</v>
      </c>
    </row>
    <row r="46">
      <c r="A46" s="6">
        <v>45.0</v>
      </c>
      <c r="B46" s="12" t="s">
        <v>376</v>
      </c>
      <c r="C46" s="13" t="s">
        <v>380</v>
      </c>
      <c r="D46" s="13">
        <v>57.0</v>
      </c>
      <c r="E46" s="13">
        <v>35.0</v>
      </c>
      <c r="F46" s="13">
        <v>46.0</v>
      </c>
      <c r="G46" s="15" t="s">
        <v>382</v>
      </c>
    </row>
    <row r="47">
      <c r="A47" s="6">
        <v>46.0</v>
      </c>
      <c r="B47" s="12" t="s">
        <v>383</v>
      </c>
      <c r="C47" s="13" t="s">
        <v>385</v>
      </c>
      <c r="D47" s="13">
        <v>56.0</v>
      </c>
      <c r="E47" s="13">
        <v>36.0</v>
      </c>
      <c r="F47" s="13">
        <v>46.0</v>
      </c>
      <c r="G47" s="15" t="s">
        <v>387</v>
      </c>
    </row>
    <row r="48">
      <c r="A48" s="6">
        <v>47.0</v>
      </c>
      <c r="B48" s="12" t="s">
        <v>389</v>
      </c>
      <c r="C48" s="13" t="s">
        <v>394</v>
      </c>
      <c r="D48" s="13">
        <v>45.0</v>
      </c>
      <c r="E48" s="13">
        <v>50.0</v>
      </c>
      <c r="F48" s="13">
        <v>47.5</v>
      </c>
      <c r="G48" s="15" t="s">
        <v>395</v>
      </c>
    </row>
    <row r="49">
      <c r="A49" s="6">
        <v>48.0</v>
      </c>
      <c r="B49" s="12" t="s">
        <v>396</v>
      </c>
      <c r="C49" s="13" t="s">
        <v>386</v>
      </c>
      <c r="D49" s="13">
        <v>51.0</v>
      </c>
      <c r="E49" s="13">
        <v>46.0</v>
      </c>
      <c r="F49" s="13">
        <v>48.5</v>
      </c>
      <c r="G49" s="15" t="s">
        <v>400</v>
      </c>
    </row>
    <row r="50">
      <c r="A50" s="6">
        <v>49.0</v>
      </c>
      <c r="B50" s="12" t="s">
        <v>401</v>
      </c>
      <c r="C50" s="13" t="s">
        <v>408</v>
      </c>
      <c r="D50" s="13">
        <v>50.0</v>
      </c>
      <c r="E50" s="13">
        <v>47.0</v>
      </c>
      <c r="F50" s="13">
        <v>48.5</v>
      </c>
      <c r="G50" s="15">
        <v>49.0</v>
      </c>
    </row>
    <row r="51">
      <c r="A51" s="6">
        <v>50.0</v>
      </c>
      <c r="B51" s="12" t="s">
        <v>410</v>
      </c>
      <c r="C51" s="13" t="s">
        <v>414</v>
      </c>
      <c r="D51" s="13">
        <v>48.0</v>
      </c>
      <c r="E51" s="13">
        <v>49.0</v>
      </c>
      <c r="F51" s="13">
        <v>48.5</v>
      </c>
      <c r="G51" s="15" t="s">
        <v>415</v>
      </c>
    </row>
    <row r="52">
      <c r="A52" s="6">
        <v>51.0</v>
      </c>
      <c r="B52" s="12" t="s">
        <v>416</v>
      </c>
      <c r="C52" s="13" t="s">
        <v>421</v>
      </c>
      <c r="D52" s="13">
        <v>44.0</v>
      </c>
      <c r="E52" s="13">
        <v>54.0</v>
      </c>
      <c r="F52" s="13">
        <v>49.0</v>
      </c>
      <c r="G52" s="15" t="s">
        <v>423</v>
      </c>
    </row>
    <row r="53">
      <c r="A53" s="6">
        <v>52.0</v>
      </c>
      <c r="B53" s="12" t="s">
        <v>425</v>
      </c>
      <c r="C53" s="13" t="s">
        <v>429</v>
      </c>
      <c r="D53" s="13">
        <v>61.0</v>
      </c>
      <c r="E53" s="13">
        <v>38.0</v>
      </c>
      <c r="F53" s="13">
        <v>49.5</v>
      </c>
      <c r="G53" s="15" t="s">
        <v>430</v>
      </c>
    </row>
    <row r="54">
      <c r="A54" s="6">
        <v>53.0</v>
      </c>
      <c r="B54" s="12" t="s">
        <v>431</v>
      </c>
      <c r="C54" s="13" t="s">
        <v>436</v>
      </c>
      <c r="D54" s="13">
        <v>49.0</v>
      </c>
      <c r="E54" s="13">
        <v>52.0</v>
      </c>
      <c r="F54" s="13">
        <v>50.5</v>
      </c>
      <c r="G54" s="15" t="s">
        <v>437</v>
      </c>
    </row>
    <row r="55">
      <c r="A55" s="6">
        <v>54.0</v>
      </c>
      <c r="B55" s="12" t="s">
        <v>438</v>
      </c>
      <c r="C55" s="13" t="s">
        <v>442</v>
      </c>
      <c r="D55" s="13">
        <v>42.0</v>
      </c>
      <c r="E55" s="13">
        <v>66.0</v>
      </c>
      <c r="F55" s="13">
        <v>54.0</v>
      </c>
      <c r="G55" s="15" t="s">
        <v>444</v>
      </c>
    </row>
    <row r="56">
      <c r="A56" s="6">
        <v>55.0</v>
      </c>
      <c r="B56" s="12" t="s">
        <v>446</v>
      </c>
      <c r="C56" s="13" t="s">
        <v>338</v>
      </c>
      <c r="D56" s="13">
        <v>52.0</v>
      </c>
      <c r="E56" s="13">
        <v>56.0</v>
      </c>
      <c r="F56" s="13">
        <v>54.0</v>
      </c>
      <c r="G56" s="15" t="s">
        <v>451</v>
      </c>
    </row>
    <row r="57">
      <c r="A57" s="6">
        <v>56.0</v>
      </c>
      <c r="B57" s="12" t="s">
        <v>452</v>
      </c>
      <c r="C57" s="13" t="s">
        <v>454</v>
      </c>
      <c r="D57" s="13">
        <v>47.0</v>
      </c>
      <c r="E57" s="13">
        <v>62.0</v>
      </c>
      <c r="F57" s="13">
        <v>54.5</v>
      </c>
      <c r="G57" s="15" t="s">
        <v>457</v>
      </c>
    </row>
    <row r="58">
      <c r="A58" s="6">
        <v>57.0</v>
      </c>
      <c r="B58" s="12" t="s">
        <v>459</v>
      </c>
      <c r="C58" s="13" t="s">
        <v>463</v>
      </c>
      <c r="D58" s="13">
        <v>55.0</v>
      </c>
      <c r="E58" s="13">
        <v>59.0</v>
      </c>
      <c r="F58" s="13">
        <v>57.0</v>
      </c>
      <c r="G58" s="15" t="s">
        <v>466</v>
      </c>
    </row>
    <row r="59">
      <c r="A59" s="6">
        <v>58.0</v>
      </c>
      <c r="B59" s="12" t="s">
        <v>467</v>
      </c>
      <c r="C59" s="13" t="s">
        <v>472</v>
      </c>
      <c r="D59" s="13">
        <v>58.0</v>
      </c>
      <c r="E59" s="13">
        <v>57.0</v>
      </c>
      <c r="F59" s="13">
        <v>57.5</v>
      </c>
      <c r="G59" s="15" t="s">
        <v>473</v>
      </c>
    </row>
    <row r="60">
      <c r="A60" s="6">
        <v>59.0</v>
      </c>
      <c r="B60" s="12" t="s">
        <v>474</v>
      </c>
      <c r="C60" s="13" t="s">
        <v>479</v>
      </c>
      <c r="D60" s="13">
        <v>59.0</v>
      </c>
      <c r="E60" s="13">
        <v>58.0</v>
      </c>
      <c r="F60" s="13">
        <v>58.5</v>
      </c>
      <c r="G60" s="15" t="s">
        <v>480</v>
      </c>
    </row>
    <row r="61">
      <c r="A61" s="6">
        <v>60.0</v>
      </c>
      <c r="B61" s="12" t="s">
        <v>482</v>
      </c>
      <c r="C61" s="13" t="s">
        <v>406</v>
      </c>
      <c r="D61" s="13">
        <v>63.0</v>
      </c>
      <c r="E61" s="13">
        <v>55.0</v>
      </c>
      <c r="F61" s="13">
        <v>59.0</v>
      </c>
      <c r="G61" s="15" t="s">
        <v>490</v>
      </c>
    </row>
    <row r="62">
      <c r="A62" s="6">
        <v>61.0</v>
      </c>
      <c r="B62" s="12" t="s">
        <v>491</v>
      </c>
      <c r="C62" s="13" t="s">
        <v>494</v>
      </c>
      <c r="D62" s="13">
        <v>54.0</v>
      </c>
      <c r="E62" s="13">
        <v>67.0</v>
      </c>
      <c r="F62" s="13">
        <v>60.5</v>
      </c>
      <c r="G62" s="15" t="s">
        <v>496</v>
      </c>
    </row>
    <row r="63">
      <c r="A63" s="6">
        <v>62.0</v>
      </c>
      <c r="B63" s="12" t="s">
        <v>497</v>
      </c>
      <c r="C63" s="13" t="s">
        <v>501</v>
      </c>
      <c r="D63" s="13">
        <v>62.0</v>
      </c>
      <c r="E63" s="13">
        <v>60.0</v>
      </c>
      <c r="F63" s="13">
        <v>61.0</v>
      </c>
      <c r="G63" s="15" t="s">
        <v>502</v>
      </c>
    </row>
    <row r="64">
      <c r="A64" s="6">
        <v>63.0</v>
      </c>
      <c r="B64" s="12" t="s">
        <v>504</v>
      </c>
      <c r="C64" s="13" t="s">
        <v>508</v>
      </c>
      <c r="D64" s="13">
        <v>66.0</v>
      </c>
      <c r="E64" s="13">
        <v>64.0</v>
      </c>
      <c r="F64" s="13">
        <v>65.0</v>
      </c>
      <c r="G64" s="15" t="s">
        <v>509</v>
      </c>
    </row>
    <row r="65">
      <c r="A65" s="6">
        <v>64.0</v>
      </c>
      <c r="B65" s="12" t="s">
        <v>510</v>
      </c>
      <c r="C65" s="13" t="s">
        <v>468</v>
      </c>
      <c r="D65" s="13">
        <v>70.0</v>
      </c>
      <c r="E65" s="13">
        <v>61.0</v>
      </c>
      <c r="F65" s="13">
        <v>65.5</v>
      </c>
      <c r="G65" s="15" t="s">
        <v>516</v>
      </c>
    </row>
    <row r="66">
      <c r="A66" s="6">
        <v>65.0</v>
      </c>
      <c r="B66" s="12" t="s">
        <v>518</v>
      </c>
      <c r="C66" s="13" t="s">
        <v>522</v>
      </c>
      <c r="D66" s="13">
        <v>60.0</v>
      </c>
      <c r="E66" s="13">
        <v>73.0</v>
      </c>
      <c r="F66" s="13">
        <v>66.5</v>
      </c>
      <c r="G66" s="15" t="s">
        <v>524</v>
      </c>
    </row>
    <row r="67">
      <c r="A67" s="6">
        <v>66.0</v>
      </c>
      <c r="B67" s="12" t="s">
        <v>525</v>
      </c>
      <c r="C67" s="13" t="s">
        <v>529</v>
      </c>
      <c r="D67" s="13">
        <v>72.0</v>
      </c>
      <c r="E67" s="13">
        <v>63.0</v>
      </c>
      <c r="F67" s="13">
        <v>67.5</v>
      </c>
      <c r="G67" s="15" t="s">
        <v>530</v>
      </c>
    </row>
    <row r="68">
      <c r="A68" s="6">
        <v>67.0</v>
      </c>
      <c r="B68" s="12" t="s">
        <v>532</v>
      </c>
      <c r="C68" s="13" t="s">
        <v>536</v>
      </c>
      <c r="D68" s="13">
        <v>68.0</v>
      </c>
      <c r="E68" s="13">
        <v>68.0</v>
      </c>
      <c r="F68" s="13">
        <v>68.0</v>
      </c>
      <c r="G68" s="15" t="s">
        <v>537</v>
      </c>
    </row>
    <row r="69">
      <c r="A69" s="6">
        <v>68.0</v>
      </c>
      <c r="B69" s="12" t="s">
        <v>539</v>
      </c>
      <c r="C69" s="13" t="s">
        <v>544</v>
      </c>
      <c r="D69" s="13">
        <v>69.0</v>
      </c>
      <c r="E69" s="13">
        <v>69.0</v>
      </c>
      <c r="F69" s="13">
        <v>69.0</v>
      </c>
      <c r="G69" s="15" t="s">
        <v>545</v>
      </c>
    </row>
    <row r="70">
      <c r="A70" s="6">
        <v>69.0</v>
      </c>
      <c r="B70" s="12" t="s">
        <v>546</v>
      </c>
      <c r="C70" s="13" t="s">
        <v>520</v>
      </c>
      <c r="D70" s="13">
        <v>74.0</v>
      </c>
      <c r="E70" s="13">
        <v>65.0</v>
      </c>
      <c r="F70" s="13">
        <v>69.5</v>
      </c>
      <c r="G70" s="15" t="s">
        <v>551</v>
      </c>
    </row>
    <row r="71">
      <c r="A71" s="6">
        <v>70.0</v>
      </c>
      <c r="B71" s="12" t="s">
        <v>552</v>
      </c>
      <c r="C71" s="13" t="s">
        <v>557</v>
      </c>
      <c r="D71" s="13">
        <v>67.0</v>
      </c>
      <c r="E71" s="13">
        <v>72.0</v>
      </c>
      <c r="F71" s="13">
        <v>69.5</v>
      </c>
      <c r="G71" s="15" t="s">
        <v>559</v>
      </c>
    </row>
    <row r="72">
      <c r="A72" s="6">
        <v>71.0</v>
      </c>
      <c r="B72" s="12" t="s">
        <v>561</v>
      </c>
      <c r="C72" s="13" t="s">
        <v>566</v>
      </c>
      <c r="D72" s="13">
        <v>64.0</v>
      </c>
      <c r="E72" s="13">
        <v>79.0</v>
      </c>
      <c r="F72" s="13">
        <v>71.5</v>
      </c>
      <c r="G72" s="15" t="s">
        <v>567</v>
      </c>
    </row>
    <row r="73">
      <c r="A73" s="6">
        <v>72.0</v>
      </c>
      <c r="B73" s="12" t="s">
        <v>568</v>
      </c>
      <c r="C73" s="13" t="s">
        <v>572</v>
      </c>
      <c r="D73" s="13">
        <v>65.0</v>
      </c>
      <c r="E73" s="13">
        <v>82.0</v>
      </c>
      <c r="F73" s="13">
        <v>73.5</v>
      </c>
      <c r="G73" s="15" t="s">
        <v>573</v>
      </c>
    </row>
    <row r="74">
      <c r="A74" s="6">
        <v>73.0</v>
      </c>
      <c r="B74" s="12" t="s">
        <v>574</v>
      </c>
      <c r="C74" s="13" t="s">
        <v>578</v>
      </c>
      <c r="D74" s="13">
        <v>81.0</v>
      </c>
      <c r="E74" s="13">
        <v>71.0</v>
      </c>
      <c r="F74" s="13">
        <v>76.0</v>
      </c>
      <c r="G74" s="15" t="s">
        <v>579</v>
      </c>
    </row>
    <row r="75">
      <c r="A75" s="6">
        <v>74.0</v>
      </c>
      <c r="B75" s="12" t="s">
        <v>583</v>
      </c>
      <c r="C75" s="13" t="s">
        <v>586</v>
      </c>
      <c r="D75" s="13">
        <v>84.0</v>
      </c>
      <c r="E75" s="13">
        <v>70.0</v>
      </c>
      <c r="F75" s="13">
        <v>77.0</v>
      </c>
      <c r="G75" s="15" t="s">
        <v>588</v>
      </c>
    </row>
    <row r="76">
      <c r="A76" s="6">
        <v>75.0</v>
      </c>
      <c r="B76" s="12" t="s">
        <v>590</v>
      </c>
      <c r="C76" s="13" t="s">
        <v>594</v>
      </c>
      <c r="D76" s="13">
        <v>78.0</v>
      </c>
      <c r="E76" s="13">
        <v>76.0</v>
      </c>
      <c r="F76" s="13">
        <v>77.0</v>
      </c>
      <c r="G76" s="15" t="s">
        <v>595</v>
      </c>
    </row>
    <row r="77">
      <c r="A77" s="6">
        <v>76.0</v>
      </c>
      <c r="B77" s="12" t="s">
        <v>597</v>
      </c>
      <c r="C77" s="13" t="s">
        <v>602</v>
      </c>
      <c r="D77" s="13">
        <v>76.0</v>
      </c>
      <c r="E77" s="13">
        <v>80.0</v>
      </c>
      <c r="F77" s="13">
        <v>78.0</v>
      </c>
      <c r="G77" s="15" t="s">
        <v>603</v>
      </c>
    </row>
    <row r="78">
      <c r="A78" s="6">
        <v>77.0</v>
      </c>
      <c r="B78" s="12" t="s">
        <v>604</v>
      </c>
      <c r="C78" s="13" t="s">
        <v>553</v>
      </c>
      <c r="D78" s="13">
        <v>77.0</v>
      </c>
      <c r="E78" s="13">
        <v>83.0</v>
      </c>
      <c r="F78" s="13">
        <v>80.0</v>
      </c>
      <c r="G78" s="15" t="s">
        <v>610</v>
      </c>
    </row>
    <row r="79">
      <c r="A79" s="6">
        <v>78.0</v>
      </c>
      <c r="B79" s="12" t="s">
        <v>612</v>
      </c>
      <c r="C79" s="13" t="s">
        <v>616</v>
      </c>
      <c r="D79" s="13">
        <v>71.0</v>
      </c>
      <c r="E79" s="13">
        <v>90.0</v>
      </c>
      <c r="F79" s="13">
        <v>80.5</v>
      </c>
      <c r="G79" s="15" t="s">
        <v>619</v>
      </c>
    </row>
    <row r="80">
      <c r="A80" s="6">
        <v>79.0</v>
      </c>
      <c r="B80" s="12" t="s">
        <v>620</v>
      </c>
      <c r="C80" s="13" t="s">
        <v>624</v>
      </c>
      <c r="D80" s="13">
        <v>111.0</v>
      </c>
      <c r="E80" s="13">
        <v>53.0</v>
      </c>
      <c r="F80" s="13">
        <v>82.0</v>
      </c>
      <c r="G80" s="15" t="s">
        <v>625</v>
      </c>
    </row>
    <row r="81">
      <c r="A81" s="6">
        <v>80.0</v>
      </c>
      <c r="B81" s="12" t="s">
        <v>626</v>
      </c>
      <c r="C81" s="13" t="s">
        <v>633</v>
      </c>
      <c r="D81" s="13">
        <v>80.0</v>
      </c>
      <c r="E81" s="13">
        <v>86.0</v>
      </c>
      <c r="F81" s="13">
        <v>83.0</v>
      </c>
      <c r="G81" s="15" t="s">
        <v>635</v>
      </c>
    </row>
    <row r="82">
      <c r="A82" s="6">
        <v>81.0</v>
      </c>
      <c r="B82" s="12" t="s">
        <v>636</v>
      </c>
      <c r="C82" s="13" t="s">
        <v>640</v>
      </c>
      <c r="D82" s="13">
        <v>73.0</v>
      </c>
      <c r="E82" s="13">
        <v>95.0</v>
      </c>
      <c r="F82" s="13">
        <v>84.0</v>
      </c>
      <c r="G82" s="15" t="s">
        <v>641</v>
      </c>
    </row>
    <row r="83">
      <c r="A83" s="6">
        <v>82.0</v>
      </c>
      <c r="B83" s="12" t="s">
        <v>643</v>
      </c>
      <c r="C83" s="13" t="s">
        <v>647</v>
      </c>
      <c r="D83" s="13">
        <v>88.0</v>
      </c>
      <c r="E83" s="13">
        <v>81.0</v>
      </c>
      <c r="F83" s="13">
        <v>84.5</v>
      </c>
      <c r="G83" s="15" t="s">
        <v>648</v>
      </c>
    </row>
    <row r="84">
      <c r="A84" s="6">
        <v>83.0</v>
      </c>
      <c r="B84" s="12" t="s">
        <v>650</v>
      </c>
      <c r="C84" s="13" t="s">
        <v>656</v>
      </c>
      <c r="D84" s="13">
        <v>79.0</v>
      </c>
      <c r="E84" s="13">
        <v>92.0</v>
      </c>
      <c r="F84" s="13">
        <v>85.5</v>
      </c>
      <c r="G84" s="15" t="s">
        <v>657</v>
      </c>
    </row>
    <row r="85">
      <c r="A85" s="6">
        <v>84.0</v>
      </c>
      <c r="B85" s="12" t="s">
        <v>658</v>
      </c>
      <c r="C85" s="13" t="s">
        <v>593</v>
      </c>
      <c r="D85" s="13">
        <v>98.0</v>
      </c>
      <c r="E85" s="13">
        <v>75.0</v>
      </c>
      <c r="F85" s="13">
        <v>86.5</v>
      </c>
      <c r="G85" s="15" t="s">
        <v>668</v>
      </c>
    </row>
    <row r="86">
      <c r="A86" s="6">
        <v>85.0</v>
      </c>
      <c r="B86" s="12" t="s">
        <v>669</v>
      </c>
      <c r="C86" s="13" t="s">
        <v>674</v>
      </c>
      <c r="D86" s="13">
        <v>75.0</v>
      </c>
      <c r="E86" s="13">
        <v>98.0</v>
      </c>
      <c r="F86" s="13">
        <v>86.5</v>
      </c>
      <c r="G86" s="15" t="s">
        <v>675</v>
      </c>
    </row>
    <row r="87">
      <c r="A87" s="6">
        <v>86.0</v>
      </c>
      <c r="B87" s="12" t="s">
        <v>677</v>
      </c>
      <c r="C87" s="13" t="s">
        <v>680</v>
      </c>
      <c r="D87" s="13">
        <v>90.0</v>
      </c>
      <c r="E87" s="13">
        <v>84.0</v>
      </c>
      <c r="F87" s="13">
        <v>87.0</v>
      </c>
      <c r="G87" s="15" t="s">
        <v>682</v>
      </c>
    </row>
    <row r="88">
      <c r="A88" s="6">
        <v>87.0</v>
      </c>
      <c r="B88" s="12" t="s">
        <v>684</v>
      </c>
      <c r="C88" s="13" t="s">
        <v>688</v>
      </c>
      <c r="D88" s="13">
        <v>85.0</v>
      </c>
      <c r="E88" s="13">
        <v>91.0</v>
      </c>
      <c r="F88" s="13">
        <v>88.0</v>
      </c>
      <c r="G88" s="15" t="s">
        <v>690</v>
      </c>
    </row>
    <row r="89">
      <c r="A89" s="6">
        <v>88.0</v>
      </c>
      <c r="B89" s="12" t="s">
        <v>692</v>
      </c>
      <c r="C89" s="13" t="s">
        <v>601</v>
      </c>
      <c r="D89" s="13">
        <v>102.0</v>
      </c>
      <c r="E89" s="13">
        <v>77.0</v>
      </c>
      <c r="F89" s="13">
        <v>89.5</v>
      </c>
      <c r="G89" s="15" t="s">
        <v>695</v>
      </c>
    </row>
    <row r="90">
      <c r="A90" s="6">
        <v>89.0</v>
      </c>
      <c r="B90" s="12" t="s">
        <v>697</v>
      </c>
      <c r="C90" s="13" t="s">
        <v>701</v>
      </c>
      <c r="D90" s="13">
        <v>96.0</v>
      </c>
      <c r="E90" s="13">
        <v>85.0</v>
      </c>
      <c r="F90" s="13">
        <v>90.5</v>
      </c>
      <c r="G90" s="15" t="s">
        <v>702</v>
      </c>
    </row>
    <row r="91">
      <c r="A91" s="6">
        <v>90.0</v>
      </c>
      <c r="B91" s="12" t="s">
        <v>705</v>
      </c>
      <c r="C91" s="13" t="s">
        <v>629</v>
      </c>
      <c r="D91" s="13">
        <v>94.0</v>
      </c>
      <c r="E91" s="13">
        <v>87.0</v>
      </c>
      <c r="F91" s="13">
        <v>90.5</v>
      </c>
      <c r="G91" s="15" t="s">
        <v>709</v>
      </c>
    </row>
    <row r="92">
      <c r="A92" s="6">
        <v>91.0</v>
      </c>
      <c r="B92" s="12" t="s">
        <v>710</v>
      </c>
      <c r="C92" s="13" t="s">
        <v>673</v>
      </c>
      <c r="D92" s="13">
        <v>107.0</v>
      </c>
      <c r="E92" s="13">
        <v>78.0</v>
      </c>
      <c r="F92" s="13">
        <v>92.5</v>
      </c>
      <c r="G92" s="15" t="s">
        <v>714</v>
      </c>
    </row>
    <row r="93">
      <c r="A93" s="6">
        <v>92.0</v>
      </c>
      <c r="B93" s="12" t="s">
        <v>717</v>
      </c>
      <c r="C93" s="13" t="s">
        <v>722</v>
      </c>
      <c r="D93" s="13">
        <v>91.0</v>
      </c>
      <c r="E93" s="13">
        <v>94.0</v>
      </c>
      <c r="F93" s="13">
        <v>92.5</v>
      </c>
      <c r="G93" s="15" t="s">
        <v>723</v>
      </c>
    </row>
    <row r="94">
      <c r="A94" s="6">
        <v>93.0</v>
      </c>
      <c r="B94" s="12" t="s">
        <v>725</v>
      </c>
      <c r="C94" s="13" t="s">
        <v>730</v>
      </c>
      <c r="D94" s="13">
        <v>83.0</v>
      </c>
      <c r="E94" s="13">
        <v>106.0</v>
      </c>
      <c r="F94" s="13">
        <v>94.5</v>
      </c>
      <c r="G94" s="15" t="s">
        <v>731</v>
      </c>
    </row>
    <row r="95">
      <c r="A95" s="6">
        <v>94.0</v>
      </c>
      <c r="B95" s="12" t="s">
        <v>732</v>
      </c>
      <c r="C95" s="13" t="s">
        <v>740</v>
      </c>
      <c r="D95" s="13">
        <v>116.0</v>
      </c>
      <c r="E95" s="13">
        <v>74.0</v>
      </c>
      <c r="F95" s="13">
        <v>95.0</v>
      </c>
      <c r="G95" s="15" t="s">
        <v>741</v>
      </c>
    </row>
    <row r="96">
      <c r="A96" s="6">
        <v>95.0</v>
      </c>
      <c r="B96" s="12" t="s">
        <v>743</v>
      </c>
      <c r="C96" s="13" t="s">
        <v>748</v>
      </c>
      <c r="D96" s="13">
        <v>82.0</v>
      </c>
      <c r="E96" s="13">
        <v>110.0</v>
      </c>
      <c r="F96" s="13">
        <v>96.0</v>
      </c>
      <c r="G96" s="15">
        <v>95.0</v>
      </c>
    </row>
    <row r="97">
      <c r="A97" s="6">
        <v>96.0</v>
      </c>
      <c r="B97" s="12" t="s">
        <v>751</v>
      </c>
      <c r="C97" s="13" t="s">
        <v>755</v>
      </c>
      <c r="D97" s="13">
        <v>93.0</v>
      </c>
      <c r="E97" s="13">
        <v>99.0</v>
      </c>
      <c r="F97" s="13">
        <v>96.0</v>
      </c>
      <c r="G97" s="15">
        <v>96.0</v>
      </c>
    </row>
    <row r="98">
      <c r="A98" s="6">
        <v>97.0</v>
      </c>
      <c r="B98" s="12" t="s">
        <v>757</v>
      </c>
      <c r="C98" s="13" t="s">
        <v>764</v>
      </c>
      <c r="D98" s="13">
        <v>95.0</v>
      </c>
      <c r="E98" s="13">
        <v>97.0</v>
      </c>
      <c r="F98" s="13">
        <v>96.0</v>
      </c>
      <c r="G98" s="15" t="s">
        <v>765</v>
      </c>
    </row>
    <row r="99">
      <c r="A99" s="6">
        <v>98.0</v>
      </c>
      <c r="B99" s="12" t="s">
        <v>766</v>
      </c>
      <c r="C99" s="13" t="s">
        <v>769</v>
      </c>
      <c r="D99" s="13">
        <v>87.0</v>
      </c>
      <c r="E99" s="13">
        <v>119.0</v>
      </c>
      <c r="F99" s="13">
        <v>103.0</v>
      </c>
      <c r="G99" s="15" t="s">
        <v>771</v>
      </c>
    </row>
    <row r="100">
      <c r="A100" s="6">
        <v>99.0</v>
      </c>
      <c r="B100" s="12" t="s">
        <v>773</v>
      </c>
      <c r="C100" s="13" t="s">
        <v>778</v>
      </c>
      <c r="D100" s="13">
        <v>103.0</v>
      </c>
      <c r="E100" s="13">
        <v>104.0</v>
      </c>
      <c r="F100" s="13">
        <v>103.5</v>
      </c>
      <c r="G100" s="15" t="s">
        <v>780</v>
      </c>
    </row>
    <row r="101">
      <c r="A101" s="6">
        <v>100.0</v>
      </c>
      <c r="B101" s="12" t="s">
        <v>782</v>
      </c>
      <c r="C101" s="13" t="s">
        <v>785</v>
      </c>
      <c r="D101" s="13">
        <v>92.0</v>
      </c>
      <c r="E101" s="13">
        <v>117.0</v>
      </c>
      <c r="F101" s="13">
        <v>104.5</v>
      </c>
      <c r="G101" s="15" t="s">
        <v>786</v>
      </c>
    </row>
    <row r="102">
      <c r="A102" s="6">
        <v>101.0</v>
      </c>
      <c r="B102" s="12" t="s">
        <v>789</v>
      </c>
      <c r="C102" s="13" t="s">
        <v>795</v>
      </c>
      <c r="D102" s="13">
        <v>127.0</v>
      </c>
      <c r="E102" s="13">
        <v>88.0</v>
      </c>
      <c r="F102" s="13">
        <v>107.5</v>
      </c>
      <c r="G102" s="15">
        <v>101.0</v>
      </c>
    </row>
    <row r="103">
      <c r="A103" s="6">
        <v>102.0</v>
      </c>
      <c r="B103" s="12" t="s">
        <v>798</v>
      </c>
      <c r="C103" s="13" t="s">
        <v>805</v>
      </c>
      <c r="D103" s="13">
        <v>117.0</v>
      </c>
      <c r="E103" s="13">
        <v>100.0</v>
      </c>
      <c r="F103" s="13">
        <v>108.5</v>
      </c>
      <c r="G103" s="15" t="s">
        <v>807</v>
      </c>
    </row>
    <row r="104">
      <c r="A104" s="6">
        <v>103.0</v>
      </c>
      <c r="B104" s="12" t="s">
        <v>809</v>
      </c>
      <c r="C104" s="13" t="s">
        <v>814</v>
      </c>
      <c r="D104" s="13">
        <v>125.0</v>
      </c>
      <c r="E104" s="13">
        <v>93.0</v>
      </c>
      <c r="F104" s="13">
        <v>109.0</v>
      </c>
      <c r="G104" s="15" t="s">
        <v>815</v>
      </c>
    </row>
    <row r="105">
      <c r="A105" s="6">
        <v>104.0</v>
      </c>
      <c r="B105" s="12" t="s">
        <v>817</v>
      </c>
      <c r="C105" s="13" t="s">
        <v>823</v>
      </c>
      <c r="D105" s="13">
        <v>119.0</v>
      </c>
      <c r="E105" s="13">
        <v>101.0</v>
      </c>
      <c r="F105" s="13">
        <v>110.0</v>
      </c>
      <c r="G105" s="15" t="s">
        <v>824</v>
      </c>
    </row>
    <row r="106">
      <c r="A106" s="6">
        <v>105.0</v>
      </c>
      <c r="B106" s="12" t="s">
        <v>826</v>
      </c>
      <c r="C106" s="13" t="s">
        <v>834</v>
      </c>
      <c r="D106" s="13">
        <v>105.0</v>
      </c>
      <c r="E106" s="13">
        <v>115.0</v>
      </c>
      <c r="F106" s="13">
        <v>110.0</v>
      </c>
      <c r="G106" s="15" t="s">
        <v>835</v>
      </c>
    </row>
    <row r="107">
      <c r="A107" s="6">
        <v>106.0</v>
      </c>
      <c r="B107" s="12" t="s">
        <v>836</v>
      </c>
      <c r="C107" s="13" t="s">
        <v>762</v>
      </c>
      <c r="D107" s="13">
        <v>112.0</v>
      </c>
      <c r="E107" s="13">
        <v>108.0</v>
      </c>
      <c r="F107" s="13">
        <v>110.0</v>
      </c>
      <c r="G107" s="15" t="s">
        <v>843</v>
      </c>
    </row>
    <row r="108">
      <c r="A108" s="6">
        <v>107.0</v>
      </c>
      <c r="B108" s="12" t="s">
        <v>845</v>
      </c>
      <c r="C108" s="13" t="s">
        <v>851</v>
      </c>
      <c r="D108" s="13">
        <v>108.0</v>
      </c>
      <c r="E108" s="13">
        <v>112.0</v>
      </c>
      <c r="F108" s="13">
        <v>110.0</v>
      </c>
      <c r="G108" s="15" t="s">
        <v>853</v>
      </c>
    </row>
    <row r="109">
      <c r="A109" s="6">
        <v>108.0</v>
      </c>
      <c r="B109" s="12" t="s">
        <v>854</v>
      </c>
      <c r="C109" s="13" t="s">
        <v>862</v>
      </c>
      <c r="D109" s="13">
        <v>104.0</v>
      </c>
      <c r="E109" s="13">
        <v>118.0</v>
      </c>
      <c r="F109" s="13">
        <v>111.0</v>
      </c>
      <c r="G109" s="15" t="s">
        <v>863</v>
      </c>
    </row>
    <row r="110">
      <c r="A110" s="6">
        <v>109.0</v>
      </c>
      <c r="B110" s="12" t="s">
        <v>865</v>
      </c>
      <c r="C110" s="13" t="s">
        <v>870</v>
      </c>
      <c r="D110" s="13">
        <v>109.0</v>
      </c>
      <c r="E110" s="13">
        <v>113.0</v>
      </c>
      <c r="F110" s="13">
        <v>111.0</v>
      </c>
      <c r="G110" s="15" t="s">
        <v>872</v>
      </c>
    </row>
    <row r="111">
      <c r="A111" s="6">
        <v>110.0</v>
      </c>
      <c r="B111" s="12" t="s">
        <v>873</v>
      </c>
      <c r="C111" s="13" t="s">
        <v>797</v>
      </c>
      <c r="D111" s="13">
        <v>118.0</v>
      </c>
      <c r="E111" s="13">
        <v>109.0</v>
      </c>
      <c r="F111" s="13">
        <v>113.5</v>
      </c>
      <c r="G111" s="15" t="s">
        <v>879</v>
      </c>
    </row>
    <row r="112">
      <c r="A112" s="6">
        <v>111.0</v>
      </c>
      <c r="B112" s="12" t="s">
        <v>880</v>
      </c>
      <c r="C112" s="13" t="s">
        <v>886</v>
      </c>
      <c r="D112" s="13">
        <v>97.0</v>
      </c>
      <c r="E112" s="13">
        <v>134.0</v>
      </c>
      <c r="F112" s="13">
        <v>115.5</v>
      </c>
      <c r="G112" s="15" t="s">
        <v>888</v>
      </c>
    </row>
    <row r="113">
      <c r="A113" s="6">
        <v>112.0</v>
      </c>
      <c r="B113" s="12" t="s">
        <v>890</v>
      </c>
      <c r="C113" s="13" t="s">
        <v>895</v>
      </c>
      <c r="D113" s="13">
        <v>115.0</v>
      </c>
      <c r="E113" s="13">
        <v>116.0</v>
      </c>
      <c r="F113" s="13">
        <v>115.5</v>
      </c>
      <c r="G113" s="15" t="s">
        <v>896</v>
      </c>
    </row>
    <row r="114">
      <c r="A114" s="6">
        <v>113.0</v>
      </c>
      <c r="B114" s="12" t="s">
        <v>899</v>
      </c>
      <c r="C114" s="13" t="s">
        <v>904</v>
      </c>
      <c r="D114" s="13">
        <v>110.0</v>
      </c>
      <c r="E114" s="13">
        <v>124.0</v>
      </c>
      <c r="F114" s="13">
        <v>117.0</v>
      </c>
      <c r="G114" s="15" t="s">
        <v>905</v>
      </c>
    </row>
    <row r="115">
      <c r="A115" s="6">
        <v>114.0</v>
      </c>
      <c r="B115" s="12" t="s">
        <v>906</v>
      </c>
      <c r="C115" s="13" t="s">
        <v>913</v>
      </c>
      <c r="D115" s="13">
        <v>123.0</v>
      </c>
      <c r="E115" s="13">
        <v>111.0</v>
      </c>
      <c r="F115" s="13">
        <v>117.0</v>
      </c>
      <c r="G115" s="15" t="s">
        <v>914</v>
      </c>
    </row>
    <row r="116">
      <c r="A116" s="6">
        <v>115.0</v>
      </c>
      <c r="B116" s="12" t="s">
        <v>915</v>
      </c>
      <c r="C116" s="13" t="s">
        <v>921</v>
      </c>
      <c r="D116" s="13">
        <v>86.0</v>
      </c>
      <c r="E116" s="13">
        <v>150.0</v>
      </c>
      <c r="F116" s="13">
        <v>118.0</v>
      </c>
      <c r="G116" s="15" t="s">
        <v>923</v>
      </c>
    </row>
    <row r="117">
      <c r="A117" s="6">
        <v>116.0</v>
      </c>
      <c r="B117" s="12" t="s">
        <v>925</v>
      </c>
      <c r="C117" s="13" t="s">
        <v>931</v>
      </c>
      <c r="D117" s="13">
        <v>101.0</v>
      </c>
      <c r="E117" s="13">
        <v>136.0</v>
      </c>
      <c r="F117" s="13">
        <v>118.5</v>
      </c>
      <c r="G117" s="15" t="s">
        <v>932</v>
      </c>
    </row>
    <row r="118">
      <c r="A118" s="6">
        <v>117.0</v>
      </c>
      <c r="B118" s="12" t="s">
        <v>933</v>
      </c>
      <c r="C118" s="13" t="s">
        <v>938</v>
      </c>
      <c r="D118" s="13">
        <v>142.0</v>
      </c>
      <c r="E118" s="13">
        <v>96.0</v>
      </c>
      <c r="F118" s="13">
        <v>119.0</v>
      </c>
      <c r="G118" s="15" t="s">
        <v>941</v>
      </c>
    </row>
    <row r="119">
      <c r="A119" s="6">
        <v>118.0</v>
      </c>
      <c r="B119" s="12" t="s">
        <v>943</v>
      </c>
      <c r="C119" s="13" t="s">
        <v>816</v>
      </c>
      <c r="D119" s="13">
        <v>133.0</v>
      </c>
      <c r="E119" s="13">
        <v>105.0</v>
      </c>
      <c r="F119" s="13">
        <v>119.0</v>
      </c>
      <c r="G119" s="15" t="s">
        <v>949</v>
      </c>
    </row>
    <row r="120">
      <c r="A120" s="6">
        <v>119.0</v>
      </c>
      <c r="B120" s="12" t="s">
        <v>952</v>
      </c>
      <c r="C120" s="13" t="s">
        <v>830</v>
      </c>
      <c r="D120" s="13">
        <v>138.0</v>
      </c>
      <c r="E120" s="13">
        <v>102.0</v>
      </c>
      <c r="F120" s="13">
        <v>120.0</v>
      </c>
      <c r="G120" s="15" t="s">
        <v>958</v>
      </c>
    </row>
    <row r="121">
      <c r="A121" s="6">
        <v>120.0</v>
      </c>
      <c r="B121" s="12" t="s">
        <v>960</v>
      </c>
      <c r="C121" s="13" t="s">
        <v>966</v>
      </c>
      <c r="D121" s="13">
        <v>113.0</v>
      </c>
      <c r="E121" s="13">
        <v>127.0</v>
      </c>
      <c r="F121" s="13">
        <v>120.0</v>
      </c>
      <c r="G121" s="15" t="s">
        <v>967</v>
      </c>
    </row>
    <row r="122">
      <c r="A122" s="6">
        <v>121.0</v>
      </c>
      <c r="B122" s="12" t="s">
        <v>970</v>
      </c>
      <c r="C122" s="13" t="s">
        <v>976</v>
      </c>
      <c r="D122" s="13">
        <v>122.0</v>
      </c>
      <c r="E122" s="13">
        <v>122.0</v>
      </c>
      <c r="F122" s="13">
        <v>122.0</v>
      </c>
      <c r="G122" s="15" t="s">
        <v>977</v>
      </c>
    </row>
    <row r="123">
      <c r="A123" s="6">
        <v>122.0</v>
      </c>
      <c r="B123" s="12" t="s">
        <v>979</v>
      </c>
      <c r="C123" s="13" t="s">
        <v>939</v>
      </c>
      <c r="D123" s="13">
        <v>135.0</v>
      </c>
      <c r="E123" s="13">
        <v>114.0</v>
      </c>
      <c r="F123" s="13">
        <v>124.5</v>
      </c>
      <c r="G123" s="15" t="s">
        <v>985</v>
      </c>
    </row>
    <row r="124">
      <c r="A124" s="6">
        <v>123.0</v>
      </c>
      <c r="B124" s="12" t="s">
        <v>986</v>
      </c>
      <c r="C124" s="13" t="s">
        <v>992</v>
      </c>
      <c r="D124" s="13">
        <v>99.0</v>
      </c>
      <c r="E124" s="13">
        <v>152.0</v>
      </c>
      <c r="F124" s="13">
        <v>125.5</v>
      </c>
      <c r="G124" s="15" t="s">
        <v>993</v>
      </c>
    </row>
    <row r="125">
      <c r="A125" s="6">
        <v>124.0</v>
      </c>
      <c r="B125" s="12" t="s">
        <v>994</v>
      </c>
      <c r="C125" s="13" t="s">
        <v>953</v>
      </c>
      <c r="D125" s="13">
        <v>131.0</v>
      </c>
      <c r="E125" s="13">
        <v>126.0</v>
      </c>
      <c r="F125" s="13">
        <v>128.5</v>
      </c>
      <c r="G125" s="15" t="s">
        <v>1001</v>
      </c>
    </row>
    <row r="126">
      <c r="A126" s="6">
        <v>125.0</v>
      </c>
      <c r="B126" s="12" t="s">
        <v>1003</v>
      </c>
      <c r="C126" s="13" t="s">
        <v>1008</v>
      </c>
      <c r="D126" s="13">
        <v>169.0</v>
      </c>
      <c r="E126" s="13">
        <v>89.0</v>
      </c>
      <c r="F126" s="13">
        <v>129.0</v>
      </c>
      <c r="G126" s="15" t="s">
        <v>1010</v>
      </c>
    </row>
    <row r="127">
      <c r="A127" s="6">
        <v>126.0</v>
      </c>
      <c r="B127" s="12" t="s">
        <v>1012</v>
      </c>
      <c r="C127" s="13" t="s">
        <v>885</v>
      </c>
      <c r="D127" s="13">
        <v>155.0</v>
      </c>
      <c r="E127" s="13">
        <v>103.0</v>
      </c>
      <c r="F127" s="13">
        <v>129.0</v>
      </c>
      <c r="G127" s="15" t="s">
        <v>1017</v>
      </c>
    </row>
    <row r="128">
      <c r="A128" s="6">
        <v>127.0</v>
      </c>
      <c r="B128" s="12" t="s">
        <v>1018</v>
      </c>
      <c r="C128" s="13" t="s">
        <v>1000</v>
      </c>
      <c r="D128" s="13">
        <v>139.0</v>
      </c>
      <c r="E128" s="13">
        <v>121.0</v>
      </c>
      <c r="F128" s="13">
        <v>130.0</v>
      </c>
      <c r="G128" s="15" t="s">
        <v>1026</v>
      </c>
    </row>
    <row r="129">
      <c r="A129" s="6">
        <v>128.0</v>
      </c>
      <c r="B129" s="12" t="s">
        <v>1027</v>
      </c>
      <c r="C129" s="13" t="s">
        <v>1031</v>
      </c>
      <c r="D129" s="13">
        <v>121.0</v>
      </c>
      <c r="E129" s="13">
        <v>140.0</v>
      </c>
      <c r="F129" s="13">
        <v>130.5</v>
      </c>
      <c r="G129" s="15" t="s">
        <v>1033</v>
      </c>
    </row>
    <row r="130">
      <c r="A130" s="6">
        <v>129.0</v>
      </c>
      <c r="B130" s="12" t="s">
        <v>1036</v>
      </c>
      <c r="C130" s="13" t="s">
        <v>1041</v>
      </c>
      <c r="D130" s="13">
        <v>136.0</v>
      </c>
      <c r="E130" s="13">
        <v>125.0</v>
      </c>
      <c r="F130" s="13">
        <v>130.5</v>
      </c>
      <c r="G130" s="15" t="s">
        <v>1042</v>
      </c>
    </row>
    <row r="131">
      <c r="A131" s="6">
        <v>130.0</v>
      </c>
      <c r="B131" s="12" t="s">
        <v>1044</v>
      </c>
      <c r="C131" s="13" t="s">
        <v>1019</v>
      </c>
      <c r="D131" s="13">
        <v>156.0</v>
      </c>
      <c r="E131" s="13">
        <v>107.0</v>
      </c>
      <c r="F131" s="13">
        <v>131.5</v>
      </c>
      <c r="G131" s="15" t="s">
        <v>1050</v>
      </c>
    </row>
    <row r="132">
      <c r="A132" s="6">
        <v>131.0</v>
      </c>
      <c r="B132" s="12" t="s">
        <v>1052</v>
      </c>
      <c r="C132" s="13" t="s">
        <v>1057</v>
      </c>
      <c r="D132" s="13">
        <v>89.0</v>
      </c>
      <c r="E132" s="13">
        <v>175.0</v>
      </c>
      <c r="F132" s="13">
        <v>132.0</v>
      </c>
      <c r="G132" s="15" t="s">
        <v>1058</v>
      </c>
    </row>
    <row r="133">
      <c r="A133" s="6">
        <v>132.0</v>
      </c>
      <c r="B133" s="12" t="s">
        <v>1063</v>
      </c>
      <c r="C133" s="13" t="s">
        <v>1068</v>
      </c>
      <c r="D133" s="13">
        <v>140.0</v>
      </c>
      <c r="E133" s="13">
        <v>128.0</v>
      </c>
      <c r="F133" s="13">
        <v>134.0</v>
      </c>
      <c r="G133" s="15" t="s">
        <v>1069</v>
      </c>
    </row>
    <row r="134">
      <c r="A134" s="6">
        <v>133.0</v>
      </c>
      <c r="B134" s="12" t="s">
        <v>1072</v>
      </c>
      <c r="C134" s="13" t="s">
        <v>1076</v>
      </c>
      <c r="D134" s="13">
        <v>114.0</v>
      </c>
      <c r="E134" s="13">
        <v>156.0</v>
      </c>
      <c r="F134" s="13">
        <v>135.0</v>
      </c>
      <c r="G134" s="15" t="s">
        <v>1078</v>
      </c>
    </row>
    <row r="135">
      <c r="A135" s="6">
        <v>134.0</v>
      </c>
      <c r="B135" s="12" t="s">
        <v>1080</v>
      </c>
      <c r="C135" s="13" t="s">
        <v>1035</v>
      </c>
      <c r="D135" s="13">
        <v>130.0</v>
      </c>
      <c r="E135" s="13">
        <v>142.0</v>
      </c>
      <c r="F135" s="13">
        <v>136.0</v>
      </c>
      <c r="G135" s="15" t="s">
        <v>1086</v>
      </c>
    </row>
    <row r="136">
      <c r="A136" s="6">
        <v>135.0</v>
      </c>
      <c r="B136" s="12" t="s">
        <v>1087</v>
      </c>
      <c r="C136" s="13" t="s">
        <v>1093</v>
      </c>
      <c r="D136" s="13">
        <v>132.0</v>
      </c>
      <c r="E136" s="13">
        <v>146.0</v>
      </c>
      <c r="F136" s="13">
        <v>139.0</v>
      </c>
      <c r="G136" s="15" t="s">
        <v>1095</v>
      </c>
    </row>
    <row r="137">
      <c r="A137" s="6">
        <v>136.0</v>
      </c>
      <c r="B137" s="12" t="s">
        <v>1097</v>
      </c>
      <c r="C137" s="13" t="s">
        <v>1102</v>
      </c>
      <c r="D137" s="13">
        <v>129.0</v>
      </c>
      <c r="E137" s="13">
        <v>151.0</v>
      </c>
      <c r="F137" s="13">
        <v>140.0</v>
      </c>
      <c r="G137" s="15" t="s">
        <v>1104</v>
      </c>
    </row>
    <row r="138">
      <c r="A138" s="6">
        <v>137.0</v>
      </c>
      <c r="B138" s="12" t="s">
        <v>1105</v>
      </c>
      <c r="C138" s="13" t="s">
        <v>1090</v>
      </c>
      <c r="D138" s="13">
        <v>137.0</v>
      </c>
      <c r="E138" s="13">
        <v>144.0</v>
      </c>
      <c r="F138" s="13">
        <v>140.5</v>
      </c>
      <c r="G138" s="15" t="s">
        <v>1112</v>
      </c>
    </row>
    <row r="139">
      <c r="A139" s="6">
        <v>138.0</v>
      </c>
      <c r="B139" s="12" t="s">
        <v>1114</v>
      </c>
      <c r="C139" s="13" t="s">
        <v>1100</v>
      </c>
      <c r="D139" s="13">
        <v>151.0</v>
      </c>
      <c r="E139" s="13">
        <v>132.0</v>
      </c>
      <c r="F139" s="13">
        <v>141.5</v>
      </c>
      <c r="G139" s="15" t="s">
        <v>1119</v>
      </c>
    </row>
    <row r="140">
      <c r="A140" s="6">
        <v>139.0</v>
      </c>
      <c r="B140" s="12" t="s">
        <v>1120</v>
      </c>
      <c r="C140" s="13" t="s">
        <v>924</v>
      </c>
      <c r="D140" s="13">
        <v>146.0</v>
      </c>
      <c r="E140" s="13">
        <v>137.0</v>
      </c>
      <c r="F140" s="13">
        <v>141.5</v>
      </c>
      <c r="G140" s="15" t="s">
        <v>1127</v>
      </c>
    </row>
    <row r="141">
      <c r="A141" s="6">
        <v>140.0</v>
      </c>
      <c r="B141" s="12" t="s">
        <v>1129</v>
      </c>
      <c r="C141" s="13" t="s">
        <v>1134</v>
      </c>
      <c r="D141" s="13">
        <v>120.0</v>
      </c>
      <c r="E141" s="13">
        <v>165.0</v>
      </c>
      <c r="F141" s="13">
        <v>142.5</v>
      </c>
      <c r="G141" s="15" t="s">
        <v>1136</v>
      </c>
    </row>
    <row r="142">
      <c r="A142" s="6">
        <v>141.0</v>
      </c>
      <c r="B142" s="12" t="s">
        <v>1138</v>
      </c>
      <c r="C142" s="13" t="s">
        <v>1143</v>
      </c>
      <c r="D142" s="13">
        <v>124.0</v>
      </c>
      <c r="E142" s="13">
        <v>161.0</v>
      </c>
      <c r="F142" s="13">
        <v>142.5</v>
      </c>
      <c r="G142" s="15" t="s">
        <v>1145</v>
      </c>
    </row>
    <row r="143">
      <c r="A143" s="6">
        <v>142.0</v>
      </c>
      <c r="B143" s="12" t="s">
        <v>1147</v>
      </c>
      <c r="C143" s="13" t="s">
        <v>961</v>
      </c>
      <c r="D143" s="13">
        <v>168.0</v>
      </c>
      <c r="E143" s="13">
        <v>120.0</v>
      </c>
      <c r="F143" s="13">
        <v>144.0</v>
      </c>
      <c r="G143" s="15">
        <v>142.0</v>
      </c>
    </row>
    <row r="144">
      <c r="A144" s="6">
        <v>143.0</v>
      </c>
      <c r="B144" s="12" t="s">
        <v>1154</v>
      </c>
      <c r="C144" s="13" t="s">
        <v>1110</v>
      </c>
      <c r="D144" s="13">
        <v>145.0</v>
      </c>
      <c r="E144" s="13">
        <v>147.0</v>
      </c>
      <c r="F144" s="13">
        <v>146.0</v>
      </c>
      <c r="G144" s="15" t="s">
        <v>1159</v>
      </c>
    </row>
    <row r="145">
      <c r="A145" s="6">
        <v>144.0</v>
      </c>
      <c r="B145" s="12" t="s">
        <v>1162</v>
      </c>
      <c r="C145" s="13" t="s">
        <v>1167</v>
      </c>
      <c r="D145" s="13">
        <v>106.0</v>
      </c>
      <c r="E145" s="13">
        <v>190.0</v>
      </c>
      <c r="F145" s="13">
        <v>148.0</v>
      </c>
      <c r="G145" s="15" t="s">
        <v>1168</v>
      </c>
    </row>
    <row r="146">
      <c r="A146" s="6">
        <v>145.0</v>
      </c>
      <c r="B146" s="12" t="s">
        <v>1170</v>
      </c>
      <c r="C146" s="13" t="s">
        <v>1121</v>
      </c>
      <c r="D146" s="13">
        <v>153.0</v>
      </c>
      <c r="E146" s="13">
        <v>143.0</v>
      </c>
      <c r="F146" s="13">
        <v>148.0</v>
      </c>
      <c r="G146" s="15" t="s">
        <v>1176</v>
      </c>
    </row>
    <row r="147">
      <c r="A147" s="6">
        <v>146.0</v>
      </c>
      <c r="B147" s="12" t="s">
        <v>1178</v>
      </c>
      <c r="C147" s="13" t="s">
        <v>1184</v>
      </c>
      <c r="D147" s="13">
        <v>159.0</v>
      </c>
      <c r="E147" s="13">
        <v>141.0</v>
      </c>
      <c r="F147" s="13">
        <v>150.0</v>
      </c>
      <c r="G147" s="15" t="s">
        <v>1186</v>
      </c>
    </row>
    <row r="148">
      <c r="A148" s="6">
        <v>147.0</v>
      </c>
      <c r="B148" s="12" t="s">
        <v>1188</v>
      </c>
      <c r="C148" s="13" t="s">
        <v>975</v>
      </c>
      <c r="D148" s="13">
        <v>174.0</v>
      </c>
      <c r="E148" s="13">
        <v>130.0</v>
      </c>
      <c r="F148" s="13">
        <v>152.0</v>
      </c>
      <c r="G148" s="15" t="s">
        <v>1194</v>
      </c>
    </row>
    <row r="149">
      <c r="A149" s="6">
        <v>148.0</v>
      </c>
      <c r="B149" s="12" t="s">
        <v>1197</v>
      </c>
      <c r="C149" s="13" t="s">
        <v>1202</v>
      </c>
      <c r="D149" s="13">
        <v>134.0</v>
      </c>
      <c r="E149" s="13">
        <v>171.0</v>
      </c>
      <c r="F149" s="13">
        <v>152.5</v>
      </c>
      <c r="G149" s="15" t="s">
        <v>1204</v>
      </c>
    </row>
    <row r="150">
      <c r="A150" s="6">
        <v>149.0</v>
      </c>
      <c r="B150" s="12" t="s">
        <v>1206</v>
      </c>
      <c r="C150" s="13" t="s">
        <v>1180</v>
      </c>
      <c r="D150" s="13">
        <v>167.0</v>
      </c>
      <c r="E150" s="13">
        <v>138.0</v>
      </c>
      <c r="F150" s="13">
        <v>152.5</v>
      </c>
      <c r="G150" s="15" t="s">
        <v>1211</v>
      </c>
    </row>
    <row r="151">
      <c r="A151" s="6">
        <v>150.0</v>
      </c>
      <c r="B151" s="12" t="s">
        <v>1213</v>
      </c>
      <c r="C151" s="13" t="s">
        <v>1219</v>
      </c>
      <c r="D151" s="13">
        <v>147.0</v>
      </c>
      <c r="E151" s="13">
        <v>160.0</v>
      </c>
      <c r="F151" s="13">
        <v>153.5</v>
      </c>
      <c r="G151" s="15" t="s">
        <v>1221</v>
      </c>
    </row>
    <row r="152">
      <c r="A152" s="6">
        <v>151.0</v>
      </c>
      <c r="B152" s="12" t="s">
        <v>1223</v>
      </c>
      <c r="C152" s="13" t="s">
        <v>1009</v>
      </c>
      <c r="D152" s="13">
        <v>164.0</v>
      </c>
      <c r="E152" s="13">
        <v>145.0</v>
      </c>
      <c r="F152" s="13">
        <v>154.5</v>
      </c>
      <c r="G152" s="15" t="s">
        <v>1230</v>
      </c>
    </row>
    <row r="153">
      <c r="A153" s="6">
        <v>152.0</v>
      </c>
      <c r="B153" s="12" t="s">
        <v>1232</v>
      </c>
      <c r="C153" s="13" t="s">
        <v>1189</v>
      </c>
      <c r="D153" s="13">
        <v>149.0</v>
      </c>
      <c r="E153" s="13">
        <v>162.0</v>
      </c>
      <c r="F153" s="13">
        <v>155.5</v>
      </c>
      <c r="G153" s="15" t="s">
        <v>1238</v>
      </c>
    </row>
    <row r="154">
      <c r="A154" s="6">
        <v>153.0</v>
      </c>
      <c r="B154" s="12" t="s">
        <v>1239</v>
      </c>
      <c r="C154" s="13" t="s">
        <v>1128</v>
      </c>
      <c r="D154" s="13">
        <v>141.0</v>
      </c>
      <c r="E154" s="13">
        <v>173.0</v>
      </c>
      <c r="F154" s="13">
        <v>157.0</v>
      </c>
      <c r="G154" s="15" t="s">
        <v>1247</v>
      </c>
    </row>
    <row r="155">
      <c r="A155" s="6">
        <v>154.0</v>
      </c>
      <c r="B155" s="12" t="s">
        <v>1248</v>
      </c>
      <c r="C155" s="13" t="s">
        <v>1220</v>
      </c>
      <c r="D155" s="13">
        <v>100.0</v>
      </c>
      <c r="E155" s="13">
        <v>215.0</v>
      </c>
      <c r="F155" s="13">
        <v>157.5</v>
      </c>
      <c r="G155" s="15" t="s">
        <v>1255</v>
      </c>
    </row>
    <row r="156">
      <c r="A156" s="6">
        <v>155.0</v>
      </c>
      <c r="B156" s="12" t="s">
        <v>1257</v>
      </c>
      <c r="C156" s="13" t="s">
        <v>1235</v>
      </c>
      <c r="D156" s="13">
        <v>176.0</v>
      </c>
      <c r="E156" s="13">
        <v>139.0</v>
      </c>
      <c r="F156" s="13">
        <v>157.5</v>
      </c>
      <c r="G156" s="15" t="s">
        <v>1264</v>
      </c>
    </row>
    <row r="157">
      <c r="A157" s="6">
        <v>156.0</v>
      </c>
      <c r="B157" s="12" t="s">
        <v>1265</v>
      </c>
      <c r="C157" s="13" t="s">
        <v>1271</v>
      </c>
      <c r="D157" s="13">
        <v>152.0</v>
      </c>
      <c r="E157" s="13">
        <v>163.0</v>
      </c>
      <c r="F157" s="13">
        <v>157.5</v>
      </c>
      <c r="G157" s="15" t="s">
        <v>1273</v>
      </c>
    </row>
    <row r="158">
      <c r="A158" s="6">
        <v>157.0</v>
      </c>
      <c r="B158" s="12" t="s">
        <v>1275</v>
      </c>
      <c r="C158" s="13" t="s">
        <v>1082</v>
      </c>
      <c r="D158" s="13">
        <v>187.0</v>
      </c>
      <c r="E158" s="13">
        <v>129.0</v>
      </c>
      <c r="F158" s="13">
        <v>158.0</v>
      </c>
      <c r="G158" s="15" t="s">
        <v>1282</v>
      </c>
    </row>
    <row r="159">
      <c r="A159" s="6">
        <v>158.0</v>
      </c>
      <c r="B159" s="12" t="s">
        <v>1284</v>
      </c>
      <c r="C159" s="13" t="s">
        <v>1281</v>
      </c>
      <c r="D159" s="13">
        <v>181.0</v>
      </c>
      <c r="E159" s="13">
        <v>135.0</v>
      </c>
      <c r="F159" s="13">
        <v>158.0</v>
      </c>
      <c r="G159" s="15" t="s">
        <v>1290</v>
      </c>
    </row>
    <row r="160">
      <c r="A160" s="6">
        <v>159.0</v>
      </c>
      <c r="B160" s="12" t="s">
        <v>1292</v>
      </c>
      <c r="C160" s="13" t="s">
        <v>1295</v>
      </c>
      <c r="D160" s="13">
        <v>126.0</v>
      </c>
      <c r="E160" s="13">
        <v>191.0</v>
      </c>
      <c r="F160" s="13">
        <v>158.5</v>
      </c>
      <c r="G160" s="15" t="s">
        <v>1297</v>
      </c>
    </row>
    <row r="161">
      <c r="A161" s="6">
        <v>160.0</v>
      </c>
      <c r="B161" s="12" t="s">
        <v>1298</v>
      </c>
      <c r="C161" s="13" t="s">
        <v>1303</v>
      </c>
      <c r="D161" s="13">
        <v>148.0</v>
      </c>
      <c r="E161" s="13">
        <v>170.0</v>
      </c>
      <c r="F161" s="13">
        <v>159.0</v>
      </c>
      <c r="G161" s="15" t="s">
        <v>1304</v>
      </c>
    </row>
    <row r="162">
      <c r="A162" s="6">
        <v>161.0</v>
      </c>
      <c r="B162" s="12" t="s">
        <v>1306</v>
      </c>
      <c r="C162" s="13" t="s">
        <v>1256</v>
      </c>
      <c r="D162" s="13">
        <v>199.0</v>
      </c>
      <c r="E162" s="13">
        <v>123.0</v>
      </c>
      <c r="F162" s="13">
        <v>161.0</v>
      </c>
      <c r="G162" s="15" t="s">
        <v>1311</v>
      </c>
    </row>
    <row r="163">
      <c r="A163" s="6">
        <v>162.0</v>
      </c>
      <c r="B163" s="12" t="s">
        <v>1313</v>
      </c>
      <c r="C163" s="13" t="s">
        <v>1318</v>
      </c>
      <c r="D163" s="13">
        <v>150.0</v>
      </c>
      <c r="E163" s="13">
        <v>172.0</v>
      </c>
      <c r="F163" s="13">
        <v>161.0</v>
      </c>
      <c r="G163" s="15" t="s">
        <v>1319</v>
      </c>
    </row>
    <row r="164">
      <c r="A164" s="6">
        <v>163.0</v>
      </c>
      <c r="B164" s="12" t="s">
        <v>1320</v>
      </c>
      <c r="C164" s="13" t="s">
        <v>1325</v>
      </c>
      <c r="D164" s="13">
        <v>143.0</v>
      </c>
      <c r="E164" s="13">
        <v>181.0</v>
      </c>
      <c r="F164" s="13">
        <v>162.0</v>
      </c>
      <c r="G164" s="15" t="s">
        <v>1326</v>
      </c>
    </row>
    <row r="165">
      <c r="A165" s="6">
        <v>164.0</v>
      </c>
      <c r="B165" s="12" t="s">
        <v>1328</v>
      </c>
      <c r="C165" s="13" t="s">
        <v>1296</v>
      </c>
      <c r="D165" s="13">
        <v>177.0</v>
      </c>
      <c r="E165" s="13">
        <v>148.0</v>
      </c>
      <c r="F165" s="13">
        <v>162.5</v>
      </c>
      <c r="G165" s="15" t="s">
        <v>1334</v>
      </c>
    </row>
    <row r="166">
      <c r="A166" s="6">
        <v>165.0</v>
      </c>
      <c r="B166" s="12" t="s">
        <v>1335</v>
      </c>
      <c r="C166" s="13" t="s">
        <v>1250</v>
      </c>
      <c r="D166" s="13">
        <v>196.0</v>
      </c>
      <c r="E166" s="13">
        <v>133.0</v>
      </c>
      <c r="F166" s="13">
        <v>164.5</v>
      </c>
      <c r="G166" s="15" t="s">
        <v>1340</v>
      </c>
    </row>
    <row r="167">
      <c r="A167" s="6">
        <v>166.0</v>
      </c>
      <c r="B167" s="12" t="s">
        <v>1341</v>
      </c>
      <c r="C167" s="13" t="s">
        <v>1346</v>
      </c>
      <c r="D167" s="13">
        <v>173.0</v>
      </c>
      <c r="E167" s="13">
        <v>157.0</v>
      </c>
      <c r="F167" s="13">
        <v>165.0</v>
      </c>
      <c r="G167" s="15" t="s">
        <v>1348</v>
      </c>
    </row>
    <row r="168">
      <c r="A168" s="6">
        <v>167.0</v>
      </c>
      <c r="B168" s="12" t="s">
        <v>1349</v>
      </c>
      <c r="C168" s="13" t="s">
        <v>1354</v>
      </c>
      <c r="D168" s="13">
        <v>154.0</v>
      </c>
      <c r="E168" s="13">
        <v>187.0</v>
      </c>
      <c r="F168" s="13">
        <v>170.5</v>
      </c>
      <c r="G168" s="15" t="s">
        <v>1356</v>
      </c>
    </row>
    <row r="169">
      <c r="A169" s="6">
        <v>168.0</v>
      </c>
      <c r="B169" s="12" t="s">
        <v>1359</v>
      </c>
      <c r="C169" s="13" t="s">
        <v>1363</v>
      </c>
      <c r="D169" s="13">
        <v>157.0</v>
      </c>
      <c r="E169" s="13">
        <v>188.0</v>
      </c>
      <c r="F169" s="13">
        <v>172.5</v>
      </c>
      <c r="G169" s="15" t="s">
        <v>1365</v>
      </c>
    </row>
    <row r="170">
      <c r="A170" s="6">
        <v>169.0</v>
      </c>
      <c r="B170" s="12" t="s">
        <v>1367</v>
      </c>
      <c r="C170" s="13" t="s">
        <v>1371</v>
      </c>
      <c r="D170" s="13">
        <v>161.0</v>
      </c>
      <c r="E170" s="13">
        <v>184.0</v>
      </c>
      <c r="F170" s="13">
        <v>172.5</v>
      </c>
      <c r="G170" s="15" t="s">
        <v>1372</v>
      </c>
    </row>
    <row r="171">
      <c r="A171" s="6">
        <v>170.0</v>
      </c>
      <c r="B171" s="12" t="s">
        <v>1373</v>
      </c>
      <c r="C171" s="13" t="s">
        <v>1314</v>
      </c>
      <c r="D171" s="13">
        <v>179.0</v>
      </c>
      <c r="E171" s="13">
        <v>176.0</v>
      </c>
      <c r="F171" s="13">
        <v>177.5</v>
      </c>
      <c r="G171" s="15" t="s">
        <v>1379</v>
      </c>
    </row>
    <row r="172">
      <c r="A172" s="6">
        <v>171.0</v>
      </c>
      <c r="B172" s="12" t="s">
        <v>1380</v>
      </c>
      <c r="C172" s="13" t="s">
        <v>1142</v>
      </c>
      <c r="D172" s="13">
        <v>207.0</v>
      </c>
      <c r="E172" s="13">
        <v>149.0</v>
      </c>
      <c r="F172" s="13">
        <v>178.0</v>
      </c>
      <c r="G172" s="15" t="s">
        <v>1384</v>
      </c>
    </row>
    <row r="173">
      <c r="A173" s="6">
        <v>172.0</v>
      </c>
      <c r="B173" s="12" t="s">
        <v>1387</v>
      </c>
      <c r="C173" s="13" t="s">
        <v>1161</v>
      </c>
      <c r="D173" s="13">
        <v>204.0</v>
      </c>
      <c r="E173" s="13">
        <v>154.0</v>
      </c>
      <c r="F173" s="13">
        <v>179.0</v>
      </c>
      <c r="G173" s="15" t="s">
        <v>1392</v>
      </c>
    </row>
    <row r="174">
      <c r="A174" s="6">
        <v>173.0</v>
      </c>
      <c r="B174" s="12" t="s">
        <v>1394</v>
      </c>
      <c r="C174" s="13" t="s">
        <v>1322</v>
      </c>
      <c r="D174" s="13">
        <v>197.0</v>
      </c>
      <c r="E174" s="13">
        <v>164.0</v>
      </c>
      <c r="F174" s="13">
        <v>180.5</v>
      </c>
      <c r="G174" s="15" t="s">
        <v>1398</v>
      </c>
    </row>
    <row r="175">
      <c r="A175" s="6">
        <v>174.0</v>
      </c>
      <c r="B175" s="12" t="s">
        <v>1399</v>
      </c>
      <c r="C175" s="13" t="s">
        <v>1404</v>
      </c>
      <c r="D175" s="13">
        <v>184.0</v>
      </c>
      <c r="E175" s="13">
        <v>180.0</v>
      </c>
      <c r="F175" s="13">
        <v>182.0</v>
      </c>
      <c r="G175" s="15" t="s">
        <v>1405</v>
      </c>
    </row>
    <row r="176">
      <c r="A176" s="6">
        <v>175.0</v>
      </c>
      <c r="B176" s="12" t="s">
        <v>1406</v>
      </c>
      <c r="C176" s="13" t="s">
        <v>1337</v>
      </c>
      <c r="D176" s="13">
        <v>183.0</v>
      </c>
      <c r="E176" s="13">
        <v>182.0</v>
      </c>
      <c r="F176" s="13">
        <v>182.5</v>
      </c>
      <c r="G176" s="15" t="s">
        <v>1411</v>
      </c>
    </row>
    <row r="177">
      <c r="A177" s="6">
        <v>176.0</v>
      </c>
      <c r="B177" s="12" t="s">
        <v>1413</v>
      </c>
      <c r="C177" s="13" t="s">
        <v>1345</v>
      </c>
      <c r="D177" s="13">
        <v>202.0</v>
      </c>
      <c r="E177" s="13">
        <v>166.0</v>
      </c>
      <c r="F177" s="13">
        <v>184.0</v>
      </c>
      <c r="G177" s="15" t="s">
        <v>1417</v>
      </c>
    </row>
    <row r="178">
      <c r="A178" s="6">
        <v>177.0</v>
      </c>
      <c r="B178" s="12" t="s">
        <v>1420</v>
      </c>
      <c r="C178" s="13" t="s">
        <v>1423</v>
      </c>
      <c r="D178" s="13">
        <v>171.0</v>
      </c>
      <c r="E178" s="13">
        <v>198.0</v>
      </c>
      <c r="F178" s="13">
        <v>184.5</v>
      </c>
      <c r="G178" s="15" t="s">
        <v>1424</v>
      </c>
    </row>
    <row r="179">
      <c r="A179" s="6">
        <v>178.0</v>
      </c>
      <c r="B179" s="12" t="s">
        <v>1425</v>
      </c>
      <c r="C179" s="13" t="s">
        <v>1429</v>
      </c>
      <c r="D179" s="13">
        <v>191.0</v>
      </c>
      <c r="E179" s="13">
        <v>178.0</v>
      </c>
      <c r="F179" s="13">
        <v>184.5</v>
      </c>
      <c r="G179" s="15" t="s">
        <v>1431</v>
      </c>
    </row>
    <row r="180">
      <c r="A180" s="6">
        <v>179.0</v>
      </c>
      <c r="B180" s="12" t="s">
        <v>1432</v>
      </c>
      <c r="C180" s="13" t="s">
        <v>1357</v>
      </c>
      <c r="D180" s="13">
        <v>203.0</v>
      </c>
      <c r="E180" s="13">
        <v>174.0</v>
      </c>
      <c r="F180" s="13">
        <v>188.5</v>
      </c>
      <c r="G180" s="15" t="s">
        <v>1436</v>
      </c>
    </row>
    <row r="181">
      <c r="A181" s="6">
        <v>180.0</v>
      </c>
      <c r="B181" s="12" t="s">
        <v>1438</v>
      </c>
      <c r="C181" s="13" t="s">
        <v>1442</v>
      </c>
      <c r="D181" s="13">
        <v>144.0</v>
      </c>
      <c r="E181" s="13">
        <v>235.0</v>
      </c>
      <c r="F181" s="13">
        <v>189.5</v>
      </c>
      <c r="G181" s="15" t="s">
        <v>1443</v>
      </c>
    </row>
    <row r="182">
      <c r="A182" s="6">
        <v>181.0</v>
      </c>
      <c r="B182" s="12" t="s">
        <v>1445</v>
      </c>
      <c r="C182" s="13" t="s">
        <v>1448</v>
      </c>
      <c r="D182" s="13">
        <v>182.0</v>
      </c>
      <c r="E182" s="13">
        <v>197.0</v>
      </c>
      <c r="F182" s="13">
        <v>189.5</v>
      </c>
      <c r="G182" s="15" t="s">
        <v>1450</v>
      </c>
    </row>
    <row r="183">
      <c r="A183" s="6">
        <v>182.0</v>
      </c>
      <c r="B183" s="12" t="s">
        <v>1452</v>
      </c>
      <c r="C183" s="13" t="s">
        <v>1374</v>
      </c>
      <c r="D183" s="13">
        <v>226.0</v>
      </c>
      <c r="E183" s="13">
        <v>155.0</v>
      </c>
      <c r="F183" s="13">
        <v>190.5</v>
      </c>
      <c r="G183" s="15" t="s">
        <v>1456</v>
      </c>
    </row>
    <row r="184">
      <c r="A184" s="6">
        <v>183.0</v>
      </c>
      <c r="B184" s="12" t="s">
        <v>1460</v>
      </c>
      <c r="C184" s="13" t="s">
        <v>1462</v>
      </c>
      <c r="D184" s="13">
        <v>165.0</v>
      </c>
      <c r="E184" s="13">
        <v>216.0</v>
      </c>
      <c r="F184" s="13">
        <v>190.5</v>
      </c>
      <c r="G184" s="15" t="s">
        <v>1464</v>
      </c>
    </row>
    <row r="185">
      <c r="A185" s="6">
        <v>184.0</v>
      </c>
      <c r="B185" s="12" t="s">
        <v>1466</v>
      </c>
      <c r="C185" s="13" t="s">
        <v>1469</v>
      </c>
      <c r="D185" s="13">
        <v>188.0</v>
      </c>
      <c r="E185" s="13">
        <v>194.0</v>
      </c>
      <c r="F185" s="13">
        <v>191.0</v>
      </c>
      <c r="G185" s="15" t="s">
        <v>1470</v>
      </c>
    </row>
    <row r="186">
      <c r="A186" s="6">
        <v>185.0</v>
      </c>
      <c r="B186" s="12" t="s">
        <v>1472</v>
      </c>
      <c r="C186" s="13" t="s">
        <v>1478</v>
      </c>
      <c r="D186" s="13">
        <v>186.0</v>
      </c>
      <c r="E186" s="13">
        <v>206.0</v>
      </c>
      <c r="F186" s="13">
        <v>196.0</v>
      </c>
      <c r="G186" s="15" t="s">
        <v>1480</v>
      </c>
    </row>
    <row r="187">
      <c r="A187" s="6">
        <v>186.0</v>
      </c>
      <c r="B187" s="12" t="s">
        <v>1481</v>
      </c>
      <c r="C187" s="13" t="s">
        <v>1485</v>
      </c>
      <c r="D187" s="13">
        <v>175.0</v>
      </c>
      <c r="E187" s="13">
        <v>222.0</v>
      </c>
      <c r="F187" s="13">
        <v>198.5</v>
      </c>
      <c r="G187" s="15" t="s">
        <v>1486</v>
      </c>
    </row>
    <row r="188">
      <c r="A188" s="6">
        <v>187.0</v>
      </c>
      <c r="B188" s="12" t="s">
        <v>1487</v>
      </c>
      <c r="C188" s="13" t="s">
        <v>1491</v>
      </c>
      <c r="D188" s="13">
        <v>205.0</v>
      </c>
      <c r="E188" s="13">
        <v>192.0</v>
      </c>
      <c r="F188" s="13">
        <v>198.5</v>
      </c>
      <c r="G188" s="15" t="s">
        <v>1493</v>
      </c>
    </row>
    <row r="189">
      <c r="A189" s="6">
        <v>188.0</v>
      </c>
      <c r="B189" s="12" t="s">
        <v>1494</v>
      </c>
      <c r="C189" s="13" t="s">
        <v>1246</v>
      </c>
      <c r="D189" s="13">
        <v>241.0</v>
      </c>
      <c r="E189" s="13">
        <v>159.0</v>
      </c>
      <c r="F189" s="13">
        <v>200.0</v>
      </c>
      <c r="G189" s="15" t="s">
        <v>1499</v>
      </c>
    </row>
    <row r="190">
      <c r="A190" s="6">
        <v>189.0</v>
      </c>
      <c r="B190" s="12" t="s">
        <v>1501</v>
      </c>
      <c r="C190" s="13" t="s">
        <v>1385</v>
      </c>
      <c r="D190" s="13">
        <v>190.0</v>
      </c>
      <c r="E190" s="13">
        <v>211.0</v>
      </c>
      <c r="F190" s="13">
        <v>200.5</v>
      </c>
      <c r="G190" s="15" t="s">
        <v>1505</v>
      </c>
    </row>
    <row r="191">
      <c r="A191" s="6">
        <v>190.0</v>
      </c>
      <c r="B191" s="12" t="s">
        <v>1507</v>
      </c>
      <c r="C191" s="13" t="s">
        <v>1410</v>
      </c>
      <c r="D191" s="13">
        <v>250.0</v>
      </c>
      <c r="E191" s="13">
        <v>153.0</v>
      </c>
      <c r="F191" s="13">
        <v>201.5</v>
      </c>
      <c r="G191" s="15" t="s">
        <v>1513</v>
      </c>
    </row>
    <row r="192">
      <c r="A192" s="6">
        <v>191.0</v>
      </c>
      <c r="B192" s="12" t="s">
        <v>1514</v>
      </c>
      <c r="C192" s="13" t="s">
        <v>1419</v>
      </c>
      <c r="D192" s="13">
        <v>194.0</v>
      </c>
      <c r="E192" s="13">
        <v>209.0</v>
      </c>
      <c r="F192" s="13">
        <v>201.5</v>
      </c>
      <c r="G192" s="15" t="s">
        <v>1519</v>
      </c>
    </row>
    <row r="193">
      <c r="A193" s="6">
        <v>192.0</v>
      </c>
      <c r="B193" s="12" t="s">
        <v>1520</v>
      </c>
      <c r="C193" s="13" t="s">
        <v>1524</v>
      </c>
      <c r="D193" s="13">
        <v>178.0</v>
      </c>
      <c r="E193" s="13">
        <v>226.0</v>
      </c>
      <c r="F193" s="13">
        <v>202.0</v>
      </c>
      <c r="G193" s="15" t="s">
        <v>1525</v>
      </c>
    </row>
    <row r="194">
      <c r="A194" s="6">
        <v>193.0</v>
      </c>
      <c r="B194" s="12" t="s">
        <v>1526</v>
      </c>
      <c r="C194" s="13" t="s">
        <v>1447</v>
      </c>
      <c r="D194" s="13">
        <v>172.0</v>
      </c>
      <c r="E194" s="13">
        <v>233.0</v>
      </c>
      <c r="F194" s="13">
        <v>202.5</v>
      </c>
      <c r="G194" s="15" t="s">
        <v>1535</v>
      </c>
    </row>
    <row r="195">
      <c r="A195" s="6">
        <v>194.0</v>
      </c>
      <c r="B195" s="12" t="s">
        <v>1536</v>
      </c>
      <c r="C195" s="13" t="s">
        <v>1539</v>
      </c>
      <c r="D195" s="13">
        <v>166.0</v>
      </c>
      <c r="E195" s="13">
        <v>242.0</v>
      </c>
      <c r="F195" s="13">
        <v>204.0</v>
      </c>
      <c r="G195" s="15" t="s">
        <v>1541</v>
      </c>
    </row>
    <row r="196">
      <c r="A196" s="6">
        <v>195.0</v>
      </c>
      <c r="B196" s="12" t="s">
        <v>1543</v>
      </c>
      <c r="C196" s="13" t="s">
        <v>1547</v>
      </c>
      <c r="D196" s="13">
        <v>163.0</v>
      </c>
      <c r="E196" s="13">
        <v>246.0</v>
      </c>
      <c r="F196" s="13">
        <v>204.5</v>
      </c>
      <c r="G196" s="15" t="s">
        <v>1549</v>
      </c>
    </row>
    <row r="197">
      <c r="A197" s="6">
        <v>196.0</v>
      </c>
      <c r="B197" s="12" t="s">
        <v>1550</v>
      </c>
      <c r="C197" s="13" t="s">
        <v>1553</v>
      </c>
      <c r="D197" s="13">
        <v>192.0</v>
      </c>
      <c r="E197" s="13">
        <v>219.0</v>
      </c>
      <c r="F197" s="13">
        <v>205.5</v>
      </c>
      <c r="G197" s="15">
        <v>196.0</v>
      </c>
    </row>
    <row r="198">
      <c r="A198" s="6">
        <v>197.0</v>
      </c>
      <c r="B198" s="12" t="s">
        <v>1556</v>
      </c>
      <c r="C198" s="13" t="s">
        <v>1561</v>
      </c>
      <c r="D198" s="13">
        <v>185.0</v>
      </c>
      <c r="E198" s="13">
        <v>229.0</v>
      </c>
      <c r="F198" s="13">
        <v>207.0</v>
      </c>
      <c r="G198" s="15" t="s">
        <v>1562</v>
      </c>
    </row>
    <row r="199">
      <c r="A199" s="6">
        <v>198.0</v>
      </c>
      <c r="B199" s="12" t="s">
        <v>1564</v>
      </c>
      <c r="C199" s="13" t="s">
        <v>1531</v>
      </c>
      <c r="D199" s="13">
        <v>162.0</v>
      </c>
      <c r="E199" s="13">
        <v>255.0</v>
      </c>
      <c r="F199" s="13">
        <v>208.5</v>
      </c>
      <c r="G199" s="15">
        <v>198.0</v>
      </c>
    </row>
    <row r="200">
      <c r="A200" s="6">
        <v>199.0</v>
      </c>
      <c r="B200" s="12" t="s">
        <v>1569</v>
      </c>
      <c r="C200" s="13" t="s">
        <v>1454</v>
      </c>
      <c r="D200" s="13">
        <v>200.0</v>
      </c>
      <c r="E200" s="13">
        <v>217.0</v>
      </c>
      <c r="F200" s="13">
        <v>208.5</v>
      </c>
      <c r="G200" s="15" t="s">
        <v>1579</v>
      </c>
    </row>
    <row r="201">
      <c r="A201" s="6">
        <v>200.0</v>
      </c>
      <c r="B201" s="12" t="s">
        <v>1581</v>
      </c>
      <c r="C201" s="13" t="s">
        <v>1272</v>
      </c>
      <c r="D201" s="13">
        <v>251.0</v>
      </c>
      <c r="E201" s="13">
        <v>167.0</v>
      </c>
      <c r="F201" s="13">
        <v>209.0</v>
      </c>
      <c r="G201" s="15" t="s">
        <v>1587</v>
      </c>
    </row>
    <row r="202">
      <c r="A202" s="6">
        <v>201.0</v>
      </c>
      <c r="B202" s="12" t="s">
        <v>1589</v>
      </c>
      <c r="C202" s="13" t="s">
        <v>1366</v>
      </c>
      <c r="D202" s="13">
        <v>249.0</v>
      </c>
      <c r="E202" s="13">
        <v>169.0</v>
      </c>
      <c r="F202" s="13">
        <v>209.0</v>
      </c>
      <c r="G202" s="15" t="s">
        <v>1593</v>
      </c>
    </row>
    <row r="203">
      <c r="A203" s="6">
        <v>202.0</v>
      </c>
      <c r="B203" s="12" t="s">
        <v>1595</v>
      </c>
      <c r="C203" s="13" t="s">
        <v>1538</v>
      </c>
      <c r="D203" s="13">
        <v>210.0</v>
      </c>
      <c r="E203" s="13">
        <v>208.0</v>
      </c>
      <c r="F203" s="13">
        <v>209.0</v>
      </c>
      <c r="G203" s="15" t="s">
        <v>1601</v>
      </c>
    </row>
    <row r="204">
      <c r="A204" s="6">
        <v>203.0</v>
      </c>
      <c r="B204" s="12" t="s">
        <v>1604</v>
      </c>
      <c r="C204" s="13" t="s">
        <v>1572</v>
      </c>
      <c r="D204" s="13">
        <v>235.0</v>
      </c>
      <c r="E204" s="13">
        <v>186.0</v>
      </c>
      <c r="F204" s="13">
        <v>210.5</v>
      </c>
      <c r="G204" s="15" t="s">
        <v>1610</v>
      </c>
    </row>
    <row r="205">
      <c r="A205" s="6">
        <v>204.0</v>
      </c>
      <c r="B205" s="12" t="s">
        <v>1611</v>
      </c>
      <c r="C205" s="13" t="s">
        <v>1615</v>
      </c>
      <c r="D205" s="13">
        <v>158.0</v>
      </c>
      <c r="E205" s="13">
        <v>264.0</v>
      </c>
      <c r="F205" s="13">
        <v>211.0</v>
      </c>
      <c r="G205" s="15" t="s">
        <v>1616</v>
      </c>
    </row>
    <row r="206">
      <c r="A206" s="6">
        <v>205.0</v>
      </c>
      <c r="B206" s="12" t="s">
        <v>1617</v>
      </c>
      <c r="C206" s="13" t="s">
        <v>1471</v>
      </c>
      <c r="D206" s="13">
        <v>233.0</v>
      </c>
      <c r="E206" s="13">
        <v>193.0</v>
      </c>
      <c r="F206" s="13">
        <v>213.0</v>
      </c>
      <c r="G206" s="15" t="s">
        <v>1624</v>
      </c>
    </row>
    <row r="207">
      <c r="A207" s="6">
        <v>206.0</v>
      </c>
      <c r="B207" s="12" t="s">
        <v>1626</v>
      </c>
      <c r="C207" s="13" t="s">
        <v>1599</v>
      </c>
      <c r="D207" s="13">
        <v>128.0</v>
      </c>
      <c r="E207" s="13">
        <v>306.0</v>
      </c>
      <c r="F207" s="13">
        <v>217.0</v>
      </c>
      <c r="G207" s="15" t="s">
        <v>1630</v>
      </c>
    </row>
    <row r="208">
      <c r="A208" s="6">
        <v>207.0</v>
      </c>
      <c r="B208" s="12" t="s">
        <v>1632</v>
      </c>
      <c r="C208" s="13" t="s">
        <v>1635</v>
      </c>
      <c r="D208" s="13">
        <v>260.0</v>
      </c>
      <c r="E208" s="13">
        <v>168.0</v>
      </c>
      <c r="F208" s="13">
        <v>214.0</v>
      </c>
      <c r="G208" s="15" t="s">
        <v>1637</v>
      </c>
    </row>
    <row r="209">
      <c r="A209" s="6">
        <v>208.0</v>
      </c>
      <c r="B209" s="12" t="s">
        <v>1640</v>
      </c>
      <c r="C209" s="13" t="s">
        <v>1498</v>
      </c>
      <c r="D209" s="13">
        <v>234.0</v>
      </c>
      <c r="E209" s="13">
        <v>196.0</v>
      </c>
      <c r="F209" s="13">
        <v>215.0</v>
      </c>
      <c r="G209" s="15" t="s">
        <v>1644</v>
      </c>
    </row>
    <row r="210">
      <c r="A210" s="6">
        <v>209.0</v>
      </c>
      <c r="B210" s="12" t="s">
        <v>1645</v>
      </c>
      <c r="C210" s="13" t="s">
        <v>1614</v>
      </c>
      <c r="D210" s="13">
        <v>273.0</v>
      </c>
      <c r="E210" s="13">
        <v>158.0</v>
      </c>
      <c r="F210" s="13">
        <v>215.5</v>
      </c>
      <c r="G210" s="15" t="s">
        <v>1650</v>
      </c>
    </row>
    <row r="211">
      <c r="A211" s="6">
        <v>210.0</v>
      </c>
      <c r="B211" s="12" t="s">
        <v>1652</v>
      </c>
      <c r="C211" s="13" t="s">
        <v>1657</v>
      </c>
      <c r="D211" s="13">
        <v>193.0</v>
      </c>
      <c r="E211" s="13">
        <v>238.0</v>
      </c>
      <c r="F211" s="13">
        <v>215.5</v>
      </c>
      <c r="G211" s="15" t="s">
        <v>1659</v>
      </c>
    </row>
    <row r="212">
      <c r="A212" s="6">
        <v>211.0</v>
      </c>
      <c r="B212" s="12" t="s">
        <v>1660</v>
      </c>
      <c r="C212" s="13" t="s">
        <v>1666</v>
      </c>
      <c r="D212" s="13">
        <v>218.0</v>
      </c>
      <c r="E212" s="13">
        <v>213.0</v>
      </c>
      <c r="F212" s="13">
        <v>215.5</v>
      </c>
      <c r="G212" s="15" t="s">
        <v>1667</v>
      </c>
    </row>
    <row r="213">
      <c r="A213" s="6">
        <v>212.0</v>
      </c>
      <c r="B213" s="12" t="s">
        <v>1668</v>
      </c>
      <c r="C213" s="13" t="s">
        <v>1606</v>
      </c>
      <c r="D213" s="13">
        <v>206.0</v>
      </c>
      <c r="E213" s="13">
        <v>227.0</v>
      </c>
      <c r="F213" s="13">
        <v>216.5</v>
      </c>
      <c r="G213" s="15" t="s">
        <v>1674</v>
      </c>
    </row>
    <row r="214">
      <c r="A214" s="6">
        <v>213.0</v>
      </c>
      <c r="B214" s="12" t="s">
        <v>1676</v>
      </c>
      <c r="C214" s="13" t="s">
        <v>1681</v>
      </c>
      <c r="D214" s="13">
        <v>180.0</v>
      </c>
      <c r="E214" s="13">
        <v>256.0</v>
      </c>
      <c r="F214" s="13">
        <v>218.0</v>
      </c>
      <c r="G214" s="15" t="s">
        <v>1684</v>
      </c>
    </row>
    <row r="215">
      <c r="A215" s="6">
        <v>214.0</v>
      </c>
      <c r="B215" s="12" t="s">
        <v>1687</v>
      </c>
      <c r="C215" s="13" t="s">
        <v>1693</v>
      </c>
      <c r="D215" s="13">
        <v>236.0</v>
      </c>
      <c r="E215" s="13">
        <v>201.0</v>
      </c>
      <c r="F215" s="13">
        <v>218.5</v>
      </c>
      <c r="G215" s="15" t="s">
        <v>1695</v>
      </c>
    </row>
    <row r="216">
      <c r="A216" s="6">
        <v>215.0</v>
      </c>
      <c r="B216" s="12" t="s">
        <v>1696</v>
      </c>
      <c r="C216" s="13" t="s">
        <v>1623</v>
      </c>
      <c r="D216" s="13">
        <v>223.0</v>
      </c>
      <c r="E216" s="13">
        <v>218.0</v>
      </c>
      <c r="F216" s="13">
        <v>220.5</v>
      </c>
      <c r="G216" s="15" t="s">
        <v>1701</v>
      </c>
    </row>
    <row r="217">
      <c r="A217" s="6">
        <v>216.0</v>
      </c>
      <c r="B217" s="12" t="s">
        <v>1702</v>
      </c>
      <c r="C217" s="13" t="s">
        <v>1707</v>
      </c>
      <c r="D217" s="13">
        <v>217.0</v>
      </c>
      <c r="E217" s="13">
        <v>231.0</v>
      </c>
      <c r="F217" s="13">
        <v>224.0</v>
      </c>
      <c r="G217" s="15" t="s">
        <v>1709</v>
      </c>
    </row>
    <row r="218">
      <c r="A218" s="6">
        <v>217.0</v>
      </c>
      <c r="B218" s="12" t="s">
        <v>1711</v>
      </c>
      <c r="C218" s="13" t="s">
        <v>1563</v>
      </c>
      <c r="D218" s="13">
        <v>222.0</v>
      </c>
      <c r="E218" s="13">
        <v>228.0</v>
      </c>
      <c r="F218" s="13">
        <v>225.0</v>
      </c>
      <c r="G218" s="15" t="s">
        <v>1715</v>
      </c>
    </row>
    <row r="219">
      <c r="A219" s="6">
        <v>218.0</v>
      </c>
      <c r="B219" s="12" t="s">
        <v>1717</v>
      </c>
      <c r="C219" s="13" t="s">
        <v>1721</v>
      </c>
      <c r="D219" s="13">
        <v>189.0</v>
      </c>
      <c r="E219" s="13">
        <v>263.0</v>
      </c>
      <c r="F219" s="13">
        <v>226.0</v>
      </c>
      <c r="G219" s="15" t="s">
        <v>1723</v>
      </c>
    </row>
    <row r="220">
      <c r="A220" s="6">
        <v>219.0</v>
      </c>
      <c r="B220" s="12" t="s">
        <v>1724</v>
      </c>
      <c r="C220" s="13" t="s">
        <v>1728</v>
      </c>
      <c r="D220" s="13">
        <v>198.0</v>
      </c>
      <c r="E220" s="13">
        <v>254.0</v>
      </c>
      <c r="F220" s="13">
        <v>226.0</v>
      </c>
      <c r="G220" s="15" t="s">
        <v>1730</v>
      </c>
    </row>
    <row r="221">
      <c r="A221" s="6">
        <v>220.0</v>
      </c>
      <c r="B221" s="12" t="s">
        <v>1733</v>
      </c>
      <c r="C221" s="13" t="s">
        <v>1737</v>
      </c>
      <c r="D221" s="13">
        <v>160.0</v>
      </c>
      <c r="E221" s="13">
        <v>294.0</v>
      </c>
      <c r="F221" s="13">
        <v>227.0</v>
      </c>
      <c r="G221" s="15" t="s">
        <v>1739</v>
      </c>
    </row>
    <row r="222">
      <c r="A222" s="6">
        <v>221.0</v>
      </c>
      <c r="B222" s="12" t="s">
        <v>1740</v>
      </c>
      <c r="C222" s="13" t="s">
        <v>1745</v>
      </c>
      <c r="D222" s="13">
        <v>214.0</v>
      </c>
      <c r="E222" s="13">
        <v>240.0</v>
      </c>
      <c r="F222" s="13">
        <v>227.0</v>
      </c>
      <c r="G222" s="15" t="s">
        <v>1746</v>
      </c>
    </row>
    <row r="223">
      <c r="A223" s="6">
        <v>222.0</v>
      </c>
      <c r="B223" s="12" t="s">
        <v>1748</v>
      </c>
      <c r="C223" s="13" t="s">
        <v>1588</v>
      </c>
      <c r="D223" s="13">
        <v>230.0</v>
      </c>
      <c r="E223" s="13">
        <v>225.0</v>
      </c>
      <c r="F223" s="13">
        <v>227.5</v>
      </c>
      <c r="G223" s="15" t="s">
        <v>1754</v>
      </c>
    </row>
    <row r="224">
      <c r="A224" s="6">
        <v>223.0</v>
      </c>
      <c r="B224" s="12" t="s">
        <v>1755</v>
      </c>
      <c r="C224" s="13" t="s">
        <v>1655</v>
      </c>
      <c r="D224" s="13">
        <v>232.0</v>
      </c>
      <c r="E224" s="13">
        <v>224.0</v>
      </c>
      <c r="F224" s="13">
        <v>228.0</v>
      </c>
      <c r="G224" s="15" t="s">
        <v>1759</v>
      </c>
    </row>
    <row r="225">
      <c r="A225" s="6">
        <v>224.0</v>
      </c>
      <c r="B225" s="12" t="s">
        <v>1760</v>
      </c>
      <c r="C225" s="13" t="s">
        <v>1766</v>
      </c>
      <c r="D225" s="13">
        <v>224.0</v>
      </c>
      <c r="E225" s="13">
        <v>241.0</v>
      </c>
      <c r="F225" s="13">
        <v>232.5</v>
      </c>
      <c r="G225" s="15" t="s">
        <v>1768</v>
      </c>
    </row>
    <row r="226">
      <c r="A226" s="6">
        <v>225.0</v>
      </c>
      <c r="B226" s="12" t="s">
        <v>1769</v>
      </c>
      <c r="C226" s="13" t="s">
        <v>1774</v>
      </c>
      <c r="D226" s="13">
        <v>170.0</v>
      </c>
      <c r="E226" s="13" t="s">
        <v>1739</v>
      </c>
      <c r="F226" s="13">
        <v>170.0</v>
      </c>
      <c r="G226" s="15" t="s">
        <v>1739</v>
      </c>
    </row>
    <row r="227">
      <c r="A227" s="6">
        <v>226.0</v>
      </c>
      <c r="B227" s="12" t="s">
        <v>1776</v>
      </c>
      <c r="C227" s="13" t="s">
        <v>1781</v>
      </c>
      <c r="D227" s="13">
        <v>221.0</v>
      </c>
      <c r="E227" s="13">
        <v>247.0</v>
      </c>
      <c r="F227" s="13">
        <v>234.0</v>
      </c>
      <c r="G227" s="15" t="s">
        <v>1782</v>
      </c>
    </row>
    <row r="228">
      <c r="A228" s="6">
        <v>227.0</v>
      </c>
      <c r="B228" s="12" t="s">
        <v>1784</v>
      </c>
      <c r="C228" s="13" t="s">
        <v>1665</v>
      </c>
      <c r="D228" s="13">
        <v>219.0</v>
      </c>
      <c r="E228" s="13">
        <v>253.0</v>
      </c>
      <c r="F228" s="13">
        <v>236.0</v>
      </c>
      <c r="G228" s="15" t="s">
        <v>1788</v>
      </c>
    </row>
    <row r="229">
      <c r="A229" s="6">
        <v>228.0</v>
      </c>
      <c r="B229" s="12" t="s">
        <v>1789</v>
      </c>
      <c r="C229" s="13" t="s">
        <v>1672</v>
      </c>
      <c r="D229" s="13">
        <v>270.0</v>
      </c>
      <c r="E229" s="13">
        <v>203.0</v>
      </c>
      <c r="F229" s="13">
        <v>236.5</v>
      </c>
      <c r="G229" s="15" t="s">
        <v>1795</v>
      </c>
    </row>
    <row r="230">
      <c r="A230" s="6">
        <v>229.0</v>
      </c>
      <c r="B230" s="12" t="s">
        <v>1798</v>
      </c>
      <c r="C230" s="13" t="s">
        <v>1802</v>
      </c>
      <c r="D230" s="13" t="s">
        <v>1739</v>
      </c>
      <c r="E230" s="13">
        <v>177.0</v>
      </c>
      <c r="F230" s="13">
        <v>177.0</v>
      </c>
      <c r="G230" s="15" t="s">
        <v>1803</v>
      </c>
    </row>
    <row r="231">
      <c r="A231" s="6">
        <v>230.0</v>
      </c>
      <c r="B231" s="12" t="s">
        <v>1804</v>
      </c>
      <c r="C231" s="13" t="s">
        <v>1706</v>
      </c>
      <c r="D231" s="13">
        <v>227.0</v>
      </c>
      <c r="E231" s="13">
        <v>249.0</v>
      </c>
      <c r="F231" s="13">
        <v>238.0</v>
      </c>
      <c r="G231" s="15" t="s">
        <v>1809</v>
      </c>
    </row>
    <row r="232">
      <c r="A232" s="6">
        <v>231.0</v>
      </c>
      <c r="B232" s="12" t="s">
        <v>1810</v>
      </c>
      <c r="C232" s="13" t="s">
        <v>1631</v>
      </c>
      <c r="D232" s="13">
        <v>244.0</v>
      </c>
      <c r="E232" s="13">
        <v>232.0</v>
      </c>
      <c r="F232" s="13">
        <v>238.0</v>
      </c>
      <c r="G232" s="15" t="s">
        <v>1814</v>
      </c>
    </row>
    <row r="233">
      <c r="A233" s="6">
        <v>232.0</v>
      </c>
      <c r="B233" s="12" t="s">
        <v>1816</v>
      </c>
      <c r="C233" s="13" t="s">
        <v>1820</v>
      </c>
      <c r="D233" s="13" t="s">
        <v>1739</v>
      </c>
      <c r="E233" s="13">
        <v>179.0</v>
      </c>
      <c r="F233" s="13">
        <v>179.0</v>
      </c>
      <c r="G233" s="15" t="s">
        <v>1821</v>
      </c>
    </row>
    <row r="234">
      <c r="A234" s="6">
        <v>233.0</v>
      </c>
      <c r="B234" s="12" t="s">
        <v>1822</v>
      </c>
      <c r="C234" s="13" t="s">
        <v>1691</v>
      </c>
      <c r="D234" s="13">
        <v>195.0</v>
      </c>
      <c r="E234" s="13">
        <v>284.0</v>
      </c>
      <c r="F234" s="13">
        <v>239.5</v>
      </c>
      <c r="G234" s="15" t="s">
        <v>1828</v>
      </c>
    </row>
    <row r="235">
      <c r="A235" s="6">
        <v>234.0</v>
      </c>
      <c r="B235" s="12" t="s">
        <v>1830</v>
      </c>
      <c r="C235" s="13" t="s">
        <v>1835</v>
      </c>
      <c r="D235" s="13">
        <v>284.0</v>
      </c>
      <c r="E235" s="13">
        <v>195.0</v>
      </c>
      <c r="F235" s="13">
        <v>239.5</v>
      </c>
      <c r="G235" s="15" t="s">
        <v>1739</v>
      </c>
    </row>
    <row r="236">
      <c r="A236" s="6">
        <v>235.0</v>
      </c>
      <c r="B236" s="12" t="s">
        <v>1837</v>
      </c>
      <c r="C236" s="13" t="s">
        <v>1842</v>
      </c>
      <c r="D236" s="13" t="s">
        <v>1739</v>
      </c>
      <c r="E236" s="13">
        <v>183.0</v>
      </c>
      <c r="F236" s="13">
        <v>183.0</v>
      </c>
      <c r="G236" s="15" t="s">
        <v>1844</v>
      </c>
    </row>
    <row r="237">
      <c r="A237" s="6">
        <v>236.0</v>
      </c>
      <c r="B237" s="12" t="s">
        <v>1846</v>
      </c>
      <c r="C237" s="13" t="s">
        <v>1850</v>
      </c>
      <c r="D237" s="13">
        <v>280.0</v>
      </c>
      <c r="E237" s="13">
        <v>202.0</v>
      </c>
      <c r="F237" s="13">
        <v>241.0</v>
      </c>
      <c r="G237" s="15" t="s">
        <v>1739</v>
      </c>
    </row>
    <row r="238">
      <c r="A238" s="6">
        <v>237.0</v>
      </c>
      <c r="B238" s="12" t="s">
        <v>1851</v>
      </c>
      <c r="C238" s="13" t="s">
        <v>1727</v>
      </c>
      <c r="D238" s="13" t="s">
        <v>1739</v>
      </c>
      <c r="E238" s="13">
        <v>185.0</v>
      </c>
      <c r="F238" s="13">
        <v>185.0</v>
      </c>
      <c r="G238" s="15" t="s">
        <v>1856</v>
      </c>
    </row>
    <row r="239">
      <c r="A239" s="6">
        <v>238.0</v>
      </c>
      <c r="B239" s="12" t="s">
        <v>1859</v>
      </c>
      <c r="C239" s="13" t="s">
        <v>1863</v>
      </c>
      <c r="D239" s="13" t="s">
        <v>1739</v>
      </c>
      <c r="E239" s="13">
        <v>189.0</v>
      </c>
      <c r="F239" s="13">
        <v>189.0</v>
      </c>
      <c r="G239" s="15" t="s">
        <v>1866</v>
      </c>
    </row>
    <row r="240">
      <c r="A240" s="6">
        <v>239.0</v>
      </c>
      <c r="B240" s="12" t="s">
        <v>1867</v>
      </c>
      <c r="C240" s="13" t="s">
        <v>1871</v>
      </c>
      <c r="D240" s="13">
        <v>215.0</v>
      </c>
      <c r="E240" s="13">
        <v>274.0</v>
      </c>
      <c r="F240" s="13">
        <v>244.5</v>
      </c>
      <c r="G240" s="15" t="s">
        <v>1872</v>
      </c>
    </row>
    <row r="241">
      <c r="A241" s="6">
        <v>240.0</v>
      </c>
      <c r="B241" s="12" t="s">
        <v>1873</v>
      </c>
      <c r="C241" s="13" t="s">
        <v>1878</v>
      </c>
      <c r="D241" s="13">
        <v>278.0</v>
      </c>
      <c r="E241" s="13">
        <v>212.0</v>
      </c>
      <c r="F241" s="13">
        <v>245.0</v>
      </c>
      <c r="G241" s="15" t="s">
        <v>1881</v>
      </c>
    </row>
    <row r="242">
      <c r="A242" s="6">
        <v>241.0</v>
      </c>
      <c r="B242" s="12" t="s">
        <v>1883</v>
      </c>
      <c r="C242" s="13" t="s">
        <v>1744</v>
      </c>
      <c r="D242" s="13">
        <v>255.0</v>
      </c>
      <c r="E242" s="13">
        <v>236.0</v>
      </c>
      <c r="F242" s="13">
        <v>245.5</v>
      </c>
      <c r="G242" s="15">
        <v>241.0</v>
      </c>
    </row>
    <row r="243">
      <c r="A243" s="6">
        <v>242.0</v>
      </c>
      <c r="B243" s="12" t="s">
        <v>1887</v>
      </c>
      <c r="C243" s="13" t="s">
        <v>1891</v>
      </c>
      <c r="D243" s="13">
        <v>220.0</v>
      </c>
      <c r="E243" s="13">
        <v>272.0</v>
      </c>
      <c r="F243" s="13">
        <v>246.0</v>
      </c>
      <c r="G243" s="15" t="s">
        <v>1892</v>
      </c>
    </row>
    <row r="244">
      <c r="A244" s="6">
        <v>243.0</v>
      </c>
      <c r="B244" s="12" t="s">
        <v>1896</v>
      </c>
      <c r="C244" s="13" t="s">
        <v>1900</v>
      </c>
      <c r="D244" s="13" t="s">
        <v>1739</v>
      </c>
      <c r="E244" s="13">
        <v>199.0</v>
      </c>
      <c r="F244" s="13">
        <v>199.0</v>
      </c>
      <c r="G244" s="15" t="s">
        <v>1902</v>
      </c>
    </row>
    <row r="245">
      <c r="A245" s="6">
        <v>244.0</v>
      </c>
      <c r="B245" s="12" t="s">
        <v>1903</v>
      </c>
      <c r="C245" s="13" t="s">
        <v>1736</v>
      </c>
      <c r="D245" s="13">
        <v>246.0</v>
      </c>
      <c r="E245" s="13">
        <v>251.0</v>
      </c>
      <c r="F245" s="13">
        <v>248.5</v>
      </c>
      <c r="G245" s="15" t="s">
        <v>1908</v>
      </c>
    </row>
    <row r="246">
      <c r="A246" s="6">
        <v>245.0</v>
      </c>
      <c r="B246" s="12" t="s">
        <v>1909</v>
      </c>
      <c r="C246" s="13" t="s">
        <v>1913</v>
      </c>
      <c r="D246" s="13" t="s">
        <v>1739</v>
      </c>
      <c r="E246" s="13">
        <v>200.0</v>
      </c>
      <c r="F246" s="13">
        <v>200.0</v>
      </c>
      <c r="G246" s="15" t="s">
        <v>1916</v>
      </c>
    </row>
    <row r="247">
      <c r="A247" s="6">
        <v>246.0</v>
      </c>
      <c r="B247" s="12" t="s">
        <v>1918</v>
      </c>
      <c r="C247" s="13" t="s">
        <v>1793</v>
      </c>
      <c r="D247" s="13">
        <v>237.0</v>
      </c>
      <c r="E247" s="13">
        <v>261.0</v>
      </c>
      <c r="F247" s="13">
        <v>249.0</v>
      </c>
      <c r="G247" s="15" t="s">
        <v>1922</v>
      </c>
    </row>
    <row r="248">
      <c r="A248" s="6">
        <v>247.0</v>
      </c>
      <c r="B248" s="12" t="s">
        <v>1923</v>
      </c>
      <c r="C248" s="13" t="s">
        <v>1929</v>
      </c>
      <c r="D248" s="13">
        <v>201.0</v>
      </c>
      <c r="E248" s="13" t="s">
        <v>1739</v>
      </c>
      <c r="F248" s="13">
        <v>201.0</v>
      </c>
      <c r="G248" s="15" t="s">
        <v>1739</v>
      </c>
    </row>
    <row r="249">
      <c r="A249" s="6">
        <v>248.0</v>
      </c>
      <c r="B249" s="12" t="s">
        <v>1932</v>
      </c>
      <c r="C249" s="13" t="s">
        <v>1937</v>
      </c>
      <c r="D249" s="13">
        <v>213.0</v>
      </c>
      <c r="E249" s="13">
        <v>287.0</v>
      </c>
      <c r="F249" s="13">
        <v>250.0</v>
      </c>
      <c r="G249" s="15" t="s">
        <v>1739</v>
      </c>
    </row>
    <row r="250">
      <c r="A250" s="6">
        <v>249.0</v>
      </c>
      <c r="B250" s="12" t="s">
        <v>1939</v>
      </c>
      <c r="C250" s="13" t="s">
        <v>1831</v>
      </c>
      <c r="D250" s="13">
        <v>256.0</v>
      </c>
      <c r="E250" s="13">
        <v>244.0</v>
      </c>
      <c r="F250" s="13">
        <v>250.0</v>
      </c>
      <c r="G250" s="15" t="s">
        <v>1943</v>
      </c>
    </row>
    <row r="251">
      <c r="A251" s="6">
        <v>250.0</v>
      </c>
      <c r="B251" s="12" t="s">
        <v>1945</v>
      </c>
      <c r="C251" s="13" t="s">
        <v>1771</v>
      </c>
      <c r="D251" s="13">
        <v>252.0</v>
      </c>
      <c r="E251" s="13">
        <v>248.0</v>
      </c>
      <c r="F251" s="13">
        <v>250.0</v>
      </c>
      <c r="G251" s="15" t="s">
        <v>1950</v>
      </c>
    </row>
    <row r="252">
      <c r="A252" s="6">
        <v>251.0</v>
      </c>
      <c r="B252" s="12" t="s">
        <v>1951</v>
      </c>
      <c r="C252" s="13" t="s">
        <v>1956</v>
      </c>
      <c r="D252" s="13" t="s">
        <v>1739</v>
      </c>
      <c r="E252" s="13">
        <v>204.0</v>
      </c>
      <c r="F252" s="13">
        <v>204.0</v>
      </c>
      <c r="G252" s="15" t="s">
        <v>1739</v>
      </c>
    </row>
    <row r="253">
      <c r="A253" s="6">
        <v>252.0</v>
      </c>
      <c r="B253" s="12" t="s">
        <v>1959</v>
      </c>
      <c r="C253" s="13" t="s">
        <v>1845</v>
      </c>
      <c r="D253" s="13">
        <v>211.0</v>
      </c>
      <c r="E253" s="13">
        <v>291.0</v>
      </c>
      <c r="F253" s="13">
        <v>251.0</v>
      </c>
      <c r="G253" s="15" t="s">
        <v>1966</v>
      </c>
    </row>
    <row r="254">
      <c r="A254" s="6">
        <v>253.0</v>
      </c>
      <c r="B254" s="12" t="s">
        <v>1969</v>
      </c>
      <c r="C254" s="13" t="s">
        <v>1976</v>
      </c>
      <c r="D254" s="13" t="s">
        <v>1739</v>
      </c>
      <c r="E254" s="13">
        <v>205.0</v>
      </c>
      <c r="F254" s="13">
        <v>205.0</v>
      </c>
      <c r="G254" s="15" t="s">
        <v>1979</v>
      </c>
    </row>
    <row r="255">
      <c r="A255" s="6">
        <v>254.0</v>
      </c>
      <c r="B255" s="12" t="s">
        <v>1980</v>
      </c>
      <c r="C255" s="13" t="s">
        <v>1986</v>
      </c>
      <c r="D255" s="13" t="s">
        <v>1739</v>
      </c>
      <c r="E255" s="13">
        <v>207.0</v>
      </c>
      <c r="F255" s="13">
        <v>207.0</v>
      </c>
      <c r="G255" s="15" t="s">
        <v>1988</v>
      </c>
    </row>
    <row r="256">
      <c r="A256" s="6">
        <v>255.0</v>
      </c>
      <c r="B256" s="12" t="s">
        <v>1989</v>
      </c>
      <c r="C256" s="13" t="s">
        <v>1995</v>
      </c>
      <c r="D256" s="13">
        <v>208.0</v>
      </c>
      <c r="E256" s="13" t="s">
        <v>1739</v>
      </c>
      <c r="F256" s="13">
        <v>208.0</v>
      </c>
      <c r="G256" s="15" t="s">
        <v>1739</v>
      </c>
    </row>
    <row r="257">
      <c r="A257" s="6">
        <v>256.0</v>
      </c>
      <c r="B257" s="12" t="s">
        <v>1998</v>
      </c>
      <c r="C257" s="13" t="s">
        <v>2003</v>
      </c>
      <c r="D257" s="13">
        <v>209.0</v>
      </c>
      <c r="E257" s="13">
        <v>305.0</v>
      </c>
      <c r="F257" s="13">
        <v>257.0</v>
      </c>
      <c r="G257" s="15" t="s">
        <v>1739</v>
      </c>
    </row>
    <row r="258">
      <c r="A258" s="6">
        <v>257.0</v>
      </c>
      <c r="B258" s="12" t="s">
        <v>2007</v>
      </c>
      <c r="C258" s="13" t="s">
        <v>2015</v>
      </c>
      <c r="D258" s="13" t="s">
        <v>1739</v>
      </c>
      <c r="E258" s="13">
        <v>210.0</v>
      </c>
      <c r="F258" s="13">
        <v>210.0</v>
      </c>
      <c r="G258" s="15" t="s">
        <v>1739</v>
      </c>
    </row>
    <row r="259">
      <c r="A259" s="6">
        <v>258.0</v>
      </c>
      <c r="B259" s="12" t="s">
        <v>2018</v>
      </c>
      <c r="C259" s="13" t="s">
        <v>1958</v>
      </c>
      <c r="D259" s="13">
        <v>253.0</v>
      </c>
      <c r="E259" s="13">
        <v>257.0</v>
      </c>
      <c r="F259" s="13">
        <v>255.0</v>
      </c>
      <c r="G259" s="15" t="s">
        <v>2025</v>
      </c>
    </row>
    <row r="260">
      <c r="A260" s="6">
        <v>259.0</v>
      </c>
      <c r="B260" s="12" t="s">
        <v>2026</v>
      </c>
      <c r="C260" s="13" t="s">
        <v>1858</v>
      </c>
      <c r="D260" s="13">
        <v>212.0</v>
      </c>
      <c r="E260" s="13">
        <v>304.0</v>
      </c>
      <c r="F260" s="13">
        <v>258.0</v>
      </c>
      <c r="G260" s="15" t="s">
        <v>2035</v>
      </c>
    </row>
    <row r="261">
      <c r="A261" s="6">
        <v>260.0</v>
      </c>
      <c r="B261" s="12" t="s">
        <v>2037</v>
      </c>
      <c r="C261" s="13" t="s">
        <v>2043</v>
      </c>
      <c r="D261" s="13">
        <v>277.0</v>
      </c>
      <c r="E261" s="13">
        <v>234.0</v>
      </c>
      <c r="F261" s="13">
        <v>255.5</v>
      </c>
      <c r="G261" s="15" t="s">
        <v>1739</v>
      </c>
    </row>
    <row r="262">
      <c r="A262" s="6">
        <v>261.0</v>
      </c>
      <c r="B262" s="12" t="s">
        <v>2045</v>
      </c>
      <c r="C262" s="13" t="s">
        <v>2052</v>
      </c>
      <c r="D262" s="13" t="s">
        <v>1739</v>
      </c>
      <c r="E262" s="13">
        <v>214.0</v>
      </c>
      <c r="F262" s="13">
        <v>214.0</v>
      </c>
      <c r="G262" s="15" t="s">
        <v>1739</v>
      </c>
    </row>
    <row r="263">
      <c r="A263" s="6">
        <v>262.0</v>
      </c>
      <c r="B263" s="12" t="s">
        <v>2055</v>
      </c>
      <c r="C263" s="13" t="s">
        <v>1895</v>
      </c>
      <c r="D263" s="13">
        <v>216.0</v>
      </c>
      <c r="E263" s="13">
        <v>297.0</v>
      </c>
      <c r="F263" s="13">
        <v>256.5</v>
      </c>
      <c r="G263" s="15" t="s">
        <v>1739</v>
      </c>
    </row>
    <row r="264">
      <c r="A264" s="6">
        <v>263.0</v>
      </c>
      <c r="B264" s="12" t="s">
        <v>2062</v>
      </c>
      <c r="C264" s="13" t="s">
        <v>2067</v>
      </c>
      <c r="D264" s="13">
        <v>240.0</v>
      </c>
      <c r="E264" s="13">
        <v>273.0</v>
      </c>
      <c r="F264" s="13">
        <v>256.5</v>
      </c>
      <c r="G264" s="15" t="s">
        <v>2068</v>
      </c>
    </row>
    <row r="265">
      <c r="A265" s="6">
        <v>264.0</v>
      </c>
      <c r="B265" s="12" t="s">
        <v>2070</v>
      </c>
      <c r="C265" s="13" t="s">
        <v>1880</v>
      </c>
      <c r="D265" s="13">
        <v>229.0</v>
      </c>
      <c r="E265" s="13">
        <v>285.0</v>
      </c>
      <c r="F265" s="13">
        <v>257.0</v>
      </c>
      <c r="G265" s="15" t="s">
        <v>2075</v>
      </c>
    </row>
    <row r="266">
      <c r="A266" s="6">
        <v>265.0</v>
      </c>
      <c r="B266" s="12" t="s">
        <v>2076</v>
      </c>
      <c r="C266" s="13" t="s">
        <v>1917</v>
      </c>
      <c r="D266" s="13">
        <v>245.0</v>
      </c>
      <c r="E266" s="13">
        <v>271.0</v>
      </c>
      <c r="F266" s="13">
        <v>258.0</v>
      </c>
      <c r="G266" s="15" t="s">
        <v>2080</v>
      </c>
    </row>
    <row r="267">
      <c r="A267" s="6">
        <v>266.0</v>
      </c>
      <c r="B267" s="12" t="s">
        <v>2081</v>
      </c>
      <c r="C267" s="13" t="s">
        <v>2087</v>
      </c>
      <c r="D267" s="13" t="s">
        <v>1739</v>
      </c>
      <c r="E267" s="13">
        <v>220.0</v>
      </c>
      <c r="F267" s="13">
        <v>220.0</v>
      </c>
      <c r="G267" s="15" t="s">
        <v>1739</v>
      </c>
    </row>
    <row r="268">
      <c r="A268" s="6">
        <v>267.0</v>
      </c>
      <c r="B268" s="12" t="s">
        <v>2089</v>
      </c>
      <c r="C268" s="13" t="s">
        <v>2094</v>
      </c>
      <c r="D268" s="13" t="s">
        <v>1739</v>
      </c>
      <c r="E268" s="13">
        <v>221.0</v>
      </c>
      <c r="F268" s="13">
        <v>221.0</v>
      </c>
      <c r="G268" s="15" t="s">
        <v>2095</v>
      </c>
    </row>
    <row r="269">
      <c r="A269" s="6">
        <v>268.0</v>
      </c>
      <c r="B269" s="12" t="s">
        <v>2096</v>
      </c>
      <c r="C269" s="13" t="s">
        <v>2101</v>
      </c>
      <c r="D269" s="13" t="s">
        <v>1739</v>
      </c>
      <c r="E269" s="13">
        <v>223.0</v>
      </c>
      <c r="F269" s="13">
        <v>223.0</v>
      </c>
      <c r="G269" s="15" t="s">
        <v>1739</v>
      </c>
    </row>
    <row r="270">
      <c r="A270" s="6">
        <v>269.0</v>
      </c>
      <c r="B270" s="12" t="s">
        <v>2104</v>
      </c>
      <c r="C270" s="13" t="s">
        <v>1924</v>
      </c>
      <c r="D270" s="13">
        <v>264.0</v>
      </c>
      <c r="E270" s="13">
        <v>258.0</v>
      </c>
      <c r="F270" s="13">
        <v>261.0</v>
      </c>
      <c r="G270" s="15" t="s">
        <v>2108</v>
      </c>
    </row>
    <row r="271">
      <c r="A271" s="6">
        <v>270.0</v>
      </c>
      <c r="B271" s="12" t="s">
        <v>2109</v>
      </c>
      <c r="C271" s="13" t="s">
        <v>2115</v>
      </c>
      <c r="D271" s="13">
        <v>225.0</v>
      </c>
      <c r="E271" s="13" t="s">
        <v>1739</v>
      </c>
      <c r="F271" s="13">
        <v>225.0</v>
      </c>
      <c r="G271" s="15" t="s">
        <v>1739</v>
      </c>
    </row>
    <row r="272">
      <c r="A272" s="6">
        <v>271.0</v>
      </c>
      <c r="B272" s="12" t="s">
        <v>2117</v>
      </c>
      <c r="C272" s="13" t="s">
        <v>1933</v>
      </c>
      <c r="D272" s="13">
        <v>248.0</v>
      </c>
      <c r="E272" s="13">
        <v>277.0</v>
      </c>
      <c r="F272" s="13">
        <v>262.5</v>
      </c>
      <c r="G272" s="15" t="s">
        <v>2122</v>
      </c>
    </row>
    <row r="273">
      <c r="A273" s="6">
        <v>272.0</v>
      </c>
      <c r="B273" s="12" t="s">
        <v>2124</v>
      </c>
      <c r="C273" s="13" t="s">
        <v>2130</v>
      </c>
      <c r="D273" s="13">
        <v>275.0</v>
      </c>
      <c r="E273" s="13">
        <v>250.0</v>
      </c>
      <c r="F273" s="13">
        <v>262.5</v>
      </c>
      <c r="G273" s="15" t="s">
        <v>2131</v>
      </c>
    </row>
    <row r="274">
      <c r="A274" s="6">
        <v>273.0</v>
      </c>
      <c r="B274" s="12" t="s">
        <v>2132</v>
      </c>
      <c r="C274" s="13" t="s">
        <v>2137</v>
      </c>
      <c r="D274" s="13">
        <v>228.0</v>
      </c>
      <c r="E274" s="13" t="s">
        <v>1739</v>
      </c>
      <c r="F274" s="13">
        <v>228.0</v>
      </c>
      <c r="G274" s="15" t="s">
        <v>1739</v>
      </c>
    </row>
    <row r="275">
      <c r="A275" s="6">
        <v>274.0</v>
      </c>
      <c r="B275" s="12" t="s">
        <v>2140</v>
      </c>
      <c r="C275" s="13" t="s">
        <v>2145</v>
      </c>
      <c r="D275" s="13">
        <v>267.0</v>
      </c>
      <c r="E275" s="13">
        <v>259.0</v>
      </c>
      <c r="F275" s="13">
        <v>263.0</v>
      </c>
      <c r="G275" s="15" t="s">
        <v>2146</v>
      </c>
    </row>
    <row r="276">
      <c r="A276" s="6">
        <v>275.0</v>
      </c>
      <c r="B276" s="12" t="s">
        <v>2147</v>
      </c>
      <c r="C276" s="13" t="s">
        <v>1991</v>
      </c>
      <c r="D276" s="13" t="s">
        <v>1739</v>
      </c>
      <c r="E276" s="13">
        <v>230.0</v>
      </c>
      <c r="F276" s="13">
        <v>230.0</v>
      </c>
      <c r="G276" s="15" t="s">
        <v>1739</v>
      </c>
    </row>
    <row r="277">
      <c r="A277" s="6">
        <v>276.0</v>
      </c>
      <c r="B277" s="12" t="s">
        <v>2152</v>
      </c>
      <c r="C277" s="13" t="s">
        <v>2157</v>
      </c>
      <c r="D277" s="13">
        <v>261.0</v>
      </c>
      <c r="E277" s="13">
        <v>267.0</v>
      </c>
      <c r="F277" s="13">
        <v>264.0</v>
      </c>
      <c r="G277" s="15" t="s">
        <v>2159</v>
      </c>
    </row>
    <row r="278">
      <c r="A278" s="6">
        <v>277.0</v>
      </c>
      <c r="B278" s="12" t="s">
        <v>2161</v>
      </c>
      <c r="C278" s="13" t="s">
        <v>2031</v>
      </c>
      <c r="D278" s="13">
        <v>231.0</v>
      </c>
      <c r="E278" s="13" t="s">
        <v>1739</v>
      </c>
      <c r="F278" s="13">
        <v>231.0</v>
      </c>
      <c r="G278" s="15" t="s">
        <v>2167</v>
      </c>
    </row>
    <row r="279">
      <c r="A279" s="6">
        <v>278.0</v>
      </c>
      <c r="B279" s="12" t="s">
        <v>2168</v>
      </c>
      <c r="C279" s="13" t="s">
        <v>2061</v>
      </c>
      <c r="D279" s="13">
        <v>262.0</v>
      </c>
      <c r="E279" s="13">
        <v>268.0</v>
      </c>
      <c r="F279" s="13">
        <v>265.0</v>
      </c>
      <c r="G279" s="15" t="s">
        <v>1739</v>
      </c>
    </row>
    <row r="280">
      <c r="A280" s="6">
        <v>279.0</v>
      </c>
      <c r="B280" s="12" t="s">
        <v>2175</v>
      </c>
      <c r="C280" s="13" t="s">
        <v>2069</v>
      </c>
      <c r="D280" s="13">
        <v>254.0</v>
      </c>
      <c r="E280" s="13">
        <v>279.0</v>
      </c>
      <c r="F280" s="13">
        <v>266.5</v>
      </c>
      <c r="G280" s="15" t="s">
        <v>1739</v>
      </c>
    </row>
    <row r="281">
      <c r="A281" s="6">
        <v>280.0</v>
      </c>
      <c r="B281" s="12" t="s">
        <v>2184</v>
      </c>
      <c r="C281" s="13" t="s">
        <v>2083</v>
      </c>
      <c r="D281" s="13">
        <v>269.0</v>
      </c>
      <c r="E281" s="13">
        <v>265.0</v>
      </c>
      <c r="F281" s="13">
        <v>267.0</v>
      </c>
      <c r="G281" s="15" t="s">
        <v>1739</v>
      </c>
    </row>
    <row r="282">
      <c r="A282" s="6">
        <v>281.0</v>
      </c>
      <c r="B282" s="12" t="s">
        <v>2190</v>
      </c>
      <c r="C282" s="13" t="s">
        <v>2196</v>
      </c>
      <c r="D282" s="13" t="s">
        <v>1739</v>
      </c>
      <c r="E282" s="13">
        <v>237.0</v>
      </c>
      <c r="F282" s="13">
        <v>237.0</v>
      </c>
      <c r="G282" s="15" t="s">
        <v>1739</v>
      </c>
    </row>
    <row r="283">
      <c r="A283" s="6">
        <v>282.0</v>
      </c>
      <c r="B283" s="12" t="s">
        <v>2198</v>
      </c>
      <c r="C283" s="13" t="s">
        <v>2208</v>
      </c>
      <c r="D283" s="13">
        <v>238.0</v>
      </c>
      <c r="E283" s="13" t="s">
        <v>1739</v>
      </c>
      <c r="F283" s="13">
        <v>238.0</v>
      </c>
      <c r="G283" s="15" t="s">
        <v>1739</v>
      </c>
    </row>
    <row r="284">
      <c r="A284" s="6">
        <v>283.0</v>
      </c>
      <c r="B284" s="12" t="s">
        <v>2210</v>
      </c>
      <c r="C284" s="13" t="s">
        <v>2112</v>
      </c>
      <c r="D284" s="13" t="s">
        <v>1739</v>
      </c>
      <c r="E284" s="13">
        <v>239.0</v>
      </c>
      <c r="F284" s="13">
        <v>239.0</v>
      </c>
      <c r="G284" s="15" t="s">
        <v>2216</v>
      </c>
    </row>
    <row r="285">
      <c r="A285" s="6">
        <v>284.0</v>
      </c>
      <c r="B285" s="12" t="s">
        <v>2218</v>
      </c>
      <c r="C285" s="13" t="s">
        <v>2125</v>
      </c>
      <c r="D285" s="13">
        <v>239.0</v>
      </c>
      <c r="E285" s="13" t="s">
        <v>1739</v>
      </c>
      <c r="F285" s="13">
        <v>239.0</v>
      </c>
      <c r="G285" s="15" t="s">
        <v>1739</v>
      </c>
    </row>
    <row r="286">
      <c r="A286" s="6">
        <v>285.0</v>
      </c>
      <c r="B286" s="12" t="s">
        <v>2225</v>
      </c>
      <c r="C286" s="13" t="s">
        <v>2232</v>
      </c>
      <c r="D286" s="13">
        <v>242.0</v>
      </c>
      <c r="E286" s="13" t="s">
        <v>1739</v>
      </c>
      <c r="F286" s="13">
        <v>242.0</v>
      </c>
      <c r="G286" s="15" t="s">
        <v>1739</v>
      </c>
    </row>
    <row r="287">
      <c r="A287" s="6">
        <v>286.0</v>
      </c>
      <c r="B287" s="12" t="s">
        <v>2233</v>
      </c>
      <c r="C287" s="13" t="s">
        <v>2240</v>
      </c>
      <c r="D287" s="13" t="s">
        <v>1739</v>
      </c>
      <c r="E287" s="13">
        <v>243.0</v>
      </c>
      <c r="F287" s="13">
        <v>243.0</v>
      </c>
      <c r="G287" s="15" t="s">
        <v>1739</v>
      </c>
    </row>
    <row r="288">
      <c r="A288" s="6">
        <v>287.0</v>
      </c>
      <c r="B288" s="12" t="s">
        <v>2242</v>
      </c>
      <c r="C288" s="13" t="s">
        <v>2148</v>
      </c>
      <c r="D288" s="13">
        <v>243.0</v>
      </c>
      <c r="E288" s="13" t="s">
        <v>1739</v>
      </c>
      <c r="F288" s="13">
        <v>243.0</v>
      </c>
      <c r="G288" s="15" t="s">
        <v>1739</v>
      </c>
    </row>
    <row r="289">
      <c r="A289" s="6">
        <v>288.0</v>
      </c>
      <c r="B289" s="12" t="s">
        <v>2249</v>
      </c>
      <c r="C289" s="13" t="s">
        <v>2202</v>
      </c>
      <c r="D289" s="13">
        <v>265.0</v>
      </c>
      <c r="E289" s="13">
        <v>276.0</v>
      </c>
      <c r="F289" s="13">
        <v>270.5</v>
      </c>
      <c r="G289" s="15" t="s">
        <v>2256</v>
      </c>
    </row>
    <row r="290">
      <c r="A290" s="6">
        <v>289.0</v>
      </c>
      <c r="B290" s="12" t="s">
        <v>2257</v>
      </c>
      <c r="C290" s="13" t="s">
        <v>2265</v>
      </c>
      <c r="D290" s="13" t="s">
        <v>1739</v>
      </c>
      <c r="E290" s="13">
        <v>245.0</v>
      </c>
      <c r="F290" s="13">
        <v>245.0</v>
      </c>
      <c r="G290" s="15" t="s">
        <v>1739</v>
      </c>
    </row>
    <row r="291">
      <c r="A291" s="6">
        <v>290.0</v>
      </c>
      <c r="B291" s="12" t="s">
        <v>2268</v>
      </c>
      <c r="C291" s="13" t="s">
        <v>2154</v>
      </c>
      <c r="D291" s="13">
        <v>247.0</v>
      </c>
      <c r="E291" s="13" t="s">
        <v>1739</v>
      </c>
      <c r="F291" s="13">
        <v>247.0</v>
      </c>
      <c r="G291" s="15" t="s">
        <v>1739</v>
      </c>
    </row>
    <row r="292">
      <c r="A292" s="6">
        <v>291.0</v>
      </c>
      <c r="B292" s="12" t="s">
        <v>2274</v>
      </c>
      <c r="C292" s="13" t="s">
        <v>2162</v>
      </c>
      <c r="D292" s="13">
        <v>259.0</v>
      </c>
      <c r="E292" s="13">
        <v>290.0</v>
      </c>
      <c r="F292" s="13">
        <v>274.5</v>
      </c>
      <c r="G292" s="15" t="s">
        <v>2280</v>
      </c>
    </row>
    <row r="293">
      <c r="A293" s="6">
        <v>292.0</v>
      </c>
      <c r="B293" s="12" t="s">
        <v>2282</v>
      </c>
      <c r="C293" s="13" t="s">
        <v>2258</v>
      </c>
      <c r="D293" s="13" t="s">
        <v>1739</v>
      </c>
      <c r="E293" s="13">
        <v>252.0</v>
      </c>
      <c r="F293" s="13">
        <v>252.0</v>
      </c>
      <c r="G293" s="15" t="s">
        <v>1739</v>
      </c>
    </row>
    <row r="294">
      <c r="A294" s="6">
        <v>293.0</v>
      </c>
      <c r="B294" s="12" t="s">
        <v>2291</v>
      </c>
      <c r="C294" s="13" t="s">
        <v>2188</v>
      </c>
      <c r="D294" s="13">
        <v>257.0</v>
      </c>
      <c r="E294" s="13" t="s">
        <v>1739</v>
      </c>
      <c r="F294" s="13">
        <v>257.0</v>
      </c>
      <c r="G294" s="15" t="s">
        <v>2299</v>
      </c>
    </row>
    <row r="295">
      <c r="A295" s="6">
        <v>294.0</v>
      </c>
      <c r="B295" s="12" t="s">
        <v>2300</v>
      </c>
      <c r="C295" s="13" t="s">
        <v>2224</v>
      </c>
      <c r="D295" s="13">
        <v>258.0</v>
      </c>
      <c r="E295" s="13">
        <v>299.0</v>
      </c>
      <c r="F295" s="13">
        <v>278.5</v>
      </c>
      <c r="G295" s="15" t="s">
        <v>2307</v>
      </c>
    </row>
    <row r="296">
      <c r="A296" s="6">
        <v>295.0</v>
      </c>
      <c r="B296" s="12" t="s">
        <v>2309</v>
      </c>
      <c r="C296" s="13" t="s">
        <v>2241</v>
      </c>
      <c r="D296" s="13">
        <v>268.0</v>
      </c>
      <c r="E296" s="13">
        <v>289.0</v>
      </c>
      <c r="F296" s="13">
        <v>278.5</v>
      </c>
      <c r="G296" s="15" t="s">
        <v>1739</v>
      </c>
    </row>
    <row r="297">
      <c r="A297" s="6">
        <v>296.0</v>
      </c>
      <c r="B297" s="12" t="s">
        <v>2316</v>
      </c>
      <c r="C297" s="13" t="s">
        <v>2304</v>
      </c>
      <c r="D297" s="13" t="s">
        <v>1739</v>
      </c>
      <c r="E297" s="13">
        <v>260.0</v>
      </c>
      <c r="F297" s="13">
        <v>260.0</v>
      </c>
      <c r="G297" s="15" t="s">
        <v>1739</v>
      </c>
    </row>
    <row r="298">
      <c r="A298" s="6">
        <v>297.0</v>
      </c>
      <c r="B298" s="12" t="s">
        <v>2324</v>
      </c>
      <c r="C298" s="13" t="s">
        <v>2320</v>
      </c>
      <c r="D298" s="13" t="s">
        <v>1739</v>
      </c>
      <c r="E298" s="13">
        <v>262.0</v>
      </c>
      <c r="F298" s="13">
        <v>262.0</v>
      </c>
      <c r="G298" s="15" t="s">
        <v>1739</v>
      </c>
    </row>
    <row r="299">
      <c r="A299" s="6">
        <v>298.0</v>
      </c>
      <c r="B299" s="12" t="s">
        <v>2331</v>
      </c>
      <c r="C299" s="13" t="s">
        <v>2338</v>
      </c>
      <c r="D299" s="13">
        <v>291.0</v>
      </c>
      <c r="E299" s="13">
        <v>269.0</v>
      </c>
      <c r="F299" s="13">
        <v>280.0</v>
      </c>
      <c r="G299" s="15" t="s">
        <v>2340</v>
      </c>
    </row>
    <row r="300">
      <c r="A300" s="6">
        <v>299.0</v>
      </c>
      <c r="B300" s="12" t="s">
        <v>2341</v>
      </c>
      <c r="C300" s="13" t="s">
        <v>2288</v>
      </c>
      <c r="D300" s="13">
        <v>263.0</v>
      </c>
      <c r="E300" s="13">
        <v>300.0</v>
      </c>
      <c r="F300" s="13">
        <v>281.5</v>
      </c>
      <c r="G300" s="15" t="s">
        <v>2347</v>
      </c>
    </row>
    <row r="301">
      <c r="A301" s="6">
        <v>300.0</v>
      </c>
      <c r="B301" s="12" t="s">
        <v>2349</v>
      </c>
      <c r="C301" s="13" t="s">
        <v>2296</v>
      </c>
      <c r="D301" s="13" t="s">
        <v>1739</v>
      </c>
      <c r="E301" s="13">
        <v>266.0</v>
      </c>
      <c r="F301" s="13">
        <v>266.0</v>
      </c>
      <c r="G301" s="15" t="s">
        <v>1739</v>
      </c>
    </row>
    <row r="302">
      <c r="A302" s="6">
        <v>301.0</v>
      </c>
      <c r="B302" s="12" t="s">
        <v>2357</v>
      </c>
      <c r="C302" s="13" t="s">
        <v>2327</v>
      </c>
      <c r="D302" s="13">
        <v>266.0</v>
      </c>
      <c r="E302" s="13">
        <v>298.0</v>
      </c>
      <c r="F302" s="13">
        <v>282.0</v>
      </c>
      <c r="G302" s="15" t="s">
        <v>1739</v>
      </c>
    </row>
    <row r="303">
      <c r="A303" s="6">
        <v>302.0</v>
      </c>
      <c r="B303" s="12" t="s">
        <v>2364</v>
      </c>
      <c r="C303" s="13" t="s">
        <v>2370</v>
      </c>
      <c r="D303" s="13">
        <v>281.0</v>
      </c>
      <c r="E303" s="13">
        <v>286.0</v>
      </c>
      <c r="F303" s="13">
        <v>283.5</v>
      </c>
      <c r="G303" s="15" t="s">
        <v>2372</v>
      </c>
    </row>
    <row r="304">
      <c r="A304" s="6">
        <v>303.0</v>
      </c>
      <c r="B304" s="12" t="s">
        <v>2375</v>
      </c>
      <c r="C304" s="13" t="s">
        <v>2335</v>
      </c>
      <c r="D304" s="13" t="s">
        <v>1739</v>
      </c>
      <c r="E304" s="13">
        <v>270.0</v>
      </c>
      <c r="F304" s="13">
        <v>270.0</v>
      </c>
      <c r="G304" s="15" t="s">
        <v>2381</v>
      </c>
    </row>
    <row r="305">
      <c r="A305" s="6">
        <v>304.0</v>
      </c>
      <c r="B305" s="12" t="s">
        <v>2384</v>
      </c>
      <c r="C305" s="13" t="s">
        <v>2388</v>
      </c>
      <c r="D305" s="13">
        <v>271.0</v>
      </c>
      <c r="E305" s="13" t="s">
        <v>1739</v>
      </c>
      <c r="F305" s="13">
        <v>271.0</v>
      </c>
      <c r="G305" s="15" t="s">
        <v>1739</v>
      </c>
    </row>
    <row r="306">
      <c r="A306" s="6">
        <v>305.0</v>
      </c>
      <c r="B306" s="12" t="s">
        <v>2391</v>
      </c>
      <c r="C306" s="13" t="s">
        <v>2396</v>
      </c>
      <c r="D306" s="13">
        <v>272.0</v>
      </c>
      <c r="E306" s="13" t="s">
        <v>1739</v>
      </c>
      <c r="F306" s="13">
        <v>272.0</v>
      </c>
      <c r="G306" s="15" t="s">
        <v>1739</v>
      </c>
    </row>
    <row r="307">
      <c r="A307" s="6">
        <v>306.0</v>
      </c>
      <c r="B307" s="12" t="s">
        <v>2398</v>
      </c>
      <c r="C307" s="13" t="s">
        <v>2404</v>
      </c>
      <c r="D307" s="13">
        <v>274.0</v>
      </c>
      <c r="E307" s="13" t="s">
        <v>1739</v>
      </c>
      <c r="F307" s="13">
        <v>274.0</v>
      </c>
      <c r="G307" s="15" t="s">
        <v>1739</v>
      </c>
    </row>
    <row r="308">
      <c r="A308" s="6">
        <v>307.0</v>
      </c>
      <c r="B308" s="12" t="s">
        <v>2406</v>
      </c>
      <c r="C308" s="13" t="s">
        <v>2374</v>
      </c>
      <c r="D308" s="13" t="s">
        <v>1739</v>
      </c>
      <c r="E308" s="13">
        <v>275.0</v>
      </c>
      <c r="F308" s="13">
        <v>275.0</v>
      </c>
      <c r="G308" s="15" t="s">
        <v>1739</v>
      </c>
    </row>
    <row r="309">
      <c r="A309" s="6">
        <v>308.0</v>
      </c>
      <c r="B309" s="12" t="s">
        <v>2414</v>
      </c>
      <c r="C309" s="13" t="s">
        <v>2421</v>
      </c>
      <c r="D309" s="13">
        <v>276.0</v>
      </c>
      <c r="E309" s="13" t="s">
        <v>1739</v>
      </c>
      <c r="F309" s="13">
        <v>276.0</v>
      </c>
      <c r="G309" s="15" t="s">
        <v>2422</v>
      </c>
    </row>
    <row r="310">
      <c r="A310" s="6">
        <v>309.0</v>
      </c>
      <c r="B310" s="12" t="s">
        <v>2424</v>
      </c>
      <c r="C310" s="13" t="s">
        <v>2383</v>
      </c>
      <c r="D310" s="13" t="s">
        <v>1739</v>
      </c>
      <c r="E310" s="13">
        <v>278.0</v>
      </c>
      <c r="F310" s="13">
        <v>278.0</v>
      </c>
      <c r="G310" s="15" t="s">
        <v>2432</v>
      </c>
    </row>
    <row r="311">
      <c r="A311" s="6">
        <v>310.0</v>
      </c>
      <c r="B311" s="12" t="s">
        <v>2433</v>
      </c>
      <c r="C311" s="13" t="s">
        <v>2440</v>
      </c>
      <c r="D311" s="13">
        <v>279.0</v>
      </c>
      <c r="E311" s="13" t="s">
        <v>1739</v>
      </c>
      <c r="F311" s="13">
        <v>279.0</v>
      </c>
      <c r="G311" s="15" t="s">
        <v>1739</v>
      </c>
    </row>
    <row r="312">
      <c r="A312" s="6">
        <v>311.0</v>
      </c>
      <c r="B312" s="12" t="s">
        <v>2443</v>
      </c>
      <c r="C312" s="13" t="s">
        <v>2447</v>
      </c>
      <c r="D312" s="13">
        <v>296.0</v>
      </c>
      <c r="E312" s="13">
        <v>281.0</v>
      </c>
      <c r="F312" s="13">
        <v>288.5</v>
      </c>
      <c r="G312" s="15" t="s">
        <v>2449</v>
      </c>
    </row>
    <row r="313">
      <c r="A313" s="6">
        <v>312.0</v>
      </c>
      <c r="B313" s="12" t="s">
        <v>2452</v>
      </c>
      <c r="C313" s="13" t="s">
        <v>2351</v>
      </c>
      <c r="D313" s="13" t="s">
        <v>1739</v>
      </c>
      <c r="E313" s="13">
        <v>280.0</v>
      </c>
      <c r="F313" s="13">
        <v>280.0</v>
      </c>
      <c r="G313" s="15" t="s">
        <v>1739</v>
      </c>
    </row>
    <row r="314">
      <c r="A314" s="6">
        <v>313.0</v>
      </c>
      <c r="B314" s="12" t="s">
        <v>2460</v>
      </c>
      <c r="C314" s="13" t="s">
        <v>2464</v>
      </c>
      <c r="D314" s="13">
        <v>282.0</v>
      </c>
      <c r="E314" s="13" t="s">
        <v>1739</v>
      </c>
      <c r="F314" s="13">
        <v>282.0</v>
      </c>
      <c r="G314" s="15" t="s">
        <v>1739</v>
      </c>
    </row>
    <row r="315">
      <c r="A315" s="6">
        <v>314.0</v>
      </c>
      <c r="B315" s="12" t="s">
        <v>2469</v>
      </c>
      <c r="C315" s="13" t="s">
        <v>2365</v>
      </c>
      <c r="D315" s="13" t="s">
        <v>1739</v>
      </c>
      <c r="E315" s="13">
        <v>282.0</v>
      </c>
      <c r="F315" s="13">
        <v>282.0</v>
      </c>
      <c r="G315" s="15" t="s">
        <v>1739</v>
      </c>
    </row>
    <row r="316">
      <c r="A316" s="6">
        <v>315.0</v>
      </c>
      <c r="B316" s="12" t="s">
        <v>2476</v>
      </c>
      <c r="C316" s="13" t="s">
        <v>2480</v>
      </c>
      <c r="D316" s="13">
        <v>283.0</v>
      </c>
      <c r="E316" s="13" t="s">
        <v>1739</v>
      </c>
      <c r="F316" s="13">
        <v>283.0</v>
      </c>
      <c r="G316" s="15" t="s">
        <v>1739</v>
      </c>
    </row>
    <row r="317">
      <c r="A317" s="6">
        <v>316.0</v>
      </c>
      <c r="B317" s="12" t="s">
        <v>2483</v>
      </c>
      <c r="C317" s="13" t="s">
        <v>2400</v>
      </c>
      <c r="D317" s="13" t="s">
        <v>1739</v>
      </c>
      <c r="E317" s="13">
        <v>283.0</v>
      </c>
      <c r="F317" s="13">
        <v>283.0</v>
      </c>
      <c r="G317" s="15" t="s">
        <v>1739</v>
      </c>
    </row>
    <row r="318">
      <c r="A318" s="6">
        <v>317.0</v>
      </c>
      <c r="B318" s="12" t="s">
        <v>2491</v>
      </c>
      <c r="C318" s="13" t="s">
        <v>2498</v>
      </c>
      <c r="D318" s="13">
        <v>285.0</v>
      </c>
      <c r="E318" s="13" t="s">
        <v>1739</v>
      </c>
      <c r="F318" s="13">
        <v>285.0</v>
      </c>
      <c r="G318" s="15" t="s">
        <v>1739</v>
      </c>
    </row>
    <row r="319">
      <c r="A319" s="6">
        <v>318.0</v>
      </c>
      <c r="B319" s="12" t="s">
        <v>2499</v>
      </c>
      <c r="C319" s="13" t="s">
        <v>2506</v>
      </c>
      <c r="D319" s="13">
        <v>286.0</v>
      </c>
      <c r="E319" s="13" t="s">
        <v>1739</v>
      </c>
      <c r="F319" s="13">
        <v>286.0</v>
      </c>
      <c r="G319" s="15" t="s">
        <v>1739</v>
      </c>
    </row>
    <row r="320">
      <c r="A320" s="6">
        <v>319.0</v>
      </c>
      <c r="B320" s="12" t="s">
        <v>2508</v>
      </c>
      <c r="C320" s="13" t="s">
        <v>2513</v>
      </c>
      <c r="D320" s="13">
        <v>292.0</v>
      </c>
      <c r="E320" s="13">
        <v>292.0</v>
      </c>
      <c r="F320" s="13">
        <v>292.0</v>
      </c>
      <c r="G320" s="15" t="s">
        <v>1739</v>
      </c>
    </row>
    <row r="321">
      <c r="A321" s="6">
        <v>320.0</v>
      </c>
      <c r="B321" s="12" t="s">
        <v>2516</v>
      </c>
      <c r="C321" s="13" t="s">
        <v>2487</v>
      </c>
      <c r="D321" s="13">
        <v>287.0</v>
      </c>
      <c r="E321" s="13" t="s">
        <v>1739</v>
      </c>
      <c r="F321" s="13">
        <v>287.0</v>
      </c>
      <c r="G321" s="15" t="s">
        <v>1739</v>
      </c>
    </row>
    <row r="322">
      <c r="A322" s="6">
        <v>321.0</v>
      </c>
      <c r="B322" s="12" t="s">
        <v>2523</v>
      </c>
      <c r="C322" s="13" t="s">
        <v>2285</v>
      </c>
      <c r="D322" s="13">
        <v>288.0</v>
      </c>
      <c r="E322" s="13" t="s">
        <v>1739</v>
      </c>
      <c r="F322" s="13">
        <v>288.0</v>
      </c>
      <c r="G322" s="15" t="s">
        <v>1739</v>
      </c>
    </row>
    <row r="323">
      <c r="A323" s="6">
        <v>322.0</v>
      </c>
      <c r="B323" s="12" t="s">
        <v>2531</v>
      </c>
      <c r="C323" s="13" t="s">
        <v>2420</v>
      </c>
      <c r="D323" s="13" t="s">
        <v>1739</v>
      </c>
      <c r="E323" s="13">
        <v>288.0</v>
      </c>
      <c r="F323" s="13">
        <v>288.0</v>
      </c>
      <c r="G323" s="15" t="s">
        <v>1739</v>
      </c>
    </row>
    <row r="324">
      <c r="A324" s="6">
        <v>323.0</v>
      </c>
      <c r="B324" s="12" t="s">
        <v>2538</v>
      </c>
      <c r="C324" s="13" t="s">
        <v>2546</v>
      </c>
      <c r="D324" s="13">
        <v>289.0</v>
      </c>
      <c r="E324" s="13" t="s">
        <v>1739</v>
      </c>
      <c r="F324" s="13">
        <v>289.0</v>
      </c>
      <c r="G324" s="15" t="s">
        <v>1739</v>
      </c>
    </row>
    <row r="325">
      <c r="A325" s="6">
        <v>324.0</v>
      </c>
      <c r="B325" s="12" t="s">
        <v>2548</v>
      </c>
      <c r="C325" s="13" t="s">
        <v>2555</v>
      </c>
      <c r="D325" s="13">
        <v>290.0</v>
      </c>
      <c r="E325" s="13" t="s">
        <v>1739</v>
      </c>
      <c r="F325" s="13">
        <v>290.0</v>
      </c>
      <c r="G325" s="15" t="s">
        <v>1739</v>
      </c>
    </row>
    <row r="326">
      <c r="A326" s="6">
        <v>325.0</v>
      </c>
      <c r="B326" s="12" t="s">
        <v>2556</v>
      </c>
      <c r="C326" s="13" t="s">
        <v>2564</v>
      </c>
      <c r="D326" s="13">
        <v>293.0</v>
      </c>
      <c r="E326" s="13" t="s">
        <v>1739</v>
      </c>
      <c r="F326" s="13">
        <v>293.0</v>
      </c>
      <c r="G326" s="15" t="s">
        <v>1739</v>
      </c>
    </row>
    <row r="327">
      <c r="A327" s="6">
        <v>326.0</v>
      </c>
      <c r="B327" s="12" t="s">
        <v>2566</v>
      </c>
      <c r="C327" s="13" t="s">
        <v>2409</v>
      </c>
      <c r="D327" s="13" t="s">
        <v>1739</v>
      </c>
      <c r="E327" s="13">
        <v>293.0</v>
      </c>
      <c r="F327" s="13">
        <v>293.0</v>
      </c>
      <c r="G327" s="15" t="s">
        <v>1739</v>
      </c>
    </row>
    <row r="328">
      <c r="A328" s="6">
        <v>327.0</v>
      </c>
      <c r="B328" s="12" t="s">
        <v>2571</v>
      </c>
      <c r="C328" s="13" t="s">
        <v>2575</v>
      </c>
      <c r="D328" s="13">
        <v>294.0</v>
      </c>
      <c r="E328" s="13" t="s">
        <v>1739</v>
      </c>
      <c r="F328" s="13">
        <v>294.0</v>
      </c>
      <c r="G328" s="15" t="s">
        <v>1739</v>
      </c>
    </row>
    <row r="329">
      <c r="A329" s="6">
        <v>328.0</v>
      </c>
      <c r="B329" s="12" t="s">
        <v>2576</v>
      </c>
      <c r="C329" s="13" t="s">
        <v>2580</v>
      </c>
      <c r="D329" s="13">
        <v>295.0</v>
      </c>
      <c r="E329" s="13" t="s">
        <v>1739</v>
      </c>
      <c r="F329" s="13">
        <v>295.0</v>
      </c>
      <c r="G329" s="15" t="s">
        <v>1739</v>
      </c>
    </row>
    <row r="330">
      <c r="A330" s="6">
        <v>329.0</v>
      </c>
      <c r="B330" s="12" t="s">
        <v>2581</v>
      </c>
      <c r="C330" s="13" t="s">
        <v>2588</v>
      </c>
      <c r="D330" s="13" t="s">
        <v>1739</v>
      </c>
      <c r="E330" s="13">
        <v>295.0</v>
      </c>
      <c r="F330" s="13">
        <v>295.0</v>
      </c>
      <c r="G330" s="15" t="s">
        <v>1739</v>
      </c>
    </row>
    <row r="331">
      <c r="A331" s="6">
        <v>330.0</v>
      </c>
      <c r="B331" s="12" t="s">
        <v>2591</v>
      </c>
      <c r="C331" s="13" t="s">
        <v>2428</v>
      </c>
      <c r="D331" s="13" t="s">
        <v>1739</v>
      </c>
      <c r="E331" s="13">
        <v>296.0</v>
      </c>
      <c r="F331" s="13">
        <v>296.0</v>
      </c>
      <c r="G331" s="15" t="s">
        <v>1739</v>
      </c>
    </row>
    <row r="332">
      <c r="A332" s="6">
        <v>331.0</v>
      </c>
      <c r="B332" s="12" t="s">
        <v>2597</v>
      </c>
      <c r="C332" s="13" t="s">
        <v>2600</v>
      </c>
      <c r="D332" s="13">
        <v>297.0</v>
      </c>
      <c r="E332" s="13" t="s">
        <v>1739</v>
      </c>
      <c r="F332" s="13">
        <v>297.0</v>
      </c>
      <c r="G332" s="15" t="s">
        <v>1739</v>
      </c>
    </row>
    <row r="333">
      <c r="A333" s="6">
        <v>332.0</v>
      </c>
      <c r="B333" s="12" t="s">
        <v>2601</v>
      </c>
      <c r="C333" s="13" t="s">
        <v>2455</v>
      </c>
      <c r="D333" s="13" t="s">
        <v>1739</v>
      </c>
      <c r="E333" s="13">
        <v>301.0</v>
      </c>
      <c r="F333" s="13">
        <v>301.0</v>
      </c>
      <c r="G333" s="15" t="s">
        <v>1739</v>
      </c>
    </row>
    <row r="334">
      <c r="A334" s="6">
        <v>333.0</v>
      </c>
      <c r="B334" s="12" t="s">
        <v>2607</v>
      </c>
      <c r="C334" s="13" t="s">
        <v>2486</v>
      </c>
      <c r="D334" s="13" t="s">
        <v>1739</v>
      </c>
      <c r="E334" s="13">
        <v>302.0</v>
      </c>
      <c r="F334" s="13">
        <v>302.0</v>
      </c>
      <c r="G334" s="15" t="s">
        <v>1739</v>
      </c>
    </row>
    <row r="335">
      <c r="A335" s="6">
        <v>334.0</v>
      </c>
      <c r="B335" s="12" t="s">
        <v>2613</v>
      </c>
      <c r="C335" s="13" t="s">
        <v>2437</v>
      </c>
      <c r="D335" s="13" t="s">
        <v>1739</v>
      </c>
      <c r="E335" s="13">
        <v>303.0</v>
      </c>
      <c r="F335" s="13">
        <v>303.0</v>
      </c>
      <c r="G335" s="15" t="s">
        <v>1739</v>
      </c>
    </row>
    <row r="336">
      <c r="A336" s="6">
        <v>335.0</v>
      </c>
      <c r="B336" s="12" t="s">
        <v>2618</v>
      </c>
      <c r="C336" s="13" t="s">
        <v>2494</v>
      </c>
      <c r="D336" s="13" t="s">
        <v>1739</v>
      </c>
      <c r="E336" s="13">
        <v>307.0</v>
      </c>
      <c r="F336" s="13">
        <v>307.0</v>
      </c>
      <c r="G336" s="15" t="s">
        <v>1739</v>
      </c>
    </row>
    <row r="337">
      <c r="A337" s="6">
        <v>336.0</v>
      </c>
      <c r="B337" s="12" t="s">
        <v>2624</v>
      </c>
      <c r="C337" s="13" t="s">
        <v>2528</v>
      </c>
      <c r="D337" s="13" t="s">
        <v>1739</v>
      </c>
      <c r="E337" s="13">
        <v>308.0</v>
      </c>
      <c r="F337" s="13">
        <v>308.0</v>
      </c>
      <c r="G337" s="15" t="s">
        <v>1739</v>
      </c>
    </row>
    <row r="338">
      <c r="A338" s="6">
        <v>337.0</v>
      </c>
      <c r="B338" s="12" t="s">
        <v>2629</v>
      </c>
      <c r="C338" s="45" t="s">
        <v>2536</v>
      </c>
      <c r="D338" s="45" t="s">
        <v>1739</v>
      </c>
      <c r="E338" s="45">
        <v>309.0</v>
      </c>
      <c r="F338" s="45">
        <v>309.0</v>
      </c>
      <c r="G338" s="6" t="s">
        <v>1739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</hyperlinks>
  <drawing r:id="rId3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4" t="s">
        <v>3</v>
      </c>
      <c r="C1" s="2" t="s">
        <v>4</v>
      </c>
      <c r="D1" s="2" t="s">
        <v>6</v>
      </c>
      <c r="E1" s="2" t="s">
        <v>9</v>
      </c>
    </row>
    <row r="2">
      <c r="A2" s="7" t="s">
        <v>11</v>
      </c>
      <c r="B2" s="8"/>
      <c r="E2" s="9" t="s">
        <v>13</v>
      </c>
    </row>
    <row r="3">
      <c r="A3" s="10">
        <v>1.0</v>
      </c>
      <c r="B3" s="14" t="s">
        <v>15</v>
      </c>
      <c r="C3" s="10" t="s">
        <v>21</v>
      </c>
      <c r="D3" s="10">
        <v>6.0</v>
      </c>
      <c r="E3" s="17">
        <v>0.0</v>
      </c>
    </row>
    <row r="4">
      <c r="A4" s="18">
        <v>2.0</v>
      </c>
      <c r="B4" s="14" t="s">
        <v>27</v>
      </c>
      <c r="C4" s="18" t="s">
        <v>32</v>
      </c>
      <c r="D4" s="18">
        <v>11.0</v>
      </c>
      <c r="E4" s="19">
        <v>0.0</v>
      </c>
    </row>
    <row r="5">
      <c r="A5" s="10">
        <v>3.0</v>
      </c>
      <c r="B5" s="14" t="s">
        <v>39</v>
      </c>
      <c r="C5" s="10" t="s">
        <v>38</v>
      </c>
      <c r="D5" s="10">
        <v>6.0</v>
      </c>
      <c r="E5" s="17">
        <v>0.0</v>
      </c>
    </row>
    <row r="6">
      <c r="A6" s="18">
        <v>4.0</v>
      </c>
      <c r="B6" s="14" t="s">
        <v>51</v>
      </c>
      <c r="C6" s="18" t="s">
        <v>60</v>
      </c>
      <c r="D6" s="18">
        <v>11.0</v>
      </c>
      <c r="E6" s="20">
        <f>+2</f>
        <v>2</v>
      </c>
    </row>
    <row r="7">
      <c r="A7" s="22" t="s">
        <v>68</v>
      </c>
      <c r="B7" s="24"/>
      <c r="E7" s="9" t="s">
        <v>76</v>
      </c>
    </row>
    <row r="8">
      <c r="A8" s="18">
        <v>5.0</v>
      </c>
      <c r="B8" s="14" t="s">
        <v>79</v>
      </c>
      <c r="C8" s="18" t="s">
        <v>82</v>
      </c>
      <c r="D8" s="18">
        <v>11.0</v>
      </c>
      <c r="E8" s="20">
        <f>+3</f>
        <v>3</v>
      </c>
    </row>
    <row r="9">
      <c r="A9" s="10">
        <v>6.0</v>
      </c>
      <c r="B9" s="14" t="s">
        <v>100</v>
      </c>
      <c r="C9" s="10" t="s">
        <v>109</v>
      </c>
      <c r="D9" s="10">
        <v>6.0</v>
      </c>
      <c r="E9" s="30">
        <f>+6</f>
        <v>6</v>
      </c>
    </row>
    <row r="10">
      <c r="A10" s="18">
        <v>7.0</v>
      </c>
      <c r="B10" s="14" t="s">
        <v>115</v>
      </c>
      <c r="C10" s="18" t="s">
        <v>46</v>
      </c>
      <c r="D10" s="18">
        <v>13.0</v>
      </c>
      <c r="E10" s="19">
        <v>-2.0</v>
      </c>
    </row>
    <row r="11">
      <c r="A11" s="10">
        <v>8.0</v>
      </c>
      <c r="B11" s="14" t="s">
        <v>127</v>
      </c>
      <c r="C11" s="10" t="s">
        <v>55</v>
      </c>
      <c r="D11" s="10">
        <v>8.0</v>
      </c>
      <c r="E11" s="17">
        <v>-4.0</v>
      </c>
    </row>
    <row r="12">
      <c r="A12" s="18">
        <v>9.0</v>
      </c>
      <c r="B12" s="14" t="s">
        <v>134</v>
      </c>
      <c r="C12" s="18" t="s">
        <v>144</v>
      </c>
      <c r="D12" s="18">
        <v>14.0</v>
      </c>
      <c r="E12" s="20">
        <f>+6</f>
        <v>6</v>
      </c>
    </row>
    <row r="13">
      <c r="A13" s="10">
        <v>10.0</v>
      </c>
      <c r="B13" s="14" t="s">
        <v>149</v>
      </c>
      <c r="C13" s="10" t="s">
        <v>70</v>
      </c>
      <c r="D13" s="10">
        <v>7.0</v>
      </c>
      <c r="E13" s="17">
        <v>-3.0</v>
      </c>
    </row>
    <row r="14">
      <c r="A14" s="18">
        <v>11.0</v>
      </c>
      <c r="B14" s="14" t="s">
        <v>154</v>
      </c>
      <c r="C14" s="18" t="s">
        <v>155</v>
      </c>
      <c r="D14" s="18">
        <v>6.0</v>
      </c>
      <c r="E14" s="20">
        <f>+5</f>
        <v>5</v>
      </c>
    </row>
    <row r="15">
      <c r="A15" s="22" t="s">
        <v>162</v>
      </c>
      <c r="B15" s="24"/>
      <c r="E15" s="9" t="s">
        <v>163</v>
      </c>
    </row>
    <row r="16">
      <c r="A16" s="18">
        <v>12.0</v>
      </c>
      <c r="B16" s="14" t="s">
        <v>165</v>
      </c>
      <c r="C16" s="18" t="s">
        <v>95</v>
      </c>
      <c r="D16" s="18">
        <v>13.0</v>
      </c>
      <c r="E16" s="20">
        <f>+1</f>
        <v>1</v>
      </c>
    </row>
    <row r="17">
      <c r="A17" s="10">
        <v>13.0</v>
      </c>
      <c r="B17" s="14" t="s">
        <v>173</v>
      </c>
      <c r="C17" s="10" t="s">
        <v>179</v>
      </c>
      <c r="D17" s="10">
        <v>8.0</v>
      </c>
      <c r="E17" s="30">
        <f t="shared" ref="E17:E18" si="1">+14</f>
        <v>14</v>
      </c>
    </row>
    <row r="18">
      <c r="A18" s="18">
        <v>14.0</v>
      </c>
      <c r="B18" s="14" t="s">
        <v>181</v>
      </c>
      <c r="C18" s="18" t="s">
        <v>187</v>
      </c>
      <c r="D18" s="18">
        <v>11.0</v>
      </c>
      <c r="E18" s="20">
        <f t="shared" si="1"/>
        <v>14</v>
      </c>
    </row>
    <row r="19">
      <c r="A19" s="10">
        <v>15.0</v>
      </c>
      <c r="B19" s="14" t="s">
        <v>189</v>
      </c>
      <c r="C19" s="10" t="s">
        <v>195</v>
      </c>
      <c r="D19" s="10">
        <v>11.0</v>
      </c>
      <c r="E19" s="30">
        <f>+4</f>
        <v>4</v>
      </c>
    </row>
    <row r="20">
      <c r="A20" s="18">
        <v>16.0</v>
      </c>
      <c r="B20" s="14" t="s">
        <v>197</v>
      </c>
      <c r="C20" s="18" t="s">
        <v>104</v>
      </c>
      <c r="D20" s="18">
        <v>10.0</v>
      </c>
      <c r="E20" s="19">
        <v>-2.0</v>
      </c>
    </row>
    <row r="21">
      <c r="A21" s="10">
        <v>17.0</v>
      </c>
      <c r="B21" s="14" t="s">
        <v>204</v>
      </c>
      <c r="C21" s="10" t="s">
        <v>198</v>
      </c>
      <c r="D21" s="10">
        <v>13.0</v>
      </c>
      <c r="E21" s="30">
        <f>+8</f>
        <v>8</v>
      </c>
    </row>
    <row r="22">
      <c r="A22" s="18">
        <v>18.0</v>
      </c>
      <c r="B22" s="14" t="s">
        <v>213</v>
      </c>
      <c r="C22" s="18" t="s">
        <v>110</v>
      </c>
      <c r="D22" s="18">
        <v>13.0</v>
      </c>
      <c r="E22" s="19">
        <v>-9.0</v>
      </c>
    </row>
    <row r="23">
      <c r="A23" s="10">
        <v>19.0</v>
      </c>
      <c r="B23" s="14" t="s">
        <v>219</v>
      </c>
      <c r="C23" s="10" t="s">
        <v>226</v>
      </c>
      <c r="D23" s="10">
        <v>14.0</v>
      </c>
      <c r="E23" s="30">
        <f>+7</f>
        <v>7</v>
      </c>
    </row>
    <row r="24">
      <c r="A24" s="7" t="s">
        <v>227</v>
      </c>
      <c r="B24" s="8"/>
      <c r="E24" s="9" t="s">
        <v>228</v>
      </c>
    </row>
    <row r="25">
      <c r="A25" s="10">
        <v>20.0</v>
      </c>
      <c r="B25" s="14" t="s">
        <v>230</v>
      </c>
      <c r="C25" s="10" t="s">
        <v>231</v>
      </c>
      <c r="D25" s="10">
        <v>14.0</v>
      </c>
      <c r="E25" s="30">
        <f>+1</f>
        <v>1</v>
      </c>
    </row>
    <row r="26">
      <c r="A26" s="18">
        <v>21.0</v>
      </c>
      <c r="B26" s="14" t="s">
        <v>238</v>
      </c>
      <c r="C26" s="18" t="s">
        <v>128</v>
      </c>
      <c r="D26" s="18">
        <v>7.0</v>
      </c>
      <c r="E26" s="19">
        <v>-10.0</v>
      </c>
    </row>
    <row r="27">
      <c r="A27" s="10">
        <v>22.0</v>
      </c>
      <c r="B27" s="14" t="s">
        <v>244</v>
      </c>
      <c r="C27" s="10" t="s">
        <v>175</v>
      </c>
      <c r="D27" s="10">
        <v>7.0</v>
      </c>
      <c r="E27" s="17">
        <v>-4.0</v>
      </c>
    </row>
    <row r="28">
      <c r="A28" s="18">
        <v>23.0</v>
      </c>
      <c r="B28" s="14" t="s">
        <v>250</v>
      </c>
      <c r="C28" s="18" t="s">
        <v>137</v>
      </c>
      <c r="D28" s="18">
        <v>5.0</v>
      </c>
      <c r="E28" s="19">
        <v>-3.0</v>
      </c>
    </row>
    <row r="29">
      <c r="A29" s="10">
        <v>24.0</v>
      </c>
      <c r="B29" s="14" t="s">
        <v>257</v>
      </c>
      <c r="C29" s="10" t="s">
        <v>168</v>
      </c>
      <c r="D29" s="10">
        <v>6.0</v>
      </c>
      <c r="E29" s="17">
        <v>-7.0</v>
      </c>
    </row>
    <row r="30">
      <c r="A30" s="18">
        <v>25.0</v>
      </c>
      <c r="B30" s="14" t="s">
        <v>265</v>
      </c>
      <c r="C30" s="18" t="s">
        <v>191</v>
      </c>
      <c r="D30" s="18">
        <v>6.0</v>
      </c>
      <c r="E30" s="19">
        <v>-15.0</v>
      </c>
    </row>
    <row r="31">
      <c r="A31" s="10">
        <v>26.0</v>
      </c>
      <c r="B31" s="14" t="s">
        <v>272</v>
      </c>
      <c r="C31" s="10" t="s">
        <v>261</v>
      </c>
      <c r="D31" s="10">
        <v>5.0</v>
      </c>
      <c r="E31" s="30">
        <f>+6</f>
        <v>6</v>
      </c>
    </row>
    <row r="32">
      <c r="A32" s="37"/>
    </row>
    <row r="33">
      <c r="A33" s="10">
        <v>27.0</v>
      </c>
      <c r="B33" s="14" t="s">
        <v>282</v>
      </c>
      <c r="C33" s="10" t="s">
        <v>280</v>
      </c>
      <c r="D33" s="10">
        <v>8.0</v>
      </c>
      <c r="E33" s="30">
        <f>+2</f>
        <v>2</v>
      </c>
    </row>
    <row r="34">
      <c r="A34" s="18">
        <v>28.0</v>
      </c>
      <c r="B34" s="14" t="s">
        <v>292</v>
      </c>
      <c r="C34" s="18" t="s">
        <v>287</v>
      </c>
      <c r="D34" s="18">
        <v>13.0</v>
      </c>
      <c r="E34" s="20">
        <f>+5</f>
        <v>5</v>
      </c>
    </row>
    <row r="35">
      <c r="A35" s="10">
        <v>29.0</v>
      </c>
      <c r="B35" s="14" t="s">
        <v>299</v>
      </c>
      <c r="C35" s="10" t="s">
        <v>301</v>
      </c>
      <c r="D35" s="10">
        <v>13.0</v>
      </c>
      <c r="E35" s="30">
        <f>+15</f>
        <v>15</v>
      </c>
    </row>
    <row r="36">
      <c r="A36" s="18">
        <v>30.0</v>
      </c>
      <c r="B36" s="14" t="s">
        <v>306</v>
      </c>
      <c r="C36" s="18" t="s">
        <v>207</v>
      </c>
      <c r="D36" s="18">
        <v>11.0</v>
      </c>
      <c r="E36" s="19">
        <v>-8.0</v>
      </c>
    </row>
    <row r="37">
      <c r="A37" s="10">
        <v>31.0</v>
      </c>
      <c r="B37" s="14" t="s">
        <v>313</v>
      </c>
      <c r="C37" s="10" t="s">
        <v>321</v>
      </c>
      <c r="D37" s="10">
        <v>6.0</v>
      </c>
      <c r="E37" s="30">
        <f>+9</f>
        <v>9</v>
      </c>
    </row>
    <row r="38">
      <c r="A38" s="18">
        <v>32.0</v>
      </c>
      <c r="B38" s="14" t="s">
        <v>323</v>
      </c>
      <c r="C38" s="18" t="s">
        <v>329</v>
      </c>
      <c r="D38" s="18">
        <v>10.0</v>
      </c>
      <c r="E38" s="20">
        <f>+14</f>
        <v>14</v>
      </c>
    </row>
    <row r="39">
      <c r="A39" s="10">
        <v>33.0</v>
      </c>
      <c r="B39" s="14" t="s">
        <v>331</v>
      </c>
      <c r="C39" s="10" t="s">
        <v>338</v>
      </c>
      <c r="D39" s="10">
        <v>11.0</v>
      </c>
      <c r="E39" s="30">
        <f>+22</f>
        <v>22</v>
      </c>
    </row>
    <row r="40">
      <c r="A40" s="18">
        <v>34.0</v>
      </c>
      <c r="B40" s="14" t="s">
        <v>341</v>
      </c>
      <c r="C40" s="18" t="s">
        <v>214</v>
      </c>
      <c r="D40" s="18">
        <v>11.0</v>
      </c>
      <c r="E40" s="19">
        <v>-10.0</v>
      </c>
    </row>
    <row r="41">
      <c r="A41" s="10">
        <v>35.0</v>
      </c>
      <c r="B41" s="14" t="s">
        <v>347</v>
      </c>
      <c r="C41" s="10" t="s">
        <v>342</v>
      </c>
      <c r="D41" s="10">
        <v>5.0</v>
      </c>
      <c r="E41" s="30">
        <f>+4</f>
        <v>4</v>
      </c>
    </row>
    <row r="42">
      <c r="A42" s="18">
        <v>36.0</v>
      </c>
      <c r="B42" s="14" t="s">
        <v>355</v>
      </c>
      <c r="C42" s="18" t="s">
        <v>349</v>
      </c>
      <c r="D42" s="18">
        <v>10.0</v>
      </c>
      <c r="E42" s="20">
        <f>+9</f>
        <v>9</v>
      </c>
    </row>
    <row r="43">
      <c r="A43" s="22" t="s">
        <v>362</v>
      </c>
      <c r="B43" s="24"/>
      <c r="E43" s="9" t="s">
        <v>364</v>
      </c>
    </row>
    <row r="44">
      <c r="A44" s="18">
        <v>37.0</v>
      </c>
      <c r="B44" s="14" t="s">
        <v>366</v>
      </c>
      <c r="C44" s="18" t="s">
        <v>220</v>
      </c>
      <c r="D44" s="18">
        <v>14.0</v>
      </c>
      <c r="E44" s="19">
        <v>-6.0</v>
      </c>
    </row>
    <row r="45">
      <c r="A45" s="10">
        <v>38.0</v>
      </c>
      <c r="B45" s="14" t="s">
        <v>373</v>
      </c>
      <c r="C45" s="10" t="s">
        <v>371</v>
      </c>
      <c r="D45" s="10">
        <v>8.0</v>
      </c>
      <c r="E45" s="17">
        <v>-3.0</v>
      </c>
    </row>
    <row r="46">
      <c r="A46" s="18">
        <v>39.0</v>
      </c>
      <c r="B46" s="14" t="s">
        <v>381</v>
      </c>
      <c r="C46" s="18" t="s">
        <v>386</v>
      </c>
      <c r="D46" s="18">
        <v>10.0</v>
      </c>
      <c r="E46" s="20">
        <f>+9</f>
        <v>9</v>
      </c>
    </row>
    <row r="47">
      <c r="A47" s="10">
        <v>40.0</v>
      </c>
      <c r="B47" s="14" t="s">
        <v>390</v>
      </c>
      <c r="C47" s="10" t="s">
        <v>268</v>
      </c>
      <c r="D47" s="10">
        <v>13.0</v>
      </c>
      <c r="E47" s="17">
        <v>-10.0</v>
      </c>
    </row>
    <row r="48">
      <c r="A48" s="18">
        <v>41.0</v>
      </c>
      <c r="B48" s="14" t="s">
        <v>397</v>
      </c>
      <c r="C48" s="18" t="s">
        <v>275</v>
      </c>
      <c r="D48" s="18">
        <v>14.0</v>
      </c>
      <c r="E48" s="19">
        <v>-18.0</v>
      </c>
    </row>
    <row r="49">
      <c r="A49" s="10">
        <v>42.0</v>
      </c>
      <c r="B49" s="14" t="s">
        <v>403</v>
      </c>
      <c r="C49" s="10" t="s">
        <v>406</v>
      </c>
      <c r="D49" s="10">
        <v>6.0</v>
      </c>
      <c r="E49" s="30">
        <f>+18</f>
        <v>18</v>
      </c>
    </row>
    <row r="50">
      <c r="A50" s="18">
        <v>43.0</v>
      </c>
      <c r="B50" s="14" t="s">
        <v>411</v>
      </c>
      <c r="C50" s="18" t="s">
        <v>380</v>
      </c>
      <c r="D50" s="18">
        <v>11.0</v>
      </c>
      <c r="E50" s="20">
        <f>+13</f>
        <v>13</v>
      </c>
    </row>
    <row r="51">
      <c r="A51" s="10">
        <v>44.0</v>
      </c>
      <c r="B51" s="14" t="s">
        <v>418</v>
      </c>
      <c r="C51" s="10" t="s">
        <v>385</v>
      </c>
      <c r="D51" s="10">
        <v>7.0</v>
      </c>
      <c r="E51" s="30">
        <f>+6</f>
        <v>6</v>
      </c>
    </row>
    <row r="52">
      <c r="A52" s="18">
        <v>45.0</v>
      </c>
      <c r="B52" s="14" t="s">
        <v>426</v>
      </c>
      <c r="C52" s="18" t="s">
        <v>414</v>
      </c>
      <c r="D52" s="18">
        <v>7.0</v>
      </c>
      <c r="E52" s="20">
        <f>+13</f>
        <v>13</v>
      </c>
    </row>
    <row r="53">
      <c r="A53" s="10">
        <v>46.0</v>
      </c>
      <c r="B53" s="14" t="s">
        <v>434</v>
      </c>
      <c r="C53" s="10" t="s">
        <v>421</v>
      </c>
      <c r="D53" s="10">
        <v>6.0</v>
      </c>
      <c r="E53" s="30">
        <f>+11</f>
        <v>11</v>
      </c>
    </row>
    <row r="54">
      <c r="A54" s="18">
        <v>47.0</v>
      </c>
      <c r="B54" s="14" t="s">
        <v>441</v>
      </c>
      <c r="C54" s="18" t="s">
        <v>429</v>
      </c>
      <c r="D54" s="18">
        <v>10.0</v>
      </c>
      <c r="E54" s="20">
        <f>+4</f>
        <v>4</v>
      </c>
    </row>
    <row r="55">
      <c r="A55" s="10">
        <v>48.0</v>
      </c>
      <c r="B55" s="14" t="s">
        <v>448</v>
      </c>
      <c r="C55" s="10" t="s">
        <v>454</v>
      </c>
      <c r="D55" s="10">
        <v>11.0</v>
      </c>
      <c r="E55" s="30">
        <f>+19</f>
        <v>19</v>
      </c>
    </row>
    <row r="56">
      <c r="A56" s="18">
        <v>49.0</v>
      </c>
      <c r="B56" s="14" t="s">
        <v>456</v>
      </c>
      <c r="C56" s="18" t="s">
        <v>293</v>
      </c>
      <c r="D56" s="18">
        <v>8.0</v>
      </c>
      <c r="E56" s="19">
        <v>-15.0</v>
      </c>
    </row>
    <row r="57">
      <c r="A57" s="10">
        <v>50.0</v>
      </c>
      <c r="B57" s="14" t="s">
        <v>461</v>
      </c>
      <c r="C57" s="10" t="s">
        <v>468</v>
      </c>
      <c r="D57" s="10">
        <v>7.0</v>
      </c>
      <c r="E57" s="30">
        <f>+14</f>
        <v>14</v>
      </c>
    </row>
    <row r="58">
      <c r="A58" s="18">
        <v>51.0</v>
      </c>
      <c r="B58" s="14" t="s">
        <v>471</v>
      </c>
      <c r="C58" s="18" t="s">
        <v>463</v>
      </c>
      <c r="D58" s="18">
        <v>13.0</v>
      </c>
      <c r="E58" s="19">
        <v>-10.0</v>
      </c>
    </row>
    <row r="59">
      <c r="A59" s="10">
        <v>52.0</v>
      </c>
      <c r="B59" s="14" t="s">
        <v>478</v>
      </c>
      <c r="C59" s="10" t="s">
        <v>310</v>
      </c>
      <c r="D59" s="10">
        <v>8.0</v>
      </c>
      <c r="E59" s="17">
        <v>-15.0</v>
      </c>
    </row>
    <row r="60">
      <c r="A60" s="7" t="s">
        <v>484</v>
      </c>
      <c r="B60" s="8"/>
      <c r="E60" s="9" t="s">
        <v>485</v>
      </c>
    </row>
    <row r="61">
      <c r="A61" s="10">
        <v>53.0</v>
      </c>
      <c r="B61" s="14" t="s">
        <v>486</v>
      </c>
      <c r="C61" s="10" t="s">
        <v>472</v>
      </c>
      <c r="D61" s="10">
        <v>8.0</v>
      </c>
      <c r="E61" s="30">
        <f>+9</f>
        <v>9</v>
      </c>
    </row>
    <row r="62">
      <c r="A62" s="18">
        <v>54.0</v>
      </c>
      <c r="B62" s="14" t="s">
        <v>495</v>
      </c>
      <c r="C62" s="18" t="s">
        <v>316</v>
      </c>
      <c r="D62" s="18">
        <v>11.0</v>
      </c>
      <c r="E62" s="19">
        <v>-12.0</v>
      </c>
    </row>
    <row r="63">
      <c r="A63" s="10">
        <v>55.0</v>
      </c>
      <c r="B63" s="14" t="s">
        <v>503</v>
      </c>
      <c r="C63" s="10" t="s">
        <v>501</v>
      </c>
      <c r="D63" s="10">
        <v>10.0</v>
      </c>
      <c r="E63" s="17">
        <v>-17.0</v>
      </c>
    </row>
    <row r="64">
      <c r="A64" s="18">
        <v>56.0</v>
      </c>
      <c r="B64" s="14" t="s">
        <v>511</v>
      </c>
      <c r="C64" s="18" t="s">
        <v>356</v>
      </c>
      <c r="D64" s="18">
        <v>10.0</v>
      </c>
      <c r="E64" s="19">
        <v>-3.0</v>
      </c>
    </row>
    <row r="65">
      <c r="A65" s="10">
        <v>57.0</v>
      </c>
      <c r="B65" s="14" t="s">
        <v>515</v>
      </c>
      <c r="C65" s="10" t="s">
        <v>520</v>
      </c>
      <c r="D65" s="10">
        <v>10.0</v>
      </c>
      <c r="E65" s="30">
        <f>+12</f>
        <v>12</v>
      </c>
    </row>
    <row r="66">
      <c r="A66" s="18">
        <v>58.0</v>
      </c>
      <c r="B66" s="14" t="s">
        <v>526</v>
      </c>
      <c r="C66" s="18" t="s">
        <v>363</v>
      </c>
      <c r="D66" s="18">
        <v>10.0</v>
      </c>
      <c r="E66" s="19">
        <v>-22.0</v>
      </c>
    </row>
    <row r="67">
      <c r="A67" s="10">
        <v>59.0</v>
      </c>
      <c r="B67" s="14" t="s">
        <v>531</v>
      </c>
      <c r="C67" s="10" t="s">
        <v>529</v>
      </c>
      <c r="D67" s="10">
        <v>10.0</v>
      </c>
      <c r="E67" s="30">
        <f>+7</f>
        <v>7</v>
      </c>
    </row>
    <row r="68">
      <c r="A68" s="18">
        <v>60.0</v>
      </c>
      <c r="B68" s="14" t="s">
        <v>541</v>
      </c>
      <c r="C68" s="18" t="s">
        <v>394</v>
      </c>
      <c r="D68" s="18">
        <v>8.0</v>
      </c>
      <c r="E68" s="19">
        <v>-11.0</v>
      </c>
    </row>
    <row r="69">
      <c r="A69" s="10">
        <v>61.0</v>
      </c>
      <c r="B69" s="14" t="s">
        <v>547</v>
      </c>
      <c r="C69" s="10" t="s">
        <v>408</v>
      </c>
      <c r="D69" s="10">
        <v>11.0</v>
      </c>
      <c r="E69" s="17">
        <v>-18.0</v>
      </c>
    </row>
    <row r="70">
      <c r="A70" s="18">
        <v>62.0</v>
      </c>
      <c r="B70" s="14" t="s">
        <v>554</v>
      </c>
      <c r="C70" s="18" t="s">
        <v>479</v>
      </c>
      <c r="D70" s="18">
        <v>11.0</v>
      </c>
      <c r="E70" s="20">
        <f>+14</f>
        <v>14</v>
      </c>
    </row>
    <row r="71">
      <c r="A71" s="10">
        <v>63.0</v>
      </c>
      <c r="B71" s="14" t="s">
        <v>562</v>
      </c>
      <c r="C71" s="10" t="s">
        <v>536</v>
      </c>
      <c r="D71" s="10">
        <v>7.0</v>
      </c>
      <c r="E71" s="17">
        <v>-11.0</v>
      </c>
    </row>
    <row r="72">
      <c r="A72" s="18">
        <v>64.0</v>
      </c>
      <c r="B72" s="14" t="s">
        <v>569</v>
      </c>
      <c r="C72" s="18" t="s">
        <v>436</v>
      </c>
      <c r="D72" s="18">
        <v>7.0</v>
      </c>
      <c r="E72" s="19">
        <v>-17.0</v>
      </c>
    </row>
    <row r="73">
      <c r="A73" s="10">
        <v>65.0</v>
      </c>
      <c r="B73" s="14" t="s">
        <v>575</v>
      </c>
      <c r="C73" s="10" t="s">
        <v>508</v>
      </c>
      <c r="D73" s="10">
        <v>13.0</v>
      </c>
      <c r="E73" s="17">
        <v>-6.0</v>
      </c>
    </row>
    <row r="74">
      <c r="A74" s="18">
        <v>66.0</v>
      </c>
      <c r="B74" s="14" t="s">
        <v>581</v>
      </c>
      <c r="C74" s="18" t="s">
        <v>442</v>
      </c>
      <c r="D74" s="18">
        <v>11.0</v>
      </c>
      <c r="E74" s="20">
        <f>+13</f>
        <v>13</v>
      </c>
    </row>
    <row r="75">
      <c r="A75" s="10">
        <v>67.0</v>
      </c>
      <c r="B75" s="14" t="s">
        <v>589</v>
      </c>
      <c r="C75" s="10" t="s">
        <v>593</v>
      </c>
      <c r="D75" s="10">
        <v>10.0</v>
      </c>
      <c r="E75" s="30">
        <f>+17</f>
        <v>17</v>
      </c>
    </row>
    <row r="76">
      <c r="A76" s="18">
        <v>68.0</v>
      </c>
      <c r="B76" s="14" t="s">
        <v>596</v>
      </c>
      <c r="C76" s="18" t="s">
        <v>601</v>
      </c>
      <c r="D76" s="18">
        <v>7.0</v>
      </c>
      <c r="E76" s="20">
        <f>+22</f>
        <v>22</v>
      </c>
    </row>
    <row r="77">
      <c r="A77" s="22" t="s">
        <v>606</v>
      </c>
      <c r="B77" s="24"/>
      <c r="E77" s="9" t="s">
        <v>608</v>
      </c>
    </row>
    <row r="78">
      <c r="A78" s="18">
        <v>69.0</v>
      </c>
      <c r="B78" s="14" t="s">
        <v>609</v>
      </c>
      <c r="C78" s="18" t="s">
        <v>566</v>
      </c>
      <c r="D78" s="18">
        <v>7.0</v>
      </c>
      <c r="E78" s="20">
        <f>+5</f>
        <v>5</v>
      </c>
    </row>
    <row r="79">
      <c r="A79" s="10">
        <v>70.0</v>
      </c>
      <c r="B79" s="14" t="s">
        <v>614</v>
      </c>
      <c r="C79" s="10" t="s">
        <v>578</v>
      </c>
      <c r="D79" s="10">
        <v>14.0</v>
      </c>
      <c r="E79" s="30">
        <f>+12</f>
        <v>12</v>
      </c>
    </row>
    <row r="80">
      <c r="A80" s="18">
        <v>71.0</v>
      </c>
      <c r="B80" s="14" t="s">
        <v>623</v>
      </c>
      <c r="C80" s="18" t="s">
        <v>629</v>
      </c>
      <c r="D80" s="18">
        <v>7.0</v>
      </c>
      <c r="E80" s="20">
        <f>+17</f>
        <v>17</v>
      </c>
    </row>
    <row r="81">
      <c r="A81" s="10">
        <v>72.0</v>
      </c>
      <c r="B81" s="14" t="s">
        <v>631</v>
      </c>
      <c r="C81" s="10" t="s">
        <v>494</v>
      </c>
      <c r="D81" s="10">
        <v>9.0</v>
      </c>
      <c r="E81" s="17">
        <v>-2.0</v>
      </c>
    </row>
    <row r="82">
      <c r="A82" s="18">
        <v>73.0</v>
      </c>
      <c r="B82" s="14" t="s">
        <v>638</v>
      </c>
      <c r="C82" s="18" t="s">
        <v>522</v>
      </c>
      <c r="D82" s="18">
        <v>9.0</v>
      </c>
      <c r="E82" s="19">
        <v>-12.0</v>
      </c>
    </row>
    <row r="83">
      <c r="A83" s="10">
        <v>74.0</v>
      </c>
      <c r="B83" s="14" t="s">
        <v>646</v>
      </c>
      <c r="C83" s="10" t="s">
        <v>586</v>
      </c>
      <c r="D83" s="10">
        <v>9.0</v>
      </c>
      <c r="E83" s="17">
        <v>-3.0</v>
      </c>
    </row>
    <row r="84">
      <c r="A84" s="18">
        <v>75.0</v>
      </c>
      <c r="B84" s="14" t="s">
        <v>653</v>
      </c>
      <c r="C84" s="18" t="s">
        <v>553</v>
      </c>
      <c r="D84" s="18">
        <v>13.0</v>
      </c>
      <c r="E84" s="20">
        <f>+22</f>
        <v>22</v>
      </c>
    </row>
    <row r="85">
      <c r="A85" s="10">
        <v>76.0</v>
      </c>
      <c r="B85" s="14" t="s">
        <v>661</v>
      </c>
      <c r="C85" s="10" t="s">
        <v>647</v>
      </c>
      <c r="D85" s="10">
        <v>9.0</v>
      </c>
      <c r="E85" s="30">
        <f>+7</f>
        <v>7</v>
      </c>
    </row>
    <row r="86">
      <c r="A86" s="18">
        <v>77.0</v>
      </c>
      <c r="B86" s="14" t="s">
        <v>667</v>
      </c>
      <c r="C86" s="18" t="s">
        <v>673</v>
      </c>
      <c r="D86" s="18">
        <v>14.0</v>
      </c>
      <c r="E86" s="20">
        <f>+14</f>
        <v>14</v>
      </c>
    </row>
    <row r="87">
      <c r="A87" s="10">
        <v>78.0</v>
      </c>
      <c r="B87" s="14" t="s">
        <v>676</v>
      </c>
      <c r="C87" s="10" t="s">
        <v>594</v>
      </c>
      <c r="D87" s="10">
        <v>6.0</v>
      </c>
      <c r="E87" s="30">
        <f>+9</f>
        <v>9</v>
      </c>
    </row>
    <row r="88">
      <c r="A88" s="18">
        <v>79.0</v>
      </c>
      <c r="B88" s="14" t="s">
        <v>685</v>
      </c>
      <c r="C88" s="18" t="s">
        <v>544</v>
      </c>
      <c r="D88" s="18">
        <v>11.0</v>
      </c>
      <c r="E88" s="19">
        <v>-14.0</v>
      </c>
    </row>
    <row r="89">
      <c r="A89" s="10">
        <v>80.0</v>
      </c>
      <c r="B89" s="14" t="s">
        <v>691</v>
      </c>
      <c r="C89" s="10" t="s">
        <v>557</v>
      </c>
      <c r="D89" s="10">
        <v>5.0</v>
      </c>
      <c r="E89" s="17">
        <v>-2.0</v>
      </c>
    </row>
    <row r="90">
      <c r="A90" s="18">
        <v>81.0</v>
      </c>
      <c r="B90" s="14" t="s">
        <v>696</v>
      </c>
      <c r="C90" s="18" t="s">
        <v>656</v>
      </c>
      <c r="D90" s="18">
        <v>7.0</v>
      </c>
      <c r="E90" s="20">
        <f>+5</f>
        <v>5</v>
      </c>
    </row>
    <row r="91">
      <c r="A91" s="10">
        <v>82.0</v>
      </c>
      <c r="B91" s="14" t="s">
        <v>706</v>
      </c>
      <c r="C91" s="10" t="s">
        <v>674</v>
      </c>
      <c r="D91" s="10">
        <v>10.0</v>
      </c>
      <c r="E91" s="17">
        <v>-5.0</v>
      </c>
    </row>
    <row r="92">
      <c r="A92" s="18">
        <v>83.0</v>
      </c>
      <c r="B92" s="14" t="s">
        <v>711</v>
      </c>
      <c r="C92" s="18" t="s">
        <v>572</v>
      </c>
      <c r="D92" s="18">
        <v>9.0</v>
      </c>
      <c r="E92" s="19">
        <v>-15.0</v>
      </c>
    </row>
    <row r="93">
      <c r="A93" s="10">
        <v>84.0</v>
      </c>
      <c r="B93" s="14" t="s">
        <v>716</v>
      </c>
      <c r="C93" s="10" t="s">
        <v>616</v>
      </c>
      <c r="D93" s="10">
        <v>10.0</v>
      </c>
      <c r="E93" s="17">
        <v>-4.0</v>
      </c>
    </row>
    <row r="94">
      <c r="A94" s="18">
        <v>85.0</v>
      </c>
      <c r="B94" s="14" t="s">
        <v>721</v>
      </c>
      <c r="C94" s="18" t="s">
        <v>602</v>
      </c>
      <c r="D94" s="18">
        <v>11.0</v>
      </c>
      <c r="E94" s="19">
        <v>-22.0</v>
      </c>
    </row>
    <row r="95">
      <c r="A95" s="10">
        <v>86.0</v>
      </c>
      <c r="B95" s="14" t="s">
        <v>727</v>
      </c>
      <c r="C95" s="10" t="s">
        <v>688</v>
      </c>
      <c r="D95" s="10">
        <v>11.0</v>
      </c>
      <c r="E95" s="17">
        <v>-11.0</v>
      </c>
    </row>
    <row r="96">
      <c r="A96" s="18">
        <v>87.0</v>
      </c>
      <c r="B96" s="14" t="s">
        <v>734</v>
      </c>
      <c r="C96" s="18" t="s">
        <v>624</v>
      </c>
      <c r="D96" s="18">
        <v>11.0</v>
      </c>
      <c r="E96" s="19">
        <v>-6.0</v>
      </c>
    </row>
    <row r="97">
      <c r="A97" s="10">
        <v>88.0</v>
      </c>
      <c r="B97" s="14" t="s">
        <v>739</v>
      </c>
      <c r="C97" s="10" t="s">
        <v>680</v>
      </c>
      <c r="D97" s="10">
        <v>7.0</v>
      </c>
      <c r="E97" s="30">
        <f>+26</f>
        <v>26</v>
      </c>
    </row>
    <row r="98">
      <c r="A98" s="18">
        <v>89.0</v>
      </c>
      <c r="B98" s="14" t="s">
        <v>745</v>
      </c>
      <c r="C98" s="18" t="s">
        <v>722</v>
      </c>
      <c r="D98" s="18">
        <v>8.0</v>
      </c>
      <c r="E98" s="20">
        <f>+3</f>
        <v>3</v>
      </c>
    </row>
    <row r="99">
      <c r="A99" s="10">
        <v>90.0</v>
      </c>
      <c r="B99" s="14" t="s">
        <v>752</v>
      </c>
      <c r="C99" s="10" t="s">
        <v>633</v>
      </c>
      <c r="D99" s="10">
        <v>10.0</v>
      </c>
      <c r="E99" s="17">
        <v>-18.0</v>
      </c>
    </row>
    <row r="100">
      <c r="A100" s="37"/>
    </row>
    <row r="101">
      <c r="A101" s="10">
        <v>91.0</v>
      </c>
      <c r="B101" s="14" t="s">
        <v>758</v>
      </c>
      <c r="C101" s="10" t="s">
        <v>762</v>
      </c>
      <c r="D101" s="10">
        <v>8.0</v>
      </c>
      <c r="E101" s="30">
        <f>+19</f>
        <v>19</v>
      </c>
    </row>
    <row r="102">
      <c r="A102" s="18">
        <v>92.0</v>
      </c>
      <c r="B102" s="14" t="s">
        <v>767</v>
      </c>
      <c r="C102" s="18" t="s">
        <v>701</v>
      </c>
      <c r="D102" s="18">
        <v>10.0</v>
      </c>
      <c r="E102" s="19">
        <v>-3.0</v>
      </c>
    </row>
    <row r="103">
      <c r="A103" s="10">
        <v>93.0</v>
      </c>
      <c r="B103" s="14" t="s">
        <v>772</v>
      </c>
      <c r="C103" s="10" t="s">
        <v>730</v>
      </c>
      <c r="D103" s="10">
        <v>8.0</v>
      </c>
      <c r="E103" s="17">
        <v>-8.0</v>
      </c>
    </row>
    <row r="104">
      <c r="A104" s="18">
        <v>94.0</v>
      </c>
      <c r="B104" s="14" t="s">
        <v>776</v>
      </c>
      <c r="C104" s="18" t="s">
        <v>740</v>
      </c>
      <c r="D104" s="18">
        <v>6.0</v>
      </c>
      <c r="E104" s="20">
        <f>+13</f>
        <v>13</v>
      </c>
    </row>
    <row r="105">
      <c r="A105" s="10">
        <v>95.0</v>
      </c>
      <c r="B105" s="14" t="s">
        <v>784</v>
      </c>
      <c r="C105" s="10" t="s">
        <v>769</v>
      </c>
      <c r="D105" s="10">
        <v>8.0</v>
      </c>
      <c r="E105" s="30">
        <f>+14</f>
        <v>14</v>
      </c>
    </row>
    <row r="106">
      <c r="A106" s="18">
        <v>96.0</v>
      </c>
      <c r="B106" s="14" t="s">
        <v>793</v>
      </c>
      <c r="C106" s="18" t="s">
        <v>797</v>
      </c>
      <c r="D106" s="18">
        <v>10.0</v>
      </c>
      <c r="E106" s="20">
        <f>+23</f>
        <v>23</v>
      </c>
    </row>
    <row r="107">
      <c r="A107" s="22" t="s">
        <v>799</v>
      </c>
      <c r="B107" s="24"/>
      <c r="E107" s="9" t="s">
        <v>801</v>
      </c>
    </row>
    <row r="108">
      <c r="A108" s="18">
        <v>97.0</v>
      </c>
      <c r="B108" s="14" t="s">
        <v>803</v>
      </c>
      <c r="C108" s="18" t="s">
        <v>640</v>
      </c>
      <c r="D108" s="18">
        <v>10.0</v>
      </c>
      <c r="E108" s="19">
        <v>-43.0</v>
      </c>
    </row>
    <row r="109">
      <c r="A109" s="10">
        <v>98.0</v>
      </c>
      <c r="B109" s="14" t="s">
        <v>810</v>
      </c>
      <c r="C109" s="10" t="s">
        <v>816</v>
      </c>
      <c r="D109" s="10">
        <v>5.0</v>
      </c>
      <c r="E109" s="30">
        <f>+8</f>
        <v>8</v>
      </c>
    </row>
    <row r="110">
      <c r="A110" s="18">
        <v>99.0</v>
      </c>
      <c r="B110" s="14" t="s">
        <v>820</v>
      </c>
      <c r="C110" s="18" t="s">
        <v>748</v>
      </c>
      <c r="D110" s="18">
        <v>14.0</v>
      </c>
      <c r="E110" s="19">
        <v>-26.0</v>
      </c>
    </row>
    <row r="111">
      <c r="A111" s="10">
        <v>100.0</v>
      </c>
      <c r="B111" s="14" t="s">
        <v>825</v>
      </c>
      <c r="C111" s="10" t="s">
        <v>830</v>
      </c>
      <c r="D111" s="10">
        <v>11.0</v>
      </c>
      <c r="E111" s="30">
        <f>+18</f>
        <v>18</v>
      </c>
    </row>
    <row r="112">
      <c r="A112" s="18">
        <v>101.0</v>
      </c>
      <c r="B112" s="14" t="s">
        <v>832</v>
      </c>
      <c r="C112" s="18" t="s">
        <v>755</v>
      </c>
      <c r="D112" s="18">
        <v>7.0</v>
      </c>
      <c r="E112" s="19">
        <v>-2.0</v>
      </c>
    </row>
    <row r="113">
      <c r="A113" s="10">
        <v>102.0</v>
      </c>
      <c r="B113" s="14" t="s">
        <v>839</v>
      </c>
      <c r="C113" s="10" t="s">
        <v>764</v>
      </c>
      <c r="D113" s="10">
        <v>10.0</v>
      </c>
      <c r="E113" s="17">
        <v>-7.0</v>
      </c>
    </row>
    <row r="114">
      <c r="A114" s="18">
        <v>103.0</v>
      </c>
      <c r="B114" s="14" t="s">
        <v>844</v>
      </c>
      <c r="C114" s="18" t="s">
        <v>795</v>
      </c>
      <c r="D114" s="18">
        <v>7.0</v>
      </c>
      <c r="E114" s="19">
        <v>-5.0</v>
      </c>
    </row>
    <row r="115">
      <c r="A115" s="10">
        <v>104.0</v>
      </c>
      <c r="B115" s="14" t="s">
        <v>848</v>
      </c>
      <c r="C115" s="10" t="s">
        <v>805</v>
      </c>
      <c r="D115" s="10">
        <v>5.0</v>
      </c>
      <c r="E115" s="17">
        <v>-2.0</v>
      </c>
    </row>
    <row r="116">
      <c r="A116" s="18">
        <v>105.0</v>
      </c>
      <c r="B116" s="14" t="s">
        <v>856</v>
      </c>
      <c r="C116" s="18" t="s">
        <v>823</v>
      </c>
      <c r="D116" s="18">
        <v>11.0</v>
      </c>
      <c r="E116" s="20">
        <f>+17</f>
        <v>17</v>
      </c>
    </row>
    <row r="117">
      <c r="A117" s="10">
        <v>106.0</v>
      </c>
      <c r="B117" s="14" t="s">
        <v>861</v>
      </c>
      <c r="C117" s="10" t="s">
        <v>778</v>
      </c>
      <c r="D117" s="10">
        <v>5.0</v>
      </c>
      <c r="E117" s="30">
        <f>+19</f>
        <v>19</v>
      </c>
    </row>
    <row r="118">
      <c r="A118" s="18">
        <v>107.0</v>
      </c>
      <c r="B118" s="14" t="s">
        <v>868</v>
      </c>
      <c r="C118" s="18" t="s">
        <v>785</v>
      </c>
      <c r="D118" s="18">
        <v>7.0</v>
      </c>
      <c r="E118" s="20">
        <f>+10</f>
        <v>10</v>
      </c>
    </row>
    <row r="119">
      <c r="A119" s="10">
        <v>108.0</v>
      </c>
      <c r="B119" s="14" t="s">
        <v>876</v>
      </c>
      <c r="C119" s="10" t="s">
        <v>814</v>
      </c>
      <c r="D119" s="10">
        <v>6.0</v>
      </c>
      <c r="E119" s="17">
        <v>-5.0</v>
      </c>
    </row>
    <row r="120">
      <c r="A120" s="18">
        <v>109.0</v>
      </c>
      <c r="B120" s="14" t="s">
        <v>881</v>
      </c>
      <c r="C120" s="18" t="s">
        <v>885</v>
      </c>
      <c r="D120" s="18">
        <v>6.0</v>
      </c>
      <c r="E120" s="20">
        <f>+17</f>
        <v>17</v>
      </c>
    </row>
    <row r="121">
      <c r="A121" s="10">
        <v>110.0</v>
      </c>
      <c r="B121" s="14" t="s">
        <v>891</v>
      </c>
      <c r="C121" s="10" t="s">
        <v>851</v>
      </c>
      <c r="D121" s="10">
        <v>9.0</v>
      </c>
      <c r="E121" s="17">
        <v>-6.0</v>
      </c>
    </row>
    <row r="122">
      <c r="A122" s="18">
        <v>111.0</v>
      </c>
      <c r="B122" s="14" t="s">
        <v>894</v>
      </c>
      <c r="C122" s="18" t="s">
        <v>886</v>
      </c>
      <c r="D122" s="18">
        <v>6.0</v>
      </c>
      <c r="E122" s="19">
        <v>-11.0</v>
      </c>
    </row>
    <row r="123">
      <c r="A123" s="10">
        <v>112.0</v>
      </c>
      <c r="B123" s="14" t="s">
        <v>901</v>
      </c>
      <c r="C123" s="10" t="s">
        <v>834</v>
      </c>
      <c r="D123" s="10">
        <v>13.0</v>
      </c>
      <c r="E123" s="17">
        <v>-4.0</v>
      </c>
    </row>
    <row r="124">
      <c r="A124" s="18">
        <v>113.0</v>
      </c>
      <c r="B124" s="14" t="s">
        <v>908</v>
      </c>
      <c r="C124" s="18" t="s">
        <v>895</v>
      </c>
      <c r="D124" s="18">
        <v>10.0</v>
      </c>
      <c r="E124" s="19">
        <v>-17.0</v>
      </c>
    </row>
    <row r="125">
      <c r="A125" s="10">
        <v>114.0</v>
      </c>
      <c r="B125" s="14" t="s">
        <v>917</v>
      </c>
      <c r="C125" s="10" t="s">
        <v>924</v>
      </c>
      <c r="D125" s="10">
        <v>6.0</v>
      </c>
      <c r="E125" s="30">
        <f>+43</f>
        <v>43</v>
      </c>
    </row>
    <row r="126">
      <c r="A126" s="18">
        <v>115.0</v>
      </c>
      <c r="B126" s="14" t="s">
        <v>928</v>
      </c>
      <c r="C126" s="18" t="s">
        <v>913</v>
      </c>
      <c r="D126" s="18">
        <v>7.0</v>
      </c>
      <c r="E126" s="19">
        <v>-22.0</v>
      </c>
    </row>
    <row r="127">
      <c r="A127" s="10">
        <v>116.0</v>
      </c>
      <c r="B127" s="14" t="s">
        <v>934</v>
      </c>
      <c r="C127" s="10" t="s">
        <v>939</v>
      </c>
      <c r="D127" s="10">
        <v>5.0</v>
      </c>
      <c r="E127" s="30">
        <f>+11</f>
        <v>11</v>
      </c>
    </row>
    <row r="128">
      <c r="A128" s="18">
        <v>117.0</v>
      </c>
      <c r="B128" s="14" t="s">
        <v>944</v>
      </c>
      <c r="C128" s="18" t="s">
        <v>862</v>
      </c>
      <c r="D128" s="18">
        <v>10.0</v>
      </c>
      <c r="E128" s="19">
        <v>-1.0</v>
      </c>
    </row>
    <row r="129">
      <c r="A129" s="10">
        <v>118.0</v>
      </c>
      <c r="B129" s="14" t="s">
        <v>948</v>
      </c>
      <c r="C129" s="10" t="s">
        <v>953</v>
      </c>
      <c r="D129" s="10">
        <v>13.0</v>
      </c>
      <c r="E129" s="30">
        <f>+12</f>
        <v>12</v>
      </c>
    </row>
    <row r="130">
      <c r="A130" s="18">
        <v>119.0</v>
      </c>
      <c r="B130" s="14" t="s">
        <v>956</v>
      </c>
      <c r="C130" s="18" t="s">
        <v>961</v>
      </c>
      <c r="D130" s="18">
        <v>10.0</v>
      </c>
      <c r="E130" s="20">
        <f>+23</f>
        <v>23</v>
      </c>
    </row>
    <row r="131">
      <c r="A131" s="10">
        <v>120.0</v>
      </c>
      <c r="B131" s="14" t="s">
        <v>963</v>
      </c>
      <c r="C131" s="10" t="s">
        <v>870</v>
      </c>
      <c r="D131" s="10">
        <v>8.0</v>
      </c>
      <c r="E131" s="17">
        <v>-19.0</v>
      </c>
    </row>
    <row r="132">
      <c r="A132" s="18">
        <v>121.0</v>
      </c>
      <c r="B132" s="14" t="s">
        <v>969</v>
      </c>
      <c r="C132" s="18" t="s">
        <v>975</v>
      </c>
      <c r="D132" s="18">
        <v>11.0</v>
      </c>
      <c r="E132" s="20">
        <f>+18</f>
        <v>18</v>
      </c>
    </row>
    <row r="133">
      <c r="A133" s="10">
        <v>122.0</v>
      </c>
      <c r="B133" s="14" t="s">
        <v>984</v>
      </c>
      <c r="C133" s="10" t="s">
        <v>904</v>
      </c>
      <c r="D133" s="10">
        <v>7.0</v>
      </c>
      <c r="E133" s="30">
        <f>+27</f>
        <v>27</v>
      </c>
    </row>
    <row r="134">
      <c r="A134" s="18">
        <v>123.0</v>
      </c>
      <c r="B134" s="14" t="s">
        <v>995</v>
      </c>
      <c r="C134" s="18" t="s">
        <v>1000</v>
      </c>
      <c r="D134" s="18">
        <v>9.0</v>
      </c>
      <c r="E134" s="19">
        <v>-29.0</v>
      </c>
    </row>
    <row r="135">
      <c r="A135" s="10">
        <v>124.0</v>
      </c>
      <c r="B135" s="14" t="s">
        <v>1004</v>
      </c>
      <c r="C135" s="10" t="s">
        <v>1009</v>
      </c>
      <c r="D135" s="10">
        <v>8.0</v>
      </c>
      <c r="E135" s="30">
        <f>+23</f>
        <v>23</v>
      </c>
    </row>
    <row r="136">
      <c r="A136" s="18">
        <v>125.0</v>
      </c>
      <c r="B136" s="14" t="s">
        <v>1014</v>
      </c>
      <c r="C136" s="18" t="s">
        <v>1019</v>
      </c>
      <c r="D136" s="18">
        <v>8.0</v>
      </c>
      <c r="E136" s="20">
        <f>+18</f>
        <v>18</v>
      </c>
    </row>
    <row r="137">
      <c r="A137" s="10">
        <v>126.0</v>
      </c>
      <c r="B137" s="14" t="s">
        <v>1022</v>
      </c>
      <c r="C137" s="10" t="s">
        <v>931</v>
      </c>
      <c r="D137" s="10">
        <v>14.0</v>
      </c>
      <c r="E137" s="17">
        <v>-21.0</v>
      </c>
    </row>
    <row r="138">
      <c r="A138" s="18">
        <v>127.0</v>
      </c>
      <c r="B138" s="14" t="s">
        <v>1030</v>
      </c>
      <c r="C138" s="18" t="s">
        <v>1035</v>
      </c>
      <c r="D138" s="18">
        <v>11.0</v>
      </c>
      <c r="E138" s="19">
        <v>-3.0</v>
      </c>
    </row>
    <row r="139">
      <c r="A139" s="10">
        <v>128.0</v>
      </c>
      <c r="B139" s="14" t="s">
        <v>1037</v>
      </c>
      <c r="C139" s="10" t="s">
        <v>921</v>
      </c>
      <c r="D139" s="10">
        <v>8.0</v>
      </c>
      <c r="E139" s="17">
        <v>-7.0</v>
      </c>
    </row>
    <row r="140">
      <c r="A140" s="18">
        <v>129.0</v>
      </c>
      <c r="B140" s="14" t="s">
        <v>1046</v>
      </c>
      <c r="C140" s="18" t="s">
        <v>938</v>
      </c>
      <c r="D140" s="18">
        <v>14.0</v>
      </c>
      <c r="E140" s="19">
        <v>-18.0</v>
      </c>
    </row>
    <row r="141">
      <c r="A141" s="10">
        <v>130.0</v>
      </c>
      <c r="B141" s="14" t="s">
        <v>1054</v>
      </c>
      <c r="C141" s="10" t="s">
        <v>976</v>
      </c>
      <c r="D141" s="10">
        <v>8.0</v>
      </c>
      <c r="E141" s="17">
        <v>-18.0</v>
      </c>
    </row>
    <row r="142">
      <c r="A142" s="7" t="s">
        <v>1060</v>
      </c>
      <c r="B142" s="8"/>
      <c r="E142" s="9" t="s">
        <v>1064</v>
      </c>
    </row>
    <row r="143">
      <c r="A143" s="10">
        <v>131.0</v>
      </c>
      <c r="B143" s="14" t="s">
        <v>1065</v>
      </c>
      <c r="C143" s="10" t="s">
        <v>1008</v>
      </c>
      <c r="D143" s="10">
        <v>11.0</v>
      </c>
      <c r="E143" s="17">
        <v>-18.0</v>
      </c>
    </row>
    <row r="144">
      <c r="A144" s="18">
        <v>132.0</v>
      </c>
      <c r="B144" s="14" t="s">
        <v>1073</v>
      </c>
      <c r="C144" s="18" t="s">
        <v>1082</v>
      </c>
      <c r="D144" s="18">
        <v>6.0</v>
      </c>
      <c r="E144" s="20">
        <f>+19</f>
        <v>19</v>
      </c>
    </row>
    <row r="145">
      <c r="A145" s="10">
        <v>133.0</v>
      </c>
      <c r="B145" s="14" t="s">
        <v>1085</v>
      </c>
      <c r="C145" s="10" t="s">
        <v>1090</v>
      </c>
      <c r="D145" s="10">
        <v>5.0</v>
      </c>
      <c r="E145" s="30">
        <f>+12</f>
        <v>12</v>
      </c>
    </row>
    <row r="146">
      <c r="A146" s="18">
        <v>134.0</v>
      </c>
      <c r="B146" s="14" t="s">
        <v>1096</v>
      </c>
      <c r="C146" s="18" t="s">
        <v>1100</v>
      </c>
      <c r="D146" s="18">
        <v>11.0</v>
      </c>
      <c r="E146" s="20">
        <f>+31</f>
        <v>31</v>
      </c>
    </row>
    <row r="147">
      <c r="A147" s="10">
        <v>135.0</v>
      </c>
      <c r="B147" s="14" t="s">
        <v>1107</v>
      </c>
      <c r="C147" s="10" t="s">
        <v>1110</v>
      </c>
      <c r="D147" s="10">
        <v>11.0</v>
      </c>
      <c r="E147" s="30">
        <f>+26</f>
        <v>26</v>
      </c>
    </row>
    <row r="148">
      <c r="A148" s="18">
        <v>136.0</v>
      </c>
      <c r="B148" s="14" t="s">
        <v>1115</v>
      </c>
      <c r="C148" s="18" t="s">
        <v>1121</v>
      </c>
      <c r="D148" s="18">
        <v>7.0</v>
      </c>
      <c r="E148" s="20">
        <f t="shared" ref="E148:E149" si="2">+1</f>
        <v>1</v>
      </c>
    </row>
    <row r="149">
      <c r="A149" s="10">
        <v>137.0</v>
      </c>
      <c r="B149" s="14" t="s">
        <v>1124</v>
      </c>
      <c r="C149" s="10" t="s">
        <v>1128</v>
      </c>
      <c r="D149" s="10">
        <v>11.0</v>
      </c>
      <c r="E149" s="30">
        <f t="shared" si="2"/>
        <v>1</v>
      </c>
    </row>
    <row r="150">
      <c r="A150" s="18">
        <v>138.0</v>
      </c>
      <c r="B150" s="14" t="s">
        <v>1130</v>
      </c>
      <c r="C150" s="18" t="s">
        <v>1041</v>
      </c>
      <c r="D150" s="18">
        <v>6.0</v>
      </c>
      <c r="E150" s="20">
        <f>+20</f>
        <v>20</v>
      </c>
    </row>
    <row r="151">
      <c r="A151" s="10">
        <v>139.0</v>
      </c>
      <c r="B151" s="14" t="s">
        <v>1139</v>
      </c>
      <c r="C151" s="10" t="s">
        <v>1142</v>
      </c>
      <c r="D151" s="10">
        <v>8.0</v>
      </c>
      <c r="E151" s="30">
        <f>+33</f>
        <v>33</v>
      </c>
    </row>
    <row r="152">
      <c r="A152" s="18">
        <v>140.0</v>
      </c>
      <c r="B152" s="14" t="s">
        <v>1148</v>
      </c>
      <c r="C152" s="18" t="s">
        <v>1068</v>
      </c>
      <c r="D152" s="18">
        <v>10.0</v>
      </c>
      <c r="E152" s="20">
        <f>+26</f>
        <v>26</v>
      </c>
    </row>
    <row r="153">
      <c r="A153" s="10">
        <v>141.0</v>
      </c>
      <c r="B153" s="14" t="s">
        <v>1155</v>
      </c>
      <c r="C153" s="10" t="s">
        <v>1161</v>
      </c>
      <c r="D153" s="10">
        <v>11.0</v>
      </c>
      <c r="E153" s="30">
        <f>+30</f>
        <v>30</v>
      </c>
    </row>
    <row r="154">
      <c r="A154" s="18">
        <v>142.0</v>
      </c>
      <c r="B154" s="14" t="s">
        <v>1164</v>
      </c>
      <c r="C154" s="18" t="s">
        <v>1093</v>
      </c>
      <c r="D154" s="18">
        <v>7.0</v>
      </c>
      <c r="E154" s="20">
        <f>+13</f>
        <v>13</v>
      </c>
    </row>
    <row r="155">
      <c r="A155" s="10">
        <v>143.0</v>
      </c>
      <c r="B155" s="14" t="s">
        <v>1173</v>
      </c>
      <c r="C155" s="10" t="s">
        <v>1180</v>
      </c>
      <c r="D155" s="10">
        <v>11.0</v>
      </c>
      <c r="E155" s="17">
        <v>-28.0</v>
      </c>
    </row>
    <row r="156">
      <c r="A156" s="18">
        <v>144.0</v>
      </c>
      <c r="B156" s="14" t="s">
        <v>1182</v>
      </c>
      <c r="C156" s="18" t="s">
        <v>1189</v>
      </c>
      <c r="D156" s="18">
        <v>8.0</v>
      </c>
      <c r="E156" s="19">
        <v>-15.0</v>
      </c>
    </row>
    <row r="157">
      <c r="A157" s="10">
        <v>145.0</v>
      </c>
      <c r="B157" s="14" t="s">
        <v>1191</v>
      </c>
      <c r="C157" s="10" t="s">
        <v>966</v>
      </c>
      <c r="D157" s="10">
        <v>11.0</v>
      </c>
      <c r="E157" s="17">
        <v>-22.0</v>
      </c>
    </row>
    <row r="158">
      <c r="A158" s="18">
        <v>146.0</v>
      </c>
      <c r="B158" s="14" t="s">
        <v>1198</v>
      </c>
      <c r="C158" s="18" t="s">
        <v>992</v>
      </c>
      <c r="D158" s="18">
        <v>7.0</v>
      </c>
      <c r="E158" s="19">
        <v>-13.0</v>
      </c>
    </row>
    <row r="159">
      <c r="A159" s="10">
        <v>147.0</v>
      </c>
      <c r="B159" s="14" t="s">
        <v>1207</v>
      </c>
      <c r="C159" s="10" t="s">
        <v>1057</v>
      </c>
      <c r="D159" s="10">
        <v>8.0</v>
      </c>
      <c r="E159" s="17">
        <v>-27.0</v>
      </c>
    </row>
    <row r="160">
      <c r="A160" s="18">
        <v>148.0</v>
      </c>
      <c r="B160" s="14" t="s">
        <v>1214</v>
      </c>
      <c r="C160" s="18" t="s">
        <v>1220</v>
      </c>
      <c r="D160" s="18">
        <v>9.0</v>
      </c>
      <c r="E160" s="19">
        <v>-16.0</v>
      </c>
    </row>
    <row r="161">
      <c r="A161" s="10">
        <v>149.0</v>
      </c>
      <c r="B161" s="14" t="s">
        <v>1224</v>
      </c>
      <c r="C161" s="10" t="s">
        <v>1076</v>
      </c>
      <c r="D161" s="10">
        <v>7.0</v>
      </c>
      <c r="E161" s="17">
        <v>-18.0</v>
      </c>
    </row>
    <row r="162">
      <c r="A162" s="18">
        <v>150.0</v>
      </c>
      <c r="B162" s="14" t="s">
        <v>1231</v>
      </c>
      <c r="C162" s="18" t="s">
        <v>1235</v>
      </c>
      <c r="D162" s="18">
        <v>11.0</v>
      </c>
      <c r="E162" s="20">
        <f>+2</f>
        <v>2</v>
      </c>
    </row>
    <row r="163">
      <c r="A163" s="10">
        <v>151.0</v>
      </c>
      <c r="B163" s="14" t="s">
        <v>1240</v>
      </c>
      <c r="C163" s="10" t="s">
        <v>1246</v>
      </c>
      <c r="D163" s="10">
        <v>9.0</v>
      </c>
      <c r="E163" s="30">
        <f>+37</f>
        <v>37</v>
      </c>
    </row>
    <row r="164">
      <c r="A164" s="18">
        <v>152.0</v>
      </c>
      <c r="B164" s="14" t="s">
        <v>1251</v>
      </c>
      <c r="C164" s="18" t="s">
        <v>1256</v>
      </c>
      <c r="D164" s="18">
        <v>6.0</v>
      </c>
      <c r="E164" s="20">
        <f>+1</f>
        <v>1</v>
      </c>
    </row>
    <row r="165">
      <c r="A165" s="10">
        <v>153.0</v>
      </c>
      <c r="B165" s="14" t="s">
        <v>1261</v>
      </c>
      <c r="C165" s="10" t="s">
        <v>1134</v>
      </c>
      <c r="D165" s="10">
        <v>7.0</v>
      </c>
      <c r="E165" s="17">
        <v>-7.0</v>
      </c>
    </row>
    <row r="166">
      <c r="A166" s="18">
        <v>154.0</v>
      </c>
      <c r="B166" s="14" t="s">
        <v>1267</v>
      </c>
      <c r="C166" s="18" t="s">
        <v>1272</v>
      </c>
      <c r="D166" s="18">
        <v>13.0</v>
      </c>
      <c r="E166" s="20">
        <f>+47</f>
        <v>47</v>
      </c>
    </row>
    <row r="167">
      <c r="A167" s="10">
        <v>155.0</v>
      </c>
      <c r="B167" s="14" t="s">
        <v>1277</v>
      </c>
      <c r="C167" s="10" t="s">
        <v>1281</v>
      </c>
      <c r="D167" s="10">
        <v>10.0</v>
      </c>
      <c r="E167" s="17">
        <v>-20.0</v>
      </c>
    </row>
    <row r="168">
      <c r="A168" s="18">
        <v>156.0</v>
      </c>
      <c r="B168" s="14" t="s">
        <v>1283</v>
      </c>
      <c r="C168" s="18" t="s">
        <v>1102</v>
      </c>
      <c r="D168" s="18">
        <v>8.0</v>
      </c>
      <c r="E168" s="19">
        <v>-20.0</v>
      </c>
    </row>
    <row r="169">
      <c r="A169" s="10">
        <v>157.0</v>
      </c>
      <c r="B169" s="14" t="s">
        <v>1289</v>
      </c>
      <c r="C169" s="10" t="s">
        <v>1296</v>
      </c>
      <c r="D169" s="10">
        <v>11.0</v>
      </c>
      <c r="E169" s="30">
        <f>+16</f>
        <v>16</v>
      </c>
    </row>
    <row r="170">
      <c r="A170" s="18">
        <v>158.0</v>
      </c>
      <c r="B170" s="14" t="s">
        <v>1299</v>
      </c>
      <c r="C170" s="18" t="s">
        <v>1250</v>
      </c>
      <c r="D170" s="18">
        <v>8.0</v>
      </c>
      <c r="E170" s="20">
        <f>+6</f>
        <v>6</v>
      </c>
    </row>
    <row r="171">
      <c r="A171" s="10">
        <v>159.0</v>
      </c>
      <c r="B171" s="14" t="s">
        <v>1308</v>
      </c>
      <c r="C171" s="10" t="s">
        <v>1314</v>
      </c>
      <c r="D171" s="10">
        <v>10.0</v>
      </c>
      <c r="E171" s="30">
        <f>+20</f>
        <v>20</v>
      </c>
    </row>
    <row r="172">
      <c r="A172" s="18">
        <v>160.0</v>
      </c>
      <c r="B172" s="14" t="s">
        <v>1315</v>
      </c>
      <c r="C172" s="18" t="s">
        <v>1322</v>
      </c>
      <c r="D172" s="18">
        <v>13.0</v>
      </c>
      <c r="E172" s="20">
        <f>+39</f>
        <v>39</v>
      </c>
    </row>
    <row r="173">
      <c r="A173" s="10">
        <v>161.0</v>
      </c>
      <c r="B173" s="14" t="s">
        <v>1324</v>
      </c>
      <c r="C173" s="10" t="s">
        <v>1295</v>
      </c>
      <c r="D173" s="10">
        <v>13.0</v>
      </c>
      <c r="E173" s="30">
        <f>+7</f>
        <v>7</v>
      </c>
    </row>
    <row r="174">
      <c r="A174" s="18">
        <v>162.0</v>
      </c>
      <c r="B174" s="14" t="s">
        <v>1332</v>
      </c>
      <c r="C174" s="18" t="s">
        <v>1337</v>
      </c>
      <c r="D174" s="18">
        <v>11.0</v>
      </c>
      <c r="E174" s="20">
        <f>+13</f>
        <v>13</v>
      </c>
    </row>
    <row r="175">
      <c r="A175" s="10">
        <v>163.0</v>
      </c>
      <c r="B175" s="14" t="s">
        <v>1339</v>
      </c>
      <c r="C175" s="10" t="s">
        <v>1345</v>
      </c>
      <c r="D175" s="10">
        <v>13.0</v>
      </c>
      <c r="E175" s="30">
        <f>+7</f>
        <v>7</v>
      </c>
    </row>
    <row r="176">
      <c r="A176" s="7" t="s">
        <v>1347</v>
      </c>
      <c r="B176" s="8"/>
      <c r="E176" s="9" t="s">
        <v>1350</v>
      </c>
    </row>
    <row r="177">
      <c r="A177" s="10">
        <v>164.0</v>
      </c>
      <c r="B177" s="14" t="s">
        <v>1352</v>
      </c>
      <c r="C177" s="10" t="s">
        <v>1357</v>
      </c>
      <c r="D177" s="10">
        <v>13.0</v>
      </c>
      <c r="E177" s="30">
        <f>+44</f>
        <v>44</v>
      </c>
    </row>
    <row r="178">
      <c r="A178" s="18">
        <v>165.0</v>
      </c>
      <c r="B178" s="14" t="s">
        <v>1361</v>
      </c>
      <c r="C178" s="18" t="s">
        <v>1366</v>
      </c>
      <c r="D178" s="18">
        <v>5.0</v>
      </c>
      <c r="E178" s="20">
        <f>+35</f>
        <v>35</v>
      </c>
    </row>
    <row r="179">
      <c r="A179" s="10">
        <v>166.0</v>
      </c>
      <c r="B179" s="14" t="s">
        <v>1368</v>
      </c>
      <c r="C179" s="10" t="s">
        <v>1374</v>
      </c>
      <c r="D179" s="10">
        <v>7.0</v>
      </c>
      <c r="E179" s="17">
        <v>-32.0</v>
      </c>
    </row>
    <row r="180">
      <c r="A180" s="18">
        <v>167.0</v>
      </c>
      <c r="B180" s="14" t="s">
        <v>1376</v>
      </c>
      <c r="C180" s="18" t="s">
        <v>1143</v>
      </c>
      <c r="D180" s="18">
        <v>10.0</v>
      </c>
      <c r="E180" s="19">
        <v>-7.0</v>
      </c>
    </row>
    <row r="181">
      <c r="A181" s="10">
        <v>168.0</v>
      </c>
      <c r="B181" s="14" t="s">
        <v>1381</v>
      </c>
      <c r="C181" s="10" t="s">
        <v>1385</v>
      </c>
      <c r="D181" s="10">
        <v>7.0</v>
      </c>
      <c r="E181" s="30">
        <f>+23</f>
        <v>23</v>
      </c>
    </row>
    <row r="182">
      <c r="A182" s="18">
        <v>169.0</v>
      </c>
      <c r="B182" s="14" t="s">
        <v>1389</v>
      </c>
      <c r="C182" s="18" t="s">
        <v>1202</v>
      </c>
      <c r="D182" s="18">
        <v>11.0</v>
      </c>
      <c r="E182" s="19">
        <v>-21.0</v>
      </c>
    </row>
    <row r="183">
      <c r="A183" s="10">
        <v>170.0</v>
      </c>
      <c r="B183" s="14" t="s">
        <v>1395</v>
      </c>
      <c r="C183" s="10" t="s">
        <v>1303</v>
      </c>
      <c r="D183" s="10">
        <v>11.0</v>
      </c>
      <c r="E183" s="17">
        <v>-29.0</v>
      </c>
    </row>
    <row r="184">
      <c r="A184" s="18">
        <v>171.0</v>
      </c>
      <c r="B184" s="14" t="s">
        <v>1400</v>
      </c>
      <c r="C184" s="18" t="s">
        <v>1325</v>
      </c>
      <c r="D184" s="18">
        <v>10.0</v>
      </c>
      <c r="E184" s="19">
        <v>-8.0</v>
      </c>
    </row>
    <row r="185">
      <c r="A185" s="10">
        <v>172.0</v>
      </c>
      <c r="B185" s="14" t="s">
        <v>1407</v>
      </c>
      <c r="C185" s="10" t="s">
        <v>1410</v>
      </c>
      <c r="D185" s="10">
        <v>11.0</v>
      </c>
      <c r="E185" s="30">
        <f>+4</f>
        <v>4</v>
      </c>
    </row>
    <row r="186">
      <c r="A186" s="18">
        <v>173.0</v>
      </c>
      <c r="B186" s="14" t="s">
        <v>1416</v>
      </c>
      <c r="C186" s="18" t="s">
        <v>1419</v>
      </c>
      <c r="D186" s="18">
        <v>7.0</v>
      </c>
      <c r="E186" s="20">
        <f>+42</f>
        <v>42</v>
      </c>
    </row>
    <row r="187">
      <c r="A187" s="10">
        <v>174.0</v>
      </c>
      <c r="B187" s="14" t="s">
        <v>1422</v>
      </c>
      <c r="C187" s="10" t="s">
        <v>1346</v>
      </c>
      <c r="D187" s="10">
        <v>7.0</v>
      </c>
      <c r="E187" s="30">
        <f>+9</f>
        <v>9</v>
      </c>
    </row>
    <row r="188">
      <c r="A188" s="18">
        <v>175.0</v>
      </c>
      <c r="B188" s="14" t="s">
        <v>1428</v>
      </c>
      <c r="C188" s="18" t="s">
        <v>1167</v>
      </c>
      <c r="D188" s="18">
        <v>11.0</v>
      </c>
      <c r="E188" s="20">
        <f>+5</f>
        <v>5</v>
      </c>
    </row>
    <row r="189">
      <c r="A189" s="10">
        <v>176.0</v>
      </c>
      <c r="B189" s="14" t="s">
        <v>1435</v>
      </c>
      <c r="C189" s="10" t="s">
        <v>1363</v>
      </c>
      <c r="D189" s="10">
        <v>11.0</v>
      </c>
      <c r="E189" s="30">
        <f>+43</f>
        <v>43</v>
      </c>
    </row>
    <row r="190">
      <c r="A190" s="18">
        <v>177.0</v>
      </c>
      <c r="B190" s="14" t="s">
        <v>1441</v>
      </c>
      <c r="C190" s="18" t="s">
        <v>1447</v>
      </c>
      <c r="D190" s="18">
        <v>8.0</v>
      </c>
      <c r="E190" s="20">
        <f>+32</f>
        <v>32</v>
      </c>
    </row>
    <row r="191">
      <c r="A191" s="10">
        <v>178.0</v>
      </c>
      <c r="B191" s="14" t="s">
        <v>1449</v>
      </c>
      <c r="C191" s="10" t="s">
        <v>1454</v>
      </c>
      <c r="D191" s="10">
        <v>14.0</v>
      </c>
      <c r="E191" s="30">
        <f>+72</f>
        <v>72</v>
      </c>
    </row>
    <row r="192">
      <c r="A192" s="18">
        <v>179.0</v>
      </c>
      <c r="B192" s="14" t="s">
        <v>1458</v>
      </c>
      <c r="C192" s="18" t="s">
        <v>1371</v>
      </c>
      <c r="D192" s="18">
        <v>5.0</v>
      </c>
      <c r="E192" s="19">
        <v>-20.0</v>
      </c>
    </row>
    <row r="193">
      <c r="A193" s="10">
        <v>180.0</v>
      </c>
      <c r="B193" s="14" t="s">
        <v>1465</v>
      </c>
      <c r="C193" s="10" t="s">
        <v>1471</v>
      </c>
      <c r="D193" s="10">
        <v>9.0</v>
      </c>
      <c r="E193" s="30">
        <f>+2</f>
        <v>2</v>
      </c>
    </row>
    <row r="194">
      <c r="A194" s="18">
        <v>181.0</v>
      </c>
      <c r="B194" s="14" t="s">
        <v>1474</v>
      </c>
      <c r="C194" s="18" t="s">
        <v>1462</v>
      </c>
      <c r="D194" s="18">
        <v>7.0</v>
      </c>
      <c r="E194" s="20">
        <f>+31</f>
        <v>31</v>
      </c>
    </row>
    <row r="195">
      <c r="A195" s="10">
        <v>182.0</v>
      </c>
      <c r="B195" s="14" t="s">
        <v>1482</v>
      </c>
      <c r="C195" s="10" t="s">
        <v>1469</v>
      </c>
      <c r="D195" s="10">
        <v>10.0</v>
      </c>
      <c r="E195" s="30">
        <f>+2</f>
        <v>2</v>
      </c>
    </row>
    <row r="196">
      <c r="A196" s="18">
        <v>183.0</v>
      </c>
      <c r="B196" s="14" t="s">
        <v>1488</v>
      </c>
      <c r="C196" s="18" t="s">
        <v>1031</v>
      </c>
      <c r="D196" s="18">
        <v>14.0</v>
      </c>
      <c r="E196" s="19">
        <v>-55.0</v>
      </c>
    </row>
    <row r="197">
      <c r="A197" s="10">
        <v>184.0</v>
      </c>
      <c r="B197" s="14" t="s">
        <v>1495</v>
      </c>
      <c r="C197" s="10" t="s">
        <v>1498</v>
      </c>
      <c r="D197" s="10">
        <v>13.0</v>
      </c>
      <c r="E197" s="30">
        <f>+6</f>
        <v>6</v>
      </c>
    </row>
    <row r="198">
      <c r="A198" s="18">
        <v>185.0</v>
      </c>
      <c r="B198" s="14" t="s">
        <v>1502</v>
      </c>
      <c r="C198" s="18" t="s">
        <v>1423</v>
      </c>
      <c r="D198" s="18">
        <v>6.0</v>
      </c>
      <c r="E198" s="19">
        <v>0.0</v>
      </c>
    </row>
    <row r="199">
      <c r="A199" s="10">
        <v>186.0</v>
      </c>
      <c r="B199" s="14" t="s">
        <v>1508</v>
      </c>
      <c r="C199" s="10" t="s">
        <v>1478</v>
      </c>
      <c r="D199" s="10">
        <v>7.0</v>
      </c>
      <c r="E199" s="30">
        <f>+16</f>
        <v>16</v>
      </c>
    </row>
    <row r="200">
      <c r="A200" s="18">
        <v>187.0</v>
      </c>
      <c r="B200" s="14" t="s">
        <v>1515</v>
      </c>
      <c r="C200" s="18" t="s">
        <v>1184</v>
      </c>
      <c r="D200" s="18">
        <v>13.0</v>
      </c>
      <c r="E200" s="19">
        <v>-47.0</v>
      </c>
    </row>
    <row r="201">
      <c r="A201" s="10">
        <v>188.0</v>
      </c>
      <c r="B201" s="14" t="s">
        <v>1521</v>
      </c>
      <c r="C201" s="10" t="s">
        <v>1219</v>
      </c>
      <c r="D201" s="10">
        <v>8.0</v>
      </c>
      <c r="E201" s="17">
        <v>-44.0</v>
      </c>
    </row>
    <row r="202">
      <c r="A202" s="18">
        <v>189.0</v>
      </c>
      <c r="B202" s="14" t="s">
        <v>1527</v>
      </c>
      <c r="C202" s="18" t="s">
        <v>1531</v>
      </c>
      <c r="D202" s="18">
        <v>9.0</v>
      </c>
      <c r="E202" s="20">
        <f>+28</f>
        <v>28</v>
      </c>
    </row>
    <row r="203">
      <c r="A203" s="10">
        <v>190.0</v>
      </c>
      <c r="B203" s="14" t="s">
        <v>1534</v>
      </c>
      <c r="C203" s="10" t="s">
        <v>1538</v>
      </c>
      <c r="D203" s="10">
        <v>11.0</v>
      </c>
      <c r="E203" s="17">
        <v>-13.0</v>
      </c>
    </row>
    <row r="204">
      <c r="A204" s="18">
        <v>191.0</v>
      </c>
      <c r="B204" s="14" t="s">
        <v>1542</v>
      </c>
      <c r="C204" s="18" t="s">
        <v>1491</v>
      </c>
      <c r="D204" s="18">
        <v>13.0</v>
      </c>
      <c r="E204" s="19">
        <v>-22.0</v>
      </c>
    </row>
    <row r="205">
      <c r="A205" s="10">
        <v>192.0</v>
      </c>
      <c r="B205" s="14" t="s">
        <v>1548</v>
      </c>
      <c r="C205" s="10" t="s">
        <v>1553</v>
      </c>
      <c r="D205" s="10">
        <v>14.0</v>
      </c>
      <c r="E205" s="17">
        <v>-38.0</v>
      </c>
    </row>
    <row r="206">
      <c r="A206" s="18">
        <v>193.0</v>
      </c>
      <c r="B206" s="14" t="s">
        <v>1554</v>
      </c>
      <c r="C206" s="18" t="s">
        <v>1563</v>
      </c>
      <c r="D206" s="18">
        <v>7.0</v>
      </c>
      <c r="E206" s="20">
        <f>+38</f>
        <v>38</v>
      </c>
    </row>
    <row r="207">
      <c r="A207" s="10">
        <v>194.0</v>
      </c>
      <c r="B207" s="14" t="s">
        <v>1566</v>
      </c>
      <c r="C207" s="10" t="s">
        <v>1572</v>
      </c>
      <c r="D207" s="10">
        <v>14.0</v>
      </c>
      <c r="E207" s="30">
        <f>+13</f>
        <v>13</v>
      </c>
    </row>
    <row r="208">
      <c r="A208" s="18">
        <v>195.0</v>
      </c>
      <c r="B208" s="14" t="s">
        <v>1576</v>
      </c>
      <c r="C208" s="18" t="s">
        <v>1271</v>
      </c>
      <c r="D208" s="18">
        <v>11.0</v>
      </c>
      <c r="E208" s="19">
        <v>-1.0</v>
      </c>
    </row>
    <row r="209">
      <c r="A209" s="10">
        <v>196.0</v>
      </c>
      <c r="B209" s="14" t="s">
        <v>1584</v>
      </c>
      <c r="C209" s="10" t="s">
        <v>1318</v>
      </c>
      <c r="D209" s="10">
        <v>7.0</v>
      </c>
      <c r="E209" s="17">
        <v>-34.0</v>
      </c>
    </row>
    <row r="210">
      <c r="A210" s="18">
        <v>197.0</v>
      </c>
      <c r="B210" s="14" t="s">
        <v>1590</v>
      </c>
      <c r="C210" s="18" t="s">
        <v>1354</v>
      </c>
      <c r="D210" s="18">
        <v>8.0</v>
      </c>
      <c r="E210" s="19">
        <v>-19.0</v>
      </c>
    </row>
    <row r="211">
      <c r="A211" s="10">
        <v>198.0</v>
      </c>
      <c r="B211" s="14" t="s">
        <v>1596</v>
      </c>
      <c r="C211" s="10" t="s">
        <v>1599</v>
      </c>
      <c r="D211" s="10">
        <v>9.0</v>
      </c>
      <c r="E211" s="17">
        <v>-11.0</v>
      </c>
    </row>
    <row r="212">
      <c r="A212" s="18">
        <v>199.0</v>
      </c>
      <c r="B212" s="14" t="s">
        <v>1602</v>
      </c>
      <c r="C212" s="18" t="s">
        <v>1606</v>
      </c>
      <c r="D212" s="18">
        <v>7.0</v>
      </c>
      <c r="E212" s="19">
        <v>-3.0</v>
      </c>
    </row>
    <row r="213">
      <c r="A213" s="10">
        <v>200.0</v>
      </c>
      <c r="B213" s="14" t="s">
        <v>1608</v>
      </c>
      <c r="C213" s="10" t="s">
        <v>1614</v>
      </c>
      <c r="D213" s="10">
        <v>13.0</v>
      </c>
      <c r="E213" s="30">
        <f>+91</f>
        <v>91</v>
      </c>
    </row>
    <row r="214">
      <c r="A214" s="18">
        <v>201.0</v>
      </c>
      <c r="B214" s="14" t="s">
        <v>1618</v>
      </c>
      <c r="C214" s="18" t="s">
        <v>1623</v>
      </c>
      <c r="D214" s="18">
        <v>6.0</v>
      </c>
      <c r="E214" s="20">
        <f>+21</f>
        <v>21</v>
      </c>
    </row>
    <row r="215">
      <c r="A215" s="10">
        <v>202.0</v>
      </c>
      <c r="B215" s="14" t="s">
        <v>1627</v>
      </c>
      <c r="C215" s="10" t="s">
        <v>1631</v>
      </c>
      <c r="D215" s="10">
        <v>13.0</v>
      </c>
      <c r="E215" s="17">
        <v>-4.0</v>
      </c>
    </row>
    <row r="216">
      <c r="A216" s="18">
        <v>203.0</v>
      </c>
      <c r="B216" s="14" t="s">
        <v>1633</v>
      </c>
      <c r="C216" s="18" t="s">
        <v>1404</v>
      </c>
      <c r="D216" s="18">
        <v>7.0</v>
      </c>
      <c r="E216" s="19">
        <v>-29.0</v>
      </c>
    </row>
    <row r="217">
      <c r="A217" s="10">
        <v>204.0</v>
      </c>
      <c r="B217" s="14" t="s">
        <v>1639</v>
      </c>
      <c r="C217" s="10" t="s">
        <v>1588</v>
      </c>
      <c r="D217" s="10">
        <v>10.0</v>
      </c>
      <c r="E217" s="30">
        <f>+79</f>
        <v>79</v>
      </c>
    </row>
    <row r="218">
      <c r="A218" s="18">
        <v>205.0</v>
      </c>
      <c r="B218" s="14" t="s">
        <v>1646</v>
      </c>
      <c r="C218" s="18" t="s">
        <v>1429</v>
      </c>
      <c r="D218" s="18">
        <v>11.0</v>
      </c>
      <c r="E218" s="19">
        <v>-38.0</v>
      </c>
    </row>
    <row r="219">
      <c r="A219" s="10">
        <v>206.0</v>
      </c>
      <c r="B219" s="14" t="s">
        <v>1651</v>
      </c>
      <c r="C219" s="10" t="s">
        <v>1655</v>
      </c>
      <c r="D219" s="10">
        <v>8.0</v>
      </c>
      <c r="E219" s="30">
        <f>+38</f>
        <v>38</v>
      </c>
    </row>
    <row r="220">
      <c r="A220" s="18">
        <v>207.0</v>
      </c>
      <c r="B220" s="14" t="s">
        <v>1661</v>
      </c>
      <c r="C220" s="18" t="s">
        <v>1665</v>
      </c>
      <c r="D220" s="18">
        <v>10.0</v>
      </c>
      <c r="E220" s="20">
        <f>+45</f>
        <v>45</v>
      </c>
    </row>
    <row r="221">
      <c r="A221" s="10">
        <v>208.0</v>
      </c>
      <c r="B221" s="14" t="s">
        <v>1669</v>
      </c>
      <c r="C221" s="10" t="s">
        <v>1672</v>
      </c>
      <c r="D221" s="10">
        <v>8.0</v>
      </c>
      <c r="E221" s="30">
        <f>+76</f>
        <v>76</v>
      </c>
    </row>
    <row r="222">
      <c r="A222" s="18">
        <v>209.0</v>
      </c>
      <c r="B222" s="14" t="s">
        <v>1677</v>
      </c>
      <c r="C222" s="18" t="s">
        <v>1442</v>
      </c>
      <c r="D222" s="18">
        <v>6.0</v>
      </c>
      <c r="E222" s="19">
        <v>-59.0</v>
      </c>
    </row>
    <row r="223">
      <c r="A223" s="22" t="s">
        <v>1683</v>
      </c>
      <c r="B223" s="24"/>
      <c r="E223" s="9" t="s">
        <v>1686</v>
      </c>
    </row>
    <row r="224">
      <c r="A224" s="18">
        <v>210.0</v>
      </c>
      <c r="B224" s="14" t="s">
        <v>1688</v>
      </c>
      <c r="C224" s="18" t="s">
        <v>1691</v>
      </c>
      <c r="D224" s="18">
        <v>11.0</v>
      </c>
      <c r="E224" s="20">
        <f>+31</f>
        <v>31</v>
      </c>
    </row>
    <row r="225">
      <c r="A225" s="10">
        <v>211.0</v>
      </c>
      <c r="B225" s="14" t="s">
        <v>1694</v>
      </c>
      <c r="C225" s="10" t="s">
        <v>1693</v>
      </c>
      <c r="D225" s="10">
        <v>11.0</v>
      </c>
      <c r="E225" s="30">
        <f>+27</f>
        <v>27</v>
      </c>
    </row>
    <row r="226">
      <c r="A226" s="18">
        <v>212.0</v>
      </c>
      <c r="B226" s="14" t="s">
        <v>1700</v>
      </c>
      <c r="C226" s="18" t="s">
        <v>1706</v>
      </c>
      <c r="D226" s="18">
        <v>7.0</v>
      </c>
      <c r="E226" s="19">
        <v>-23.0</v>
      </c>
    </row>
    <row r="227">
      <c r="A227" s="10">
        <v>213.0</v>
      </c>
      <c r="B227" s="14" t="s">
        <v>1708</v>
      </c>
      <c r="C227" s="10" t="s">
        <v>1524</v>
      </c>
      <c r="D227" s="10">
        <v>8.0</v>
      </c>
      <c r="E227" s="30">
        <f>+11</f>
        <v>11</v>
      </c>
    </row>
    <row r="228">
      <c r="A228" s="18">
        <v>214.0</v>
      </c>
      <c r="B228" s="14" t="s">
        <v>1716</v>
      </c>
      <c r="C228" s="18" t="s">
        <v>1561</v>
      </c>
      <c r="D228" s="18">
        <v>13.0</v>
      </c>
      <c r="E228" s="19">
        <v>-22.0</v>
      </c>
    </row>
    <row r="229">
      <c r="A229" s="10">
        <v>215.0</v>
      </c>
      <c r="B229" s="14" t="s">
        <v>1722</v>
      </c>
      <c r="C229" s="10" t="s">
        <v>1727</v>
      </c>
      <c r="D229" s="10">
        <v>6.0</v>
      </c>
      <c r="E229" s="30">
        <f>+22</f>
        <v>22</v>
      </c>
    </row>
    <row r="230">
      <c r="A230" s="18">
        <v>216.0</v>
      </c>
      <c r="B230" s="14" t="s">
        <v>1732</v>
      </c>
      <c r="C230" s="18" t="s">
        <v>1736</v>
      </c>
      <c r="D230" s="18">
        <v>10.0</v>
      </c>
      <c r="E230" s="20">
        <f>+43</f>
        <v>43</v>
      </c>
    </row>
    <row r="231">
      <c r="A231" s="10">
        <v>217.0</v>
      </c>
      <c r="B231" s="14" t="s">
        <v>1741</v>
      </c>
      <c r="C231" s="10" t="s">
        <v>1744</v>
      </c>
      <c r="D231" s="10">
        <v>5.0</v>
      </c>
      <c r="E231" s="30">
        <f>+47</f>
        <v>47</v>
      </c>
    </row>
    <row r="232">
      <c r="A232" s="18">
        <v>218.0</v>
      </c>
      <c r="B232" s="14" t="s">
        <v>1750</v>
      </c>
      <c r="C232" s="18" t="s">
        <v>1707</v>
      </c>
      <c r="D232" s="18">
        <v>14.0</v>
      </c>
      <c r="E232" s="19">
        <v>-4.0</v>
      </c>
    </row>
    <row r="233">
      <c r="A233" s="10">
        <v>219.0</v>
      </c>
      <c r="B233" s="14" t="s">
        <v>1756</v>
      </c>
      <c r="C233" s="10" t="s">
        <v>1728</v>
      </c>
      <c r="D233" s="10">
        <v>6.0</v>
      </c>
      <c r="E233" s="30">
        <f>+2</f>
        <v>2</v>
      </c>
    </row>
    <row r="234">
      <c r="A234" s="18">
        <v>220.0</v>
      </c>
      <c r="B234" s="14" t="s">
        <v>1763</v>
      </c>
      <c r="C234" s="18" t="s">
        <v>1771</v>
      </c>
      <c r="D234" s="18">
        <v>8.0</v>
      </c>
      <c r="E234" s="19">
        <v>-15.0</v>
      </c>
    </row>
    <row r="235">
      <c r="A235" s="10">
        <v>221.0</v>
      </c>
      <c r="B235" s="14" t="s">
        <v>1773</v>
      </c>
      <c r="C235" s="10" t="s">
        <v>1657</v>
      </c>
      <c r="D235" s="10">
        <v>6.0</v>
      </c>
      <c r="E235" s="30">
        <f>+67</f>
        <v>67</v>
      </c>
    </row>
    <row r="236">
      <c r="A236" s="18">
        <v>222.0</v>
      </c>
      <c r="B236" s="14" t="s">
        <v>1783</v>
      </c>
      <c r="C236" s="18" t="s">
        <v>1745</v>
      </c>
      <c r="D236" s="18">
        <v>6.0</v>
      </c>
      <c r="E236" s="20">
        <f>+110</f>
        <v>110</v>
      </c>
    </row>
    <row r="237">
      <c r="A237" s="10">
        <v>223.0</v>
      </c>
      <c r="B237" s="14" t="s">
        <v>1790</v>
      </c>
      <c r="C237" s="10" t="s">
        <v>1793</v>
      </c>
      <c r="D237" s="10">
        <v>6.0</v>
      </c>
      <c r="E237" s="30">
        <f>+10</f>
        <v>10</v>
      </c>
    </row>
    <row r="238">
      <c r="A238" s="18">
        <v>224.0</v>
      </c>
      <c r="B238" s="14" t="s">
        <v>1799</v>
      </c>
      <c r="C238" s="18" t="s">
        <v>1448</v>
      </c>
      <c r="D238" s="18">
        <v>9.0</v>
      </c>
      <c r="E238" s="19">
        <v>-43.0</v>
      </c>
    </row>
    <row r="239">
      <c r="A239" s="10">
        <v>225.0</v>
      </c>
      <c r="B239" s="14" t="s">
        <v>1805</v>
      </c>
      <c r="C239" s="10" t="s">
        <v>1666</v>
      </c>
      <c r="D239" s="10">
        <v>10.0</v>
      </c>
      <c r="E239" s="30">
        <f>+38</f>
        <v>38</v>
      </c>
    </row>
    <row r="240">
      <c r="A240" s="18">
        <v>226.0</v>
      </c>
      <c r="B240" s="14" t="s">
        <v>1811</v>
      </c>
      <c r="C240" s="18" t="s">
        <v>1485</v>
      </c>
      <c r="D240" s="18">
        <v>9.0</v>
      </c>
      <c r="E240" s="20">
        <f>+28</f>
        <v>28</v>
      </c>
    </row>
    <row r="241">
      <c r="A241" s="10">
        <v>227.0</v>
      </c>
      <c r="B241" s="14" t="s">
        <v>1818</v>
      </c>
      <c r="C241" s="10" t="s">
        <v>1681</v>
      </c>
      <c r="D241" s="10">
        <v>11.0</v>
      </c>
      <c r="E241" s="17">
        <v>-17.0</v>
      </c>
    </row>
    <row r="242">
      <c r="A242" s="18">
        <v>228.0</v>
      </c>
      <c r="B242" s="14" t="s">
        <v>1825</v>
      </c>
      <c r="C242" s="18" t="s">
        <v>1831</v>
      </c>
      <c r="D242" s="18">
        <v>11.0</v>
      </c>
      <c r="E242" s="20">
        <f>+70</f>
        <v>70</v>
      </c>
    </row>
    <row r="243">
      <c r="A243" s="10">
        <v>229.0</v>
      </c>
      <c r="B243" s="14" t="s">
        <v>1834</v>
      </c>
      <c r="C243" s="10" t="s">
        <v>1721</v>
      </c>
      <c r="D243" s="10">
        <v>6.0</v>
      </c>
      <c r="E243" s="17">
        <v>-18.0</v>
      </c>
    </row>
    <row r="244">
      <c r="A244" s="18">
        <v>230.0</v>
      </c>
      <c r="B244" s="14" t="s">
        <v>1840</v>
      </c>
      <c r="C244" s="18" t="s">
        <v>1845</v>
      </c>
      <c r="D244" s="18">
        <v>11.0</v>
      </c>
      <c r="E244" s="20">
        <f>+39</f>
        <v>39</v>
      </c>
    </row>
    <row r="245">
      <c r="A245" s="10">
        <v>231.0</v>
      </c>
      <c r="B245" s="14" t="s">
        <v>1847</v>
      </c>
      <c r="C245" s="10" t="s">
        <v>1635</v>
      </c>
      <c r="D245" s="10">
        <v>9.0</v>
      </c>
      <c r="E245" s="17">
        <v>-2.0</v>
      </c>
    </row>
    <row r="246">
      <c r="A246" s="18">
        <v>232.0</v>
      </c>
      <c r="B246" s="14" t="s">
        <v>1854</v>
      </c>
      <c r="C246" s="18" t="s">
        <v>1858</v>
      </c>
      <c r="D246" s="18">
        <v>11.0</v>
      </c>
      <c r="E246" s="19">
        <v>-9.0</v>
      </c>
    </row>
    <row r="247">
      <c r="A247" s="10">
        <v>233.0</v>
      </c>
      <c r="B247" s="14" t="s">
        <v>1861</v>
      </c>
      <c r="C247" s="10" t="s">
        <v>1802</v>
      </c>
      <c r="D247" s="10">
        <v>13.0</v>
      </c>
      <c r="E247" s="30">
        <f>+2</f>
        <v>2</v>
      </c>
    </row>
    <row r="248">
      <c r="A248" s="18">
        <v>234.0</v>
      </c>
      <c r="B248" s="14" t="s">
        <v>1868</v>
      </c>
      <c r="C248" s="18" t="s">
        <v>1539</v>
      </c>
      <c r="D248" s="18">
        <v>7.0</v>
      </c>
      <c r="E248" s="19">
        <v>-78.0</v>
      </c>
    </row>
    <row r="249">
      <c r="A249" s="10">
        <v>235.0</v>
      </c>
      <c r="B249" s="14" t="s">
        <v>1874</v>
      </c>
      <c r="C249" s="10" t="s">
        <v>1880</v>
      </c>
      <c r="D249" s="10">
        <v>7.0</v>
      </c>
      <c r="E249" s="30">
        <f>+37</f>
        <v>37</v>
      </c>
    </row>
    <row r="250">
      <c r="A250" s="18">
        <v>236.0</v>
      </c>
      <c r="B250" s="14" t="s">
        <v>1884</v>
      </c>
      <c r="C250" s="18" t="s">
        <v>1766</v>
      </c>
      <c r="D250" s="18">
        <v>10.0</v>
      </c>
      <c r="E250" s="20">
        <f>+22</f>
        <v>22</v>
      </c>
    </row>
    <row r="251">
      <c r="A251" s="10">
        <v>237.0</v>
      </c>
      <c r="B251" s="14" t="s">
        <v>1889</v>
      </c>
      <c r="C251" s="10" t="s">
        <v>1895</v>
      </c>
      <c r="D251" s="10">
        <v>9.0</v>
      </c>
      <c r="E251" s="30">
        <f>+25</f>
        <v>25</v>
      </c>
    </row>
    <row r="252">
      <c r="A252" s="18">
        <v>238.0</v>
      </c>
      <c r="B252" s="14" t="s">
        <v>1898</v>
      </c>
      <c r="C252" s="18" t="s">
        <v>1547</v>
      </c>
      <c r="D252" s="18">
        <v>10.0</v>
      </c>
      <c r="E252" s="19">
        <v>-52.0</v>
      </c>
    </row>
    <row r="253">
      <c r="A253" s="10">
        <v>239.0</v>
      </c>
      <c r="B253" s="14" t="s">
        <v>1905</v>
      </c>
      <c r="C253" s="10" t="s">
        <v>1871</v>
      </c>
      <c r="D253" s="10">
        <v>11.0</v>
      </c>
      <c r="E253" s="17">
        <v>-42.0</v>
      </c>
    </row>
    <row r="254">
      <c r="A254" s="18">
        <v>240.0</v>
      </c>
      <c r="B254" s="14" t="s">
        <v>1912</v>
      </c>
      <c r="C254" s="18" t="s">
        <v>1917</v>
      </c>
      <c r="D254" s="18">
        <v>9.0</v>
      </c>
      <c r="E254" s="20">
        <f>+37</f>
        <v>37</v>
      </c>
    </row>
    <row r="255">
      <c r="A255" s="10">
        <v>241.0</v>
      </c>
      <c r="B255" s="14" t="s">
        <v>1919</v>
      </c>
      <c r="C255" s="10" t="s">
        <v>1924</v>
      </c>
      <c r="D255" s="10">
        <v>7.0</v>
      </c>
      <c r="E255" s="30">
        <f>+58</f>
        <v>58</v>
      </c>
    </row>
    <row r="256">
      <c r="A256" s="18">
        <v>242.0</v>
      </c>
      <c r="B256" s="14" t="s">
        <v>1928</v>
      </c>
      <c r="C256" s="18" t="s">
        <v>1933</v>
      </c>
      <c r="D256" s="18">
        <v>9.0</v>
      </c>
      <c r="E256" s="20">
        <f>+23</f>
        <v>23</v>
      </c>
    </row>
    <row r="257">
      <c r="A257" s="10">
        <v>243.0</v>
      </c>
      <c r="B257" s="14" t="s">
        <v>1934</v>
      </c>
      <c r="C257" s="10" t="s">
        <v>1615</v>
      </c>
      <c r="D257" s="10">
        <v>6.0</v>
      </c>
      <c r="E257" s="30">
        <f>+2</f>
        <v>2</v>
      </c>
    </row>
    <row r="258">
      <c r="A258" s="18">
        <v>244.0</v>
      </c>
      <c r="B258" s="14" t="s">
        <v>1942</v>
      </c>
      <c r="C258" s="18" t="s">
        <v>1820</v>
      </c>
      <c r="D258" s="18">
        <v>6.0</v>
      </c>
      <c r="E258" s="19">
        <v>-28.0</v>
      </c>
    </row>
    <row r="259">
      <c r="A259" s="10">
        <v>245.0</v>
      </c>
      <c r="B259" s="14" t="s">
        <v>1947</v>
      </c>
      <c r="C259" s="10" t="s">
        <v>1891</v>
      </c>
      <c r="D259" s="10">
        <v>5.0</v>
      </c>
      <c r="E259" s="17">
        <v>-27.0</v>
      </c>
    </row>
    <row r="260">
      <c r="A260" s="18">
        <v>246.0</v>
      </c>
      <c r="B260" s="14" t="s">
        <v>1953</v>
      </c>
      <c r="C260" s="18" t="s">
        <v>1958</v>
      </c>
      <c r="D260" s="18">
        <v>9.0</v>
      </c>
      <c r="E260" s="19">
        <v>-33.0</v>
      </c>
    </row>
    <row r="261">
      <c r="A261" s="10">
        <v>247.0</v>
      </c>
      <c r="B261" s="14" t="s">
        <v>1960</v>
      </c>
      <c r="C261" s="10" t="s">
        <v>1737</v>
      </c>
      <c r="D261" s="10">
        <v>11.0</v>
      </c>
      <c r="E261" s="17">
        <v>-43.0</v>
      </c>
    </row>
    <row r="262">
      <c r="A262" s="18">
        <v>248.0</v>
      </c>
      <c r="B262" s="14" t="s">
        <v>1970</v>
      </c>
      <c r="C262" s="18" t="s">
        <v>1863</v>
      </c>
      <c r="D262" s="18">
        <v>11.0</v>
      </c>
      <c r="E262" s="19">
        <v>-5.0</v>
      </c>
    </row>
    <row r="263">
      <c r="A263" s="10">
        <v>249.0</v>
      </c>
      <c r="B263" s="14" t="s">
        <v>1978</v>
      </c>
      <c r="C263" s="10" t="s">
        <v>1774</v>
      </c>
      <c r="D263" s="10">
        <v>10.0</v>
      </c>
      <c r="E263" s="30">
        <f>+43</f>
        <v>43</v>
      </c>
    </row>
    <row r="264">
      <c r="A264" s="18">
        <v>250.0</v>
      </c>
      <c r="B264" s="14" t="s">
        <v>1985</v>
      </c>
      <c r="C264" s="18" t="s">
        <v>1991</v>
      </c>
      <c r="D264" s="18">
        <v>11.0</v>
      </c>
      <c r="E264" s="20">
        <f>+29</f>
        <v>29</v>
      </c>
    </row>
    <row r="265">
      <c r="A265" s="10">
        <v>251.0</v>
      </c>
      <c r="B265" s="14" t="s">
        <v>1994</v>
      </c>
      <c r="C265" s="10" t="s">
        <v>1900</v>
      </c>
      <c r="D265" s="10">
        <v>8.0</v>
      </c>
      <c r="E265" s="30">
        <f>+16</f>
        <v>16</v>
      </c>
    </row>
    <row r="266">
      <c r="A266" s="18">
        <v>252.0</v>
      </c>
      <c r="B266" s="14" t="s">
        <v>2000</v>
      </c>
      <c r="C266" s="18" t="s">
        <v>1929</v>
      </c>
      <c r="D266" s="18">
        <v>14.0</v>
      </c>
      <c r="E266" s="19" t="s">
        <v>2006</v>
      </c>
    </row>
    <row r="267">
      <c r="A267" s="22" t="s">
        <v>2008</v>
      </c>
      <c r="B267" s="24"/>
      <c r="E267" s="9" t="s">
        <v>2009</v>
      </c>
    </row>
    <row r="268">
      <c r="A268" s="18">
        <v>253.0</v>
      </c>
      <c r="B268" s="14" t="s">
        <v>2010</v>
      </c>
      <c r="C268" s="18" t="s">
        <v>1937</v>
      </c>
      <c r="D268" s="18">
        <v>13.0</v>
      </c>
      <c r="E268" s="19">
        <v>-21.0</v>
      </c>
    </row>
    <row r="269">
      <c r="A269" s="10">
        <v>254.0</v>
      </c>
      <c r="B269" s="14" t="s">
        <v>2016</v>
      </c>
      <c r="C269" s="10" t="s">
        <v>1781</v>
      </c>
      <c r="D269" s="10">
        <v>10.0</v>
      </c>
      <c r="E269" s="17">
        <v>-59.0</v>
      </c>
    </row>
    <row r="270">
      <c r="A270" s="18">
        <v>255.0</v>
      </c>
      <c r="B270" s="14" t="s">
        <v>2022</v>
      </c>
      <c r="C270" s="18" t="s">
        <v>1976</v>
      </c>
      <c r="D270" s="18">
        <v>8.0</v>
      </c>
      <c r="E270" s="19">
        <v>0.0</v>
      </c>
    </row>
    <row r="271">
      <c r="A271" s="10">
        <v>256.0</v>
      </c>
      <c r="B271" s="14" t="s">
        <v>2027</v>
      </c>
      <c r="C271" s="10" t="s">
        <v>2031</v>
      </c>
      <c r="D271" s="10">
        <v>13.0</v>
      </c>
      <c r="E271" s="30">
        <f>+45</f>
        <v>45</v>
      </c>
    </row>
    <row r="272">
      <c r="A272" s="18">
        <v>257.0</v>
      </c>
      <c r="B272" s="14" t="s">
        <v>2034</v>
      </c>
      <c r="C272" s="18" t="s">
        <v>1995</v>
      </c>
      <c r="D272" s="18">
        <v>13.0</v>
      </c>
      <c r="E272" s="20">
        <f>+76</f>
        <v>76</v>
      </c>
    </row>
    <row r="273">
      <c r="A273" s="10">
        <v>258.0</v>
      </c>
      <c r="B273" s="14" t="s">
        <v>2040</v>
      </c>
      <c r="C273" s="10" t="s">
        <v>2003</v>
      </c>
      <c r="D273" s="10">
        <v>8.0</v>
      </c>
      <c r="E273" s="17">
        <v>-5.0</v>
      </c>
    </row>
    <row r="274">
      <c r="A274" s="18">
        <v>259.0</v>
      </c>
      <c r="B274" s="14" t="s">
        <v>2047</v>
      </c>
      <c r="C274" s="18" t="s">
        <v>1835</v>
      </c>
      <c r="D274" s="18">
        <v>13.0</v>
      </c>
      <c r="E274" s="19">
        <v>-56.0</v>
      </c>
    </row>
    <row r="275">
      <c r="A275" s="10">
        <v>260.0</v>
      </c>
      <c r="B275" s="14" t="s">
        <v>2057</v>
      </c>
      <c r="C275" s="10" t="s">
        <v>2061</v>
      </c>
      <c r="D275" s="10">
        <v>5.0</v>
      </c>
      <c r="E275" s="17" t="s">
        <v>2006</v>
      </c>
    </row>
    <row r="276">
      <c r="A276" s="18">
        <v>261.0</v>
      </c>
      <c r="B276" s="14" t="s">
        <v>2063</v>
      </c>
      <c r="C276" s="18" t="s">
        <v>2069</v>
      </c>
      <c r="D276" s="18">
        <v>13.0</v>
      </c>
      <c r="E276" s="20">
        <f>+32</f>
        <v>32</v>
      </c>
    </row>
    <row r="277">
      <c r="A277" s="10">
        <v>262.0</v>
      </c>
      <c r="B277" s="14" t="s">
        <v>2073</v>
      </c>
      <c r="C277" s="10" t="s">
        <v>2067</v>
      </c>
      <c r="D277" s="10">
        <v>10.0</v>
      </c>
      <c r="E277" s="17">
        <v>-20.0</v>
      </c>
    </row>
    <row r="278">
      <c r="A278" s="18">
        <v>263.0</v>
      </c>
      <c r="B278" s="14" t="s">
        <v>2077</v>
      </c>
      <c r="C278" s="18" t="s">
        <v>2083</v>
      </c>
      <c r="D278" s="18">
        <v>10.0</v>
      </c>
      <c r="E278" s="20">
        <f>+8</f>
        <v>8</v>
      </c>
    </row>
    <row r="279">
      <c r="A279" s="10">
        <v>264.0</v>
      </c>
      <c r="B279" s="14" t="s">
        <v>2085</v>
      </c>
      <c r="C279" s="10" t="s">
        <v>2015</v>
      </c>
      <c r="D279" s="10">
        <v>7.0</v>
      </c>
      <c r="E279" s="17">
        <v>-3.0</v>
      </c>
    </row>
    <row r="280">
      <c r="A280" s="18">
        <v>265.0</v>
      </c>
      <c r="B280" s="14" t="s">
        <v>2091</v>
      </c>
      <c r="C280" s="18" t="s">
        <v>2052</v>
      </c>
      <c r="D280" s="18">
        <v>11.0</v>
      </c>
      <c r="E280" s="20">
        <f>+65</f>
        <v>65</v>
      </c>
    </row>
    <row r="281">
      <c r="A281" s="10">
        <v>266.0</v>
      </c>
      <c r="B281" s="14" t="s">
        <v>2099</v>
      </c>
      <c r="C281" s="10" t="s">
        <v>2094</v>
      </c>
      <c r="D281" s="10">
        <v>13.0</v>
      </c>
      <c r="E281" s="30">
        <f>+56</f>
        <v>56</v>
      </c>
    </row>
    <row r="282">
      <c r="A282" s="18">
        <v>267.0</v>
      </c>
      <c r="B282" s="14" t="s">
        <v>2106</v>
      </c>
      <c r="C282" s="18" t="s">
        <v>2112</v>
      </c>
      <c r="D282" s="18">
        <v>8.0</v>
      </c>
      <c r="E282" s="20">
        <f>+13</f>
        <v>13</v>
      </c>
    </row>
    <row r="283">
      <c r="A283" s="10">
        <v>268.0</v>
      </c>
      <c r="B283" s="14" t="s">
        <v>2114</v>
      </c>
      <c r="C283" s="10" t="s">
        <v>1842</v>
      </c>
      <c r="D283" s="10">
        <v>11.0</v>
      </c>
      <c r="E283" s="17">
        <v>-34.0</v>
      </c>
    </row>
    <row r="284">
      <c r="A284" s="18">
        <v>269.0</v>
      </c>
      <c r="B284" s="14" t="s">
        <v>2120</v>
      </c>
      <c r="C284" s="18" t="s">
        <v>2125</v>
      </c>
      <c r="D284" s="18">
        <v>8.0</v>
      </c>
      <c r="E284" s="19" t="s">
        <v>2006</v>
      </c>
    </row>
    <row r="285">
      <c r="A285" s="10">
        <v>270.0</v>
      </c>
      <c r="B285" s="14" t="s">
        <v>2127</v>
      </c>
      <c r="C285" s="10" t="s">
        <v>1913</v>
      </c>
      <c r="D285" s="10">
        <v>8.0</v>
      </c>
      <c r="E285" s="17">
        <v>-45.0</v>
      </c>
    </row>
    <row r="286">
      <c r="A286" s="18">
        <v>271.0</v>
      </c>
      <c r="B286" s="14" t="s">
        <v>2136</v>
      </c>
      <c r="C286" s="18" t="s">
        <v>2115</v>
      </c>
      <c r="D286" s="18">
        <v>14.0</v>
      </c>
      <c r="E286" s="19">
        <v>-65.0</v>
      </c>
    </row>
    <row r="287">
      <c r="A287" s="10">
        <v>272.0</v>
      </c>
      <c r="B287" s="14" t="s">
        <v>2142</v>
      </c>
      <c r="C287" s="10" t="s">
        <v>2148</v>
      </c>
      <c r="D287" s="10">
        <v>6.0</v>
      </c>
      <c r="E287" s="30">
        <f>+22</f>
        <v>22</v>
      </c>
    </row>
    <row r="288">
      <c r="A288" s="18">
        <v>273.0</v>
      </c>
      <c r="B288" s="14" t="s">
        <v>2149</v>
      </c>
      <c r="C288" s="18" t="s">
        <v>2154</v>
      </c>
      <c r="D288" s="18">
        <v>8.0</v>
      </c>
      <c r="E288" s="19">
        <v>-46.0</v>
      </c>
    </row>
    <row r="289">
      <c r="A289" s="10">
        <v>274.0</v>
      </c>
      <c r="B289" s="14" t="s">
        <v>2156</v>
      </c>
      <c r="C289" s="10" t="s">
        <v>2162</v>
      </c>
      <c r="D289" s="10">
        <v>8.0</v>
      </c>
      <c r="E289" s="17">
        <v>-46.0</v>
      </c>
    </row>
    <row r="290">
      <c r="A290" s="18">
        <v>275.0</v>
      </c>
      <c r="B290" s="14" t="s">
        <v>2163</v>
      </c>
      <c r="C290" s="18" t="s">
        <v>2137</v>
      </c>
      <c r="D290" s="18">
        <v>6.0</v>
      </c>
      <c r="E290" s="20">
        <f>+34</f>
        <v>34</v>
      </c>
    </row>
    <row r="291">
      <c r="A291" s="10">
        <v>276.0</v>
      </c>
      <c r="B291" s="14" t="s">
        <v>2173</v>
      </c>
      <c r="C291" s="10" t="s">
        <v>1986</v>
      </c>
      <c r="D291" s="10">
        <v>13.0</v>
      </c>
      <c r="E291" s="17">
        <v>-56.0</v>
      </c>
    </row>
    <row r="292">
      <c r="A292" s="18">
        <v>277.0</v>
      </c>
      <c r="B292" s="14" t="s">
        <v>2182</v>
      </c>
      <c r="C292" s="18" t="s">
        <v>2188</v>
      </c>
      <c r="D292" s="18">
        <v>10.0</v>
      </c>
      <c r="E292" s="20">
        <f>+10</f>
        <v>10</v>
      </c>
    </row>
    <row r="293">
      <c r="A293" s="10">
        <v>278.0</v>
      </c>
      <c r="B293" s="14" t="s">
        <v>2192</v>
      </c>
      <c r="C293" s="10" t="s">
        <v>2202</v>
      </c>
      <c r="D293" s="10">
        <v>6.0</v>
      </c>
      <c r="E293" s="17">
        <v>-39.0</v>
      </c>
    </row>
    <row r="294">
      <c r="A294" s="18">
        <v>279.0</v>
      </c>
      <c r="B294" s="14" t="s">
        <v>2203</v>
      </c>
      <c r="C294" s="18" t="s">
        <v>2130</v>
      </c>
      <c r="D294" s="18">
        <v>8.0</v>
      </c>
      <c r="E294" s="19">
        <v>-5.0</v>
      </c>
    </row>
    <row r="295">
      <c r="A295" s="10">
        <v>280.0</v>
      </c>
      <c r="B295" s="14" t="s">
        <v>2211</v>
      </c>
      <c r="C295" s="10" t="s">
        <v>2145</v>
      </c>
      <c r="D295" s="10">
        <v>11.0</v>
      </c>
      <c r="E295" s="30">
        <f>+28</f>
        <v>28</v>
      </c>
    </row>
    <row r="296">
      <c r="A296" s="18">
        <v>281.0</v>
      </c>
      <c r="B296" s="14" t="s">
        <v>2220</v>
      </c>
      <c r="C296" s="18" t="s">
        <v>2224</v>
      </c>
      <c r="D296" s="18">
        <v>5.0</v>
      </c>
      <c r="E296" s="19" t="s">
        <v>2006</v>
      </c>
    </row>
    <row r="297">
      <c r="A297" s="10">
        <v>282.0</v>
      </c>
      <c r="B297" s="14" t="s">
        <v>2226</v>
      </c>
      <c r="C297" s="10" t="s">
        <v>2208</v>
      </c>
      <c r="D297" s="10">
        <v>9.0</v>
      </c>
      <c r="E297" s="17">
        <v>-34.0</v>
      </c>
    </row>
    <row r="298">
      <c r="A298" s="18">
        <v>283.0</v>
      </c>
      <c r="B298" s="14" t="s">
        <v>2234</v>
      </c>
      <c r="C298" s="18" t="s">
        <v>2241</v>
      </c>
      <c r="D298" s="18">
        <v>8.0</v>
      </c>
      <c r="E298" s="20">
        <f>+12</f>
        <v>12</v>
      </c>
    </row>
    <row r="299">
      <c r="A299" s="10">
        <v>284.0</v>
      </c>
      <c r="B299" s="14" t="s">
        <v>2244</v>
      </c>
      <c r="C299" s="10" t="s">
        <v>2232</v>
      </c>
      <c r="D299" s="10">
        <v>5.0</v>
      </c>
      <c r="E299" s="30">
        <f>+51</f>
        <v>51</v>
      </c>
    </row>
    <row r="300">
      <c r="A300" s="18">
        <v>285.0</v>
      </c>
      <c r="B300" s="14" t="s">
        <v>2252</v>
      </c>
      <c r="C300" s="18" t="s">
        <v>2258</v>
      </c>
      <c r="D300" s="18">
        <v>8.0</v>
      </c>
      <c r="E300" s="19" t="s">
        <v>2006</v>
      </c>
    </row>
    <row r="301">
      <c r="A301" s="10">
        <v>286.0</v>
      </c>
      <c r="B301" s="14" t="s">
        <v>2260</v>
      </c>
      <c r="C301" s="10" t="s">
        <v>2240</v>
      </c>
      <c r="D301" s="10">
        <v>8.0</v>
      </c>
      <c r="E301" s="17">
        <v>-16.0</v>
      </c>
    </row>
    <row r="302">
      <c r="A302" s="18">
        <v>287.0</v>
      </c>
      <c r="B302" s="14" t="s">
        <v>2269</v>
      </c>
      <c r="C302" s="18" t="s">
        <v>2265</v>
      </c>
      <c r="D302" s="18">
        <v>8.0</v>
      </c>
      <c r="E302" s="19">
        <v>-1.0</v>
      </c>
    </row>
    <row r="303">
      <c r="A303" s="10">
        <v>288.0</v>
      </c>
      <c r="B303" s="14" t="s">
        <v>2275</v>
      </c>
      <c r="C303" s="10" t="s">
        <v>1850</v>
      </c>
      <c r="D303" s="10">
        <v>11.0</v>
      </c>
      <c r="E303" s="17">
        <v>-52.0</v>
      </c>
    </row>
    <row r="304">
      <c r="A304" s="18">
        <v>289.0</v>
      </c>
      <c r="B304" s="14" t="s">
        <v>2281</v>
      </c>
      <c r="C304" s="18" t="s">
        <v>2288</v>
      </c>
      <c r="D304" s="18">
        <v>10.0</v>
      </c>
      <c r="E304" s="19" t="s">
        <v>2006</v>
      </c>
    </row>
    <row r="305">
      <c r="A305" s="10">
        <v>290.0</v>
      </c>
      <c r="B305" s="14" t="s">
        <v>2290</v>
      </c>
      <c r="C305" s="10" t="s">
        <v>2296</v>
      </c>
      <c r="D305" s="10">
        <v>11.0</v>
      </c>
      <c r="E305" s="17">
        <v>0.0</v>
      </c>
    </row>
    <row r="306">
      <c r="A306" s="18">
        <v>291.0</v>
      </c>
      <c r="B306" s="14" t="s">
        <v>2298</v>
      </c>
      <c r="C306" s="18" t="s">
        <v>2304</v>
      </c>
      <c r="D306" s="18">
        <v>13.0</v>
      </c>
      <c r="E306" s="20">
        <f>+45</f>
        <v>45</v>
      </c>
    </row>
    <row r="307">
      <c r="A307" s="10">
        <v>292.0</v>
      </c>
      <c r="B307" s="14" t="s">
        <v>2308</v>
      </c>
      <c r="C307" s="10" t="s">
        <v>1878</v>
      </c>
      <c r="D307" s="10">
        <v>11.0</v>
      </c>
      <c r="E307" s="17">
        <v>-24.0</v>
      </c>
    </row>
    <row r="308">
      <c r="A308" s="18">
        <v>293.0</v>
      </c>
      <c r="B308" s="14" t="s">
        <v>2315</v>
      </c>
      <c r="C308" s="18" t="s">
        <v>2320</v>
      </c>
      <c r="D308" s="18">
        <v>6.0</v>
      </c>
      <c r="E308" s="20">
        <f>+4</f>
        <v>4</v>
      </c>
    </row>
    <row r="309">
      <c r="A309" s="10">
        <v>294.0</v>
      </c>
      <c r="B309" s="14" t="s">
        <v>2323</v>
      </c>
      <c r="C309" s="10" t="s">
        <v>2327</v>
      </c>
      <c r="D309" s="10">
        <v>7.0</v>
      </c>
      <c r="E309" s="17">
        <v>-16.0</v>
      </c>
    </row>
    <row r="310">
      <c r="A310" s="18">
        <v>295.0</v>
      </c>
      <c r="B310" s="14" t="s">
        <v>2329</v>
      </c>
      <c r="C310" s="18" t="s">
        <v>2335</v>
      </c>
      <c r="D310" s="18" t="s">
        <v>2006</v>
      </c>
      <c r="E310" s="19">
        <v>-102.0</v>
      </c>
    </row>
    <row r="311">
      <c r="A311" s="10">
        <v>296.0</v>
      </c>
      <c r="B311" s="14" t="s">
        <v>2336</v>
      </c>
      <c r="C311" s="10" t="s">
        <v>1956</v>
      </c>
      <c r="D311" s="10">
        <v>13.0</v>
      </c>
      <c r="E311" s="17">
        <v>-45.0</v>
      </c>
    </row>
    <row r="312">
      <c r="A312" s="18">
        <v>297.0</v>
      </c>
      <c r="B312" s="14" t="s">
        <v>2345</v>
      </c>
      <c r="C312" s="18" t="s">
        <v>2351</v>
      </c>
      <c r="D312" s="18">
        <v>13.0</v>
      </c>
      <c r="E312" s="19">
        <v>-67.0</v>
      </c>
    </row>
    <row r="313">
      <c r="A313" s="10">
        <v>298.0</v>
      </c>
      <c r="B313" s="14" t="s">
        <v>2354</v>
      </c>
      <c r="C313" s="10" t="s">
        <v>2043</v>
      </c>
      <c r="D313" s="10">
        <v>11.0</v>
      </c>
      <c r="E313" s="17">
        <v>-58.0</v>
      </c>
    </row>
    <row r="314">
      <c r="A314" s="18">
        <v>299.0</v>
      </c>
      <c r="B314" s="14" t="s">
        <v>2360</v>
      </c>
      <c r="C314" s="18" t="s">
        <v>2365</v>
      </c>
      <c r="D314" s="18">
        <v>11.0</v>
      </c>
      <c r="E314" s="19" t="s">
        <v>2006</v>
      </c>
    </row>
    <row r="315">
      <c r="A315" s="10">
        <v>300.0</v>
      </c>
      <c r="B315" s="14" t="s">
        <v>2366</v>
      </c>
      <c r="C315" s="10" t="s">
        <v>2374</v>
      </c>
      <c r="D315" s="10">
        <v>7.0</v>
      </c>
      <c r="E315" s="17">
        <v>-11.0</v>
      </c>
    </row>
    <row r="316">
      <c r="A316" s="18">
        <v>301.0</v>
      </c>
      <c r="B316" s="14" t="s">
        <v>2376</v>
      </c>
      <c r="C316" s="18" t="s">
        <v>2383</v>
      </c>
      <c r="D316" s="18">
        <v>13.0</v>
      </c>
      <c r="E316" s="20">
        <f>+36</f>
        <v>36</v>
      </c>
    </row>
    <row r="317">
      <c r="A317" s="10">
        <v>302.0</v>
      </c>
      <c r="B317" s="14" t="s">
        <v>2386</v>
      </c>
      <c r="C317" s="10" t="s">
        <v>2157</v>
      </c>
      <c r="D317" s="10">
        <v>8.0</v>
      </c>
      <c r="E317" s="30">
        <f>+16</f>
        <v>16</v>
      </c>
    </row>
    <row r="318">
      <c r="A318" s="18">
        <v>303.0</v>
      </c>
      <c r="B318" s="14" t="s">
        <v>2394</v>
      </c>
      <c r="C318" s="18" t="s">
        <v>2400</v>
      </c>
      <c r="D318" s="18">
        <v>7.0</v>
      </c>
      <c r="E318" s="20">
        <f>+13</f>
        <v>13</v>
      </c>
    </row>
    <row r="319">
      <c r="A319" s="10">
        <v>304.0</v>
      </c>
      <c r="B319" s="14" t="s">
        <v>2405</v>
      </c>
      <c r="C319" s="10" t="s">
        <v>2409</v>
      </c>
      <c r="D319" s="10">
        <v>7.0</v>
      </c>
      <c r="E319" s="30">
        <f>+10</f>
        <v>10</v>
      </c>
    </row>
    <row r="320">
      <c r="A320" s="18">
        <v>305.0</v>
      </c>
      <c r="B320" s="14" t="s">
        <v>2413</v>
      </c>
      <c r="C320" s="18" t="s">
        <v>2420</v>
      </c>
      <c r="D320" s="18">
        <v>7.0</v>
      </c>
      <c r="E320" s="19">
        <v>-49.0</v>
      </c>
    </row>
    <row r="321">
      <c r="A321" s="10">
        <v>306.0</v>
      </c>
      <c r="B321" s="14" t="s">
        <v>2423</v>
      </c>
      <c r="C321" s="10" t="s">
        <v>2428</v>
      </c>
      <c r="D321" s="10">
        <v>5.0</v>
      </c>
      <c r="E321" s="17">
        <v>-33.0</v>
      </c>
    </row>
    <row r="322">
      <c r="A322" s="18">
        <v>307.0</v>
      </c>
      <c r="B322" s="14" t="s">
        <v>2431</v>
      </c>
      <c r="C322" s="18" t="s">
        <v>2437</v>
      </c>
      <c r="D322" s="18">
        <v>11.0</v>
      </c>
      <c r="E322" s="19" t="s">
        <v>2006</v>
      </c>
    </row>
    <row r="323">
      <c r="A323" s="10">
        <v>308.0</v>
      </c>
      <c r="B323" s="14" t="s">
        <v>2439</v>
      </c>
      <c r="C323" s="10" t="s">
        <v>2388</v>
      </c>
      <c r="D323" s="10">
        <v>8.0</v>
      </c>
      <c r="E323" s="17">
        <v>-82.0</v>
      </c>
    </row>
    <row r="324">
      <c r="A324" s="18">
        <v>309.0</v>
      </c>
      <c r="B324" s="14" t="s">
        <v>2446</v>
      </c>
      <c r="C324" s="18" t="s">
        <v>2455</v>
      </c>
      <c r="D324" s="18">
        <v>5.0</v>
      </c>
      <c r="E324" s="19" t="s">
        <v>2006</v>
      </c>
    </row>
    <row r="325">
      <c r="A325" s="10">
        <v>310.0</v>
      </c>
      <c r="B325" s="14" t="s">
        <v>2456</v>
      </c>
      <c r="C325" s="10" t="s">
        <v>2370</v>
      </c>
      <c r="D325" s="10">
        <v>8.0</v>
      </c>
      <c r="E325" s="30">
        <f>+11</f>
        <v>11</v>
      </c>
    </row>
    <row r="326">
      <c r="A326" s="7" t="s">
        <v>2463</v>
      </c>
      <c r="B326" s="8"/>
      <c r="E326" s="9" t="s">
        <v>2465</v>
      </c>
    </row>
    <row r="327">
      <c r="A327" s="10">
        <v>311.0</v>
      </c>
      <c r="B327" s="14" t="s">
        <v>2467</v>
      </c>
      <c r="C327" s="10" t="s">
        <v>2338</v>
      </c>
      <c r="D327" s="10">
        <v>13.0</v>
      </c>
      <c r="E327" s="17">
        <v>-5.0</v>
      </c>
    </row>
    <row r="328">
      <c r="A328" s="18">
        <v>312.0</v>
      </c>
      <c r="B328" s="14" t="s">
        <v>2473</v>
      </c>
      <c r="C328" s="18" t="s">
        <v>2404</v>
      </c>
      <c r="D328" s="18">
        <v>10.0</v>
      </c>
      <c r="E328" s="19">
        <v>-36.0</v>
      </c>
    </row>
    <row r="329">
      <c r="A329" s="10">
        <v>313.0</v>
      </c>
      <c r="B329" s="14" t="s">
        <v>2481</v>
      </c>
      <c r="C329" s="10" t="s">
        <v>2486</v>
      </c>
      <c r="D329" s="10">
        <v>8.0</v>
      </c>
      <c r="E329" s="17" t="s">
        <v>2006</v>
      </c>
    </row>
    <row r="330">
      <c r="A330" s="18">
        <v>314.0</v>
      </c>
      <c r="B330" s="14" t="s">
        <v>2489</v>
      </c>
      <c r="C330" s="18" t="s">
        <v>2494</v>
      </c>
      <c r="D330" s="18">
        <v>6.0</v>
      </c>
      <c r="E330" s="19" t="s">
        <v>2006</v>
      </c>
    </row>
    <row r="331">
      <c r="A331" s="10">
        <v>315.0</v>
      </c>
      <c r="B331" s="14" t="s">
        <v>2496</v>
      </c>
      <c r="C331" s="10" t="s">
        <v>2502</v>
      </c>
      <c r="D331" s="10">
        <v>6.0</v>
      </c>
      <c r="E331" s="17" t="s">
        <v>2006</v>
      </c>
    </row>
    <row r="332">
      <c r="A332" s="18">
        <v>316.0</v>
      </c>
      <c r="B332" s="14" t="s">
        <v>2504</v>
      </c>
      <c r="C332" s="18" t="s">
        <v>2396</v>
      </c>
      <c r="D332" s="18">
        <v>9.0</v>
      </c>
      <c r="E332" s="19" t="s">
        <v>2006</v>
      </c>
    </row>
    <row r="333">
      <c r="A333" s="10">
        <v>317.0</v>
      </c>
      <c r="B333" s="14" t="s">
        <v>2512</v>
      </c>
      <c r="C333" s="10" t="s">
        <v>2520</v>
      </c>
      <c r="D333" s="10">
        <v>5.0</v>
      </c>
      <c r="E333" s="30">
        <f>+9</f>
        <v>9</v>
      </c>
    </row>
    <row r="334">
      <c r="A334" s="18">
        <v>318.0</v>
      </c>
      <c r="B334" s="14" t="s">
        <v>2522</v>
      </c>
      <c r="C334" s="18" t="s">
        <v>2528</v>
      </c>
      <c r="D334" s="18">
        <v>11.0</v>
      </c>
      <c r="E334" s="19">
        <v>-33.0</v>
      </c>
    </row>
    <row r="335">
      <c r="A335" s="10">
        <v>319.0</v>
      </c>
      <c r="B335" s="14" t="s">
        <v>2529</v>
      </c>
      <c r="C335" s="10" t="s">
        <v>2536</v>
      </c>
      <c r="D335" s="10">
        <v>10.0</v>
      </c>
      <c r="E335" s="17" t="s">
        <v>2006</v>
      </c>
    </row>
    <row r="336">
      <c r="A336" s="18">
        <v>320.0</v>
      </c>
      <c r="B336" s="14" t="s">
        <v>2537</v>
      </c>
      <c r="C336" s="18" t="s">
        <v>2543</v>
      </c>
      <c r="D336" s="18">
        <v>6.0</v>
      </c>
      <c r="E336" s="19">
        <v>-20.0</v>
      </c>
    </row>
    <row r="337">
      <c r="A337" s="10">
        <v>321.0</v>
      </c>
      <c r="B337" s="14" t="s">
        <v>2545</v>
      </c>
      <c r="C337" s="10" t="s">
        <v>2551</v>
      </c>
      <c r="D337" s="10">
        <v>8.0</v>
      </c>
      <c r="E337" s="17">
        <v>-39.0</v>
      </c>
    </row>
    <row r="338">
      <c r="A338" s="18">
        <v>322.0</v>
      </c>
      <c r="B338" s="14" t="s">
        <v>2554</v>
      </c>
      <c r="C338" s="18" t="s">
        <v>2560</v>
      </c>
      <c r="D338" s="18" t="s">
        <v>2006</v>
      </c>
      <c r="E338" s="19">
        <v>-75.0</v>
      </c>
    </row>
    <row r="339">
      <c r="A339" s="10">
        <v>323.0</v>
      </c>
      <c r="B339" s="14" t="s">
        <v>2561</v>
      </c>
      <c r="C339" s="10" t="s">
        <v>2567</v>
      </c>
      <c r="D339" s="10">
        <v>5.0</v>
      </c>
      <c r="E339" s="17">
        <v>-20.0</v>
      </c>
    </row>
    <row r="340">
      <c r="A340" s="18">
        <v>324.0</v>
      </c>
      <c r="B340" s="14" t="s">
        <v>2570</v>
      </c>
      <c r="C340" s="18" t="s">
        <v>2573</v>
      </c>
      <c r="D340" s="18">
        <v>7.0</v>
      </c>
      <c r="E340" s="19" t="s">
        <v>2006</v>
      </c>
    </row>
    <row r="341">
      <c r="A341" s="10">
        <v>325.0</v>
      </c>
      <c r="B341" s="14" t="s">
        <v>2574</v>
      </c>
      <c r="C341" s="10" t="s">
        <v>2578</v>
      </c>
      <c r="D341" s="10">
        <v>11.0</v>
      </c>
      <c r="E341" s="17" t="s">
        <v>2006</v>
      </c>
    </row>
    <row r="342">
      <c r="A342" s="18">
        <v>326.0</v>
      </c>
      <c r="B342" s="14" t="s">
        <v>2579</v>
      </c>
      <c r="C342" s="18" t="s">
        <v>2583</v>
      </c>
      <c r="D342" s="18">
        <v>10.0</v>
      </c>
      <c r="E342" s="19" t="s">
        <v>2006</v>
      </c>
    </row>
    <row r="343">
      <c r="A343" s="10">
        <v>327.0</v>
      </c>
      <c r="B343" s="14" t="s">
        <v>2585</v>
      </c>
      <c r="C343" s="10" t="s">
        <v>2589</v>
      </c>
      <c r="D343" s="10">
        <v>10.0</v>
      </c>
      <c r="E343" s="17" t="s">
        <v>2006</v>
      </c>
    </row>
    <row r="344">
      <c r="A344" s="18">
        <v>328.0</v>
      </c>
      <c r="B344" s="14" t="s">
        <v>2590</v>
      </c>
      <c r="C344" s="18" t="s">
        <v>2595</v>
      </c>
      <c r="D344" s="18" t="s">
        <v>2006</v>
      </c>
      <c r="E344" s="19">
        <v>-32.0</v>
      </c>
    </row>
    <row r="345">
      <c r="A345" s="10">
        <v>329.0</v>
      </c>
      <c r="B345" s="14" t="s">
        <v>2596</v>
      </c>
      <c r="C345" s="10" t="s">
        <v>2588</v>
      </c>
      <c r="D345" s="10">
        <v>11.0</v>
      </c>
      <c r="E345" s="17">
        <v>-25.0</v>
      </c>
    </row>
    <row r="346">
      <c r="A346" s="18">
        <v>330.0</v>
      </c>
      <c r="B346" s="14" t="s">
        <v>2602</v>
      </c>
      <c r="C346" s="18" t="s">
        <v>2605</v>
      </c>
      <c r="D346" s="18">
        <v>6.0</v>
      </c>
      <c r="E346" s="19">
        <v>-55.0</v>
      </c>
    </row>
    <row r="347">
      <c r="A347" s="10">
        <v>331.0</v>
      </c>
      <c r="B347" s="14" t="s">
        <v>2606</v>
      </c>
      <c r="C347" s="10" t="s">
        <v>2610</v>
      </c>
      <c r="D347" s="10">
        <v>11.0</v>
      </c>
      <c r="E347" s="17" t="s">
        <v>2006</v>
      </c>
    </row>
    <row r="348">
      <c r="A348" s="18">
        <v>332.0</v>
      </c>
      <c r="B348" s="14" t="s">
        <v>2612</v>
      </c>
      <c r="C348" s="18" t="s">
        <v>2616</v>
      </c>
      <c r="D348" s="18">
        <v>11.0</v>
      </c>
      <c r="E348" s="19" t="s">
        <v>2006</v>
      </c>
    </row>
    <row r="349">
      <c r="A349" s="10">
        <v>333.0</v>
      </c>
      <c r="B349" s="14" t="s">
        <v>2617</v>
      </c>
      <c r="C349" s="10" t="s">
        <v>2087</v>
      </c>
      <c r="D349" s="10">
        <v>6.0</v>
      </c>
      <c r="E349" s="17">
        <v>-73.0</v>
      </c>
    </row>
    <row r="350">
      <c r="A350" s="18">
        <v>334.0</v>
      </c>
      <c r="B350" s="14" t="s">
        <v>2621</v>
      </c>
      <c r="C350" s="18" t="s">
        <v>2625</v>
      </c>
      <c r="D350" s="18">
        <v>8.0</v>
      </c>
      <c r="E350" s="19" t="s">
        <v>2006</v>
      </c>
    </row>
    <row r="351">
      <c r="A351" s="10">
        <v>335.0</v>
      </c>
      <c r="B351" s="14" t="s">
        <v>2628</v>
      </c>
      <c r="C351" s="10" t="s">
        <v>2631</v>
      </c>
      <c r="D351" s="10">
        <v>11.0</v>
      </c>
      <c r="E351" s="17">
        <v>-23.0</v>
      </c>
    </row>
    <row r="352">
      <c r="A352" s="18">
        <v>336.0</v>
      </c>
      <c r="B352" s="14" t="s">
        <v>2632</v>
      </c>
      <c r="C352" s="18" t="s">
        <v>2635</v>
      </c>
      <c r="D352" s="18">
        <v>5.0</v>
      </c>
      <c r="E352" s="19" t="s">
        <v>2006</v>
      </c>
    </row>
    <row r="353">
      <c r="A353" s="10">
        <v>337.0</v>
      </c>
      <c r="B353" s="14" t="s">
        <v>2636</v>
      </c>
      <c r="C353" s="10" t="s">
        <v>2639</v>
      </c>
      <c r="D353" s="10">
        <v>11.0</v>
      </c>
      <c r="E353" s="17" t="s">
        <v>2006</v>
      </c>
    </row>
    <row r="354">
      <c r="A354" s="18">
        <v>338.0</v>
      </c>
      <c r="B354" s="14" t="s">
        <v>2641</v>
      </c>
      <c r="C354" s="18" t="s">
        <v>2644</v>
      </c>
      <c r="D354" s="18">
        <v>5.0</v>
      </c>
      <c r="E354" s="19" t="s">
        <v>2006</v>
      </c>
    </row>
    <row r="355">
      <c r="A355" s="10">
        <v>339.0</v>
      </c>
      <c r="B355" s="14" t="s">
        <v>2645</v>
      </c>
      <c r="C355" s="10" t="s">
        <v>2649</v>
      </c>
      <c r="D355" s="10">
        <v>10.0</v>
      </c>
      <c r="E355" s="17" t="s">
        <v>2006</v>
      </c>
    </row>
    <row r="356">
      <c r="A356" s="18">
        <v>340.0</v>
      </c>
      <c r="B356" s="14" t="s">
        <v>2650</v>
      </c>
      <c r="C356" s="18" t="s">
        <v>2653</v>
      </c>
      <c r="D356" s="18">
        <v>13.0</v>
      </c>
      <c r="E356" s="19">
        <v>-11.0</v>
      </c>
    </row>
    <row r="357">
      <c r="A357" s="10">
        <v>341.0</v>
      </c>
      <c r="B357" s="14" t="s">
        <v>2655</v>
      </c>
      <c r="C357" s="10" t="s">
        <v>2659</v>
      </c>
      <c r="D357" s="10">
        <v>11.0</v>
      </c>
      <c r="E357" s="17" t="s">
        <v>2006</v>
      </c>
    </row>
    <row r="358">
      <c r="A358" s="18">
        <v>342.0</v>
      </c>
      <c r="B358" s="14" t="s">
        <v>2660</v>
      </c>
      <c r="C358" s="18" t="s">
        <v>2664</v>
      </c>
      <c r="D358" s="18">
        <v>11.0</v>
      </c>
      <c r="E358" s="19" t="s">
        <v>2006</v>
      </c>
    </row>
    <row r="359">
      <c r="A359" s="10">
        <v>343.0</v>
      </c>
      <c r="B359" s="14" t="s">
        <v>2665</v>
      </c>
      <c r="C359" s="10" t="s">
        <v>2669</v>
      </c>
      <c r="D359" s="10">
        <v>7.0</v>
      </c>
      <c r="E359" s="17" t="s">
        <v>2006</v>
      </c>
    </row>
    <row r="360">
      <c r="A360" s="18">
        <v>344.0</v>
      </c>
      <c r="B360" s="14" t="s">
        <v>2670</v>
      </c>
      <c r="C360" s="18" t="s">
        <v>2676</v>
      </c>
      <c r="D360" s="18">
        <v>5.0</v>
      </c>
      <c r="E360" s="19" t="s">
        <v>2006</v>
      </c>
    </row>
    <row r="361">
      <c r="A361" s="10">
        <v>345.0</v>
      </c>
      <c r="B361" s="14" t="s">
        <v>2678</v>
      </c>
      <c r="C361" s="10" t="s">
        <v>2682</v>
      </c>
      <c r="D361" s="10">
        <v>7.0</v>
      </c>
      <c r="E361" s="17" t="s">
        <v>2006</v>
      </c>
    </row>
    <row r="362">
      <c r="A362" s="18">
        <v>346.0</v>
      </c>
      <c r="B362" s="14" t="s">
        <v>2684</v>
      </c>
      <c r="C362" s="18" t="s">
        <v>2687</v>
      </c>
      <c r="D362" s="18">
        <v>7.0</v>
      </c>
      <c r="E362" s="19" t="s">
        <v>2006</v>
      </c>
    </row>
    <row r="363">
      <c r="A363" s="10">
        <v>347.0</v>
      </c>
      <c r="B363" s="14" t="s">
        <v>2689</v>
      </c>
      <c r="C363" s="10" t="s">
        <v>2692</v>
      </c>
      <c r="D363" s="10">
        <v>14.0</v>
      </c>
      <c r="E363" s="17" t="s">
        <v>2006</v>
      </c>
    </row>
    <row r="364">
      <c r="A364" s="18">
        <v>348.0</v>
      </c>
      <c r="B364" s="14" t="s">
        <v>2693</v>
      </c>
      <c r="C364" s="18" t="s">
        <v>2421</v>
      </c>
      <c r="D364" s="18">
        <v>14.0</v>
      </c>
      <c r="E364" s="19">
        <v>-99.0</v>
      </c>
    </row>
    <row r="365">
      <c r="A365" s="10">
        <v>349.0</v>
      </c>
      <c r="B365" s="14" t="s">
        <v>2697</v>
      </c>
      <c r="C365" s="10" t="s">
        <v>2440</v>
      </c>
      <c r="D365" s="10">
        <v>5.0</v>
      </c>
      <c r="E365" s="17">
        <v>-36.0</v>
      </c>
    </row>
    <row r="366">
      <c r="A366" s="18">
        <v>350.0</v>
      </c>
      <c r="B366" s="14" t="s">
        <v>2700</v>
      </c>
      <c r="C366" s="18" t="s">
        <v>2447</v>
      </c>
      <c r="D366" s="18">
        <v>10.0</v>
      </c>
      <c r="E366" s="19">
        <v>-48.0</v>
      </c>
    </row>
    <row r="367">
      <c r="A367" s="10">
        <v>351.0</v>
      </c>
      <c r="B367" s="14" t="s">
        <v>2704</v>
      </c>
      <c r="C367" s="10" t="s">
        <v>2706</v>
      </c>
      <c r="D367" s="10">
        <v>9.0</v>
      </c>
      <c r="E367" s="17" t="s">
        <v>2006</v>
      </c>
    </row>
    <row r="368">
      <c r="A368" s="18">
        <v>352.0</v>
      </c>
      <c r="B368" s="14" t="s">
        <v>2708</v>
      </c>
      <c r="C368" s="18" t="s">
        <v>2101</v>
      </c>
      <c r="D368" s="18">
        <v>14.0</v>
      </c>
      <c r="E368" s="19">
        <v>-86.0</v>
      </c>
    </row>
    <row r="369">
      <c r="A369" s="10">
        <v>353.0</v>
      </c>
      <c r="B369" s="14" t="s">
        <v>2712</v>
      </c>
      <c r="C369" s="10" t="s">
        <v>2717</v>
      </c>
      <c r="D369" s="10">
        <v>14.0</v>
      </c>
      <c r="E369" s="17" t="s">
        <v>2006</v>
      </c>
    </row>
    <row r="370">
      <c r="A370" s="18">
        <v>354.0</v>
      </c>
      <c r="B370" s="14" t="s">
        <v>2718</v>
      </c>
      <c r="C370" s="18" t="s">
        <v>2722</v>
      </c>
      <c r="D370" s="18">
        <v>7.0</v>
      </c>
      <c r="E370" s="19">
        <v>-20.0</v>
      </c>
    </row>
    <row r="371">
      <c r="A371" s="10">
        <v>355.0</v>
      </c>
      <c r="B371" s="14" t="s">
        <v>2723</v>
      </c>
      <c r="C371" s="10" t="s">
        <v>2726</v>
      </c>
      <c r="D371" s="10">
        <v>8.0</v>
      </c>
      <c r="E371" s="17" t="s">
        <v>2006</v>
      </c>
    </row>
    <row r="372">
      <c r="A372" s="18">
        <v>356.0</v>
      </c>
      <c r="B372" s="14" t="s">
        <v>2727</v>
      </c>
      <c r="C372" s="18" t="s">
        <v>2731</v>
      </c>
      <c r="D372" s="18">
        <v>9.0</v>
      </c>
      <c r="E372" s="19" t="s">
        <v>2006</v>
      </c>
    </row>
    <row r="373">
      <c r="A373" s="10">
        <v>357.0</v>
      </c>
      <c r="B373" s="14" t="s">
        <v>2732</v>
      </c>
      <c r="C373" s="10" t="s">
        <v>2196</v>
      </c>
      <c r="D373" s="10">
        <v>8.0</v>
      </c>
      <c r="E373" s="17" t="s">
        <v>2006</v>
      </c>
    </row>
    <row r="374">
      <c r="A374" s="7" t="s">
        <v>2735</v>
      </c>
      <c r="B374" s="8"/>
      <c r="E374" s="9" t="s">
        <v>2737</v>
      </c>
    </row>
    <row r="375">
      <c r="A375" s="10">
        <v>358.0</v>
      </c>
      <c r="B375" s="14" t="s">
        <v>2738</v>
      </c>
      <c r="C375" s="10" t="s">
        <v>2741</v>
      </c>
      <c r="D375" s="10">
        <v>6.0</v>
      </c>
      <c r="E375" s="17" t="s">
        <v>2006</v>
      </c>
    </row>
    <row r="376">
      <c r="A376" s="18">
        <v>359.0</v>
      </c>
      <c r="B376" s="14" t="s">
        <v>2742</v>
      </c>
      <c r="C376" s="18" t="s">
        <v>2746</v>
      </c>
      <c r="D376" s="18">
        <v>11.0</v>
      </c>
      <c r="E376" s="19" t="s">
        <v>2006</v>
      </c>
    </row>
    <row r="377">
      <c r="A377" s="10">
        <v>360.0</v>
      </c>
      <c r="B377" s="14" t="s">
        <v>2747</v>
      </c>
      <c r="C377" s="10" t="s">
        <v>2749</v>
      </c>
      <c r="D377" s="10">
        <v>10.0</v>
      </c>
      <c r="E377" s="17" t="s">
        <v>2006</v>
      </c>
    </row>
    <row r="378">
      <c r="A378" s="18">
        <v>361.0</v>
      </c>
      <c r="B378" s="14" t="s">
        <v>2750</v>
      </c>
      <c r="C378" s="18" t="s">
        <v>2754</v>
      </c>
      <c r="D378" s="18">
        <v>7.0</v>
      </c>
      <c r="E378" s="19" t="s">
        <v>2006</v>
      </c>
    </row>
    <row r="379">
      <c r="A379" s="10">
        <v>362.0</v>
      </c>
      <c r="B379" s="14" t="s">
        <v>2756</v>
      </c>
      <c r="C379" s="10" t="s">
        <v>2464</v>
      </c>
      <c r="D379" s="10">
        <v>8.0</v>
      </c>
      <c r="E379" s="17">
        <v>-116.0</v>
      </c>
    </row>
    <row r="380">
      <c r="A380" s="18">
        <v>363.0</v>
      </c>
      <c r="B380" s="14" t="s">
        <v>2759</v>
      </c>
      <c r="C380" s="18" t="s">
        <v>2546</v>
      </c>
      <c r="D380" s="18">
        <v>5.0</v>
      </c>
      <c r="E380" s="19">
        <v>-82.0</v>
      </c>
    </row>
    <row r="381">
      <c r="A381" s="10">
        <v>364.0</v>
      </c>
      <c r="B381" s="14" t="s">
        <v>2763</v>
      </c>
      <c r="C381" s="10" t="s">
        <v>2766</v>
      </c>
      <c r="D381" s="10">
        <v>8.0</v>
      </c>
      <c r="E381" s="17" t="s">
        <v>2006</v>
      </c>
    </row>
    <row r="382">
      <c r="A382" s="18">
        <v>365.0</v>
      </c>
      <c r="B382" s="14" t="s">
        <v>2768</v>
      </c>
      <c r="C382" s="18" t="s">
        <v>2771</v>
      </c>
      <c r="D382" s="18">
        <v>8.0</v>
      </c>
      <c r="E382" s="19" t="s">
        <v>2006</v>
      </c>
    </row>
    <row r="383">
      <c r="A383" s="10">
        <v>366.0</v>
      </c>
      <c r="B383" s="14" t="s">
        <v>2772</v>
      </c>
      <c r="C383" s="10" t="s">
        <v>2480</v>
      </c>
      <c r="D383" s="10">
        <v>10.0</v>
      </c>
      <c r="E383" s="17">
        <v>-56.0</v>
      </c>
    </row>
    <row r="384">
      <c r="A384" s="18">
        <v>367.0</v>
      </c>
      <c r="B384" s="14" t="s">
        <v>2776</v>
      </c>
      <c r="C384" s="18" t="s">
        <v>2779</v>
      </c>
      <c r="D384" s="18">
        <v>11.0</v>
      </c>
      <c r="E384" s="19" t="s">
        <v>2006</v>
      </c>
    </row>
    <row r="385">
      <c r="A385" s="10">
        <v>368.0</v>
      </c>
      <c r="B385" s="14" t="s">
        <v>2781</v>
      </c>
      <c r="C385" s="10" t="s">
        <v>2782</v>
      </c>
      <c r="D385" s="10" t="s">
        <v>2006</v>
      </c>
      <c r="E385" s="17" t="s">
        <v>2006</v>
      </c>
    </row>
    <row r="386">
      <c r="A386" s="18">
        <v>369.0</v>
      </c>
      <c r="B386" s="14" t="s">
        <v>2784</v>
      </c>
      <c r="C386" s="18" t="s">
        <v>2787</v>
      </c>
      <c r="D386" s="18">
        <v>13.0</v>
      </c>
      <c r="E386" s="19" t="s">
        <v>2006</v>
      </c>
    </row>
    <row r="387">
      <c r="A387" s="10">
        <v>370.0</v>
      </c>
      <c r="B387" s="14" t="s">
        <v>2788</v>
      </c>
      <c r="C387" s="10" t="s">
        <v>2793</v>
      </c>
      <c r="D387" s="10">
        <v>5.0</v>
      </c>
      <c r="E387" s="17" t="s">
        <v>2006</v>
      </c>
    </row>
    <row r="388">
      <c r="A388" s="18">
        <v>371.0</v>
      </c>
      <c r="B388" s="14" t="s">
        <v>2794</v>
      </c>
      <c r="C388" s="18" t="s">
        <v>2797</v>
      </c>
      <c r="D388" s="18">
        <v>8.0</v>
      </c>
      <c r="E388" s="19" t="s">
        <v>2006</v>
      </c>
    </row>
    <row r="389">
      <c r="A389" s="10">
        <v>372.0</v>
      </c>
      <c r="B389" s="14" t="s">
        <v>2799</v>
      </c>
      <c r="C389" s="10" t="s">
        <v>2803</v>
      </c>
      <c r="D389" s="10">
        <v>11.0</v>
      </c>
      <c r="E389" s="17">
        <v>-49.0</v>
      </c>
    </row>
    <row r="390">
      <c r="A390" s="18">
        <v>373.0</v>
      </c>
      <c r="B390" s="14" t="s">
        <v>2804</v>
      </c>
      <c r="C390" s="18" t="s">
        <v>2808</v>
      </c>
      <c r="D390" s="18">
        <v>14.0</v>
      </c>
      <c r="E390" s="19" t="s">
        <v>2006</v>
      </c>
    </row>
    <row r="391">
      <c r="A391" s="10">
        <v>374.0</v>
      </c>
      <c r="B391" s="14" t="s">
        <v>2809</v>
      </c>
      <c r="C391" s="10" t="s">
        <v>2813</v>
      </c>
      <c r="D391" s="10">
        <v>6.0</v>
      </c>
      <c r="E391" s="17" t="s">
        <v>2006</v>
      </c>
    </row>
    <row r="392">
      <c r="A392" s="18">
        <v>375.0</v>
      </c>
      <c r="B392" s="14" t="s">
        <v>2814</v>
      </c>
      <c r="C392" s="18" t="s">
        <v>2818</v>
      </c>
      <c r="D392" s="18">
        <v>10.0</v>
      </c>
      <c r="E392" s="19" t="s">
        <v>2006</v>
      </c>
    </row>
    <row r="393">
      <c r="A393" s="10">
        <v>376.0</v>
      </c>
      <c r="B393" s="14" t="s">
        <v>2819</v>
      </c>
      <c r="C393" s="10" t="s">
        <v>2822</v>
      </c>
      <c r="D393" s="10">
        <v>7.0</v>
      </c>
      <c r="E393" s="17" t="s">
        <v>2006</v>
      </c>
    </row>
    <row r="394">
      <c r="A394" s="18">
        <v>377.0</v>
      </c>
      <c r="B394" s="14" t="s">
        <v>2823</v>
      </c>
      <c r="C394" s="18" t="s">
        <v>2827</v>
      </c>
      <c r="D394" s="18">
        <v>11.0</v>
      </c>
      <c r="E394" s="19" t="s">
        <v>2006</v>
      </c>
    </row>
    <row r="395">
      <c r="A395" s="10">
        <v>378.0</v>
      </c>
      <c r="B395" s="14" t="s">
        <v>2828</v>
      </c>
      <c r="C395" s="10" t="s">
        <v>2498</v>
      </c>
      <c r="D395" s="10">
        <v>11.0</v>
      </c>
      <c r="E395" s="17">
        <v>-54.0</v>
      </c>
    </row>
    <row r="396">
      <c r="A396" s="18">
        <v>379.0</v>
      </c>
      <c r="B396" s="14" t="s">
        <v>2832</v>
      </c>
      <c r="C396" s="18" t="s">
        <v>2506</v>
      </c>
      <c r="D396" s="18">
        <v>9.0</v>
      </c>
      <c r="E396" s="19">
        <v>-60.0</v>
      </c>
    </row>
    <row r="397">
      <c r="A397" s="10">
        <v>380.0</v>
      </c>
      <c r="B397" s="14" t="s">
        <v>2837</v>
      </c>
      <c r="C397" s="10" t="s">
        <v>2839</v>
      </c>
      <c r="D397" s="10">
        <v>13.0</v>
      </c>
      <c r="E397" s="17" t="s">
        <v>2006</v>
      </c>
    </row>
    <row r="398">
      <c r="A398" s="18">
        <v>381.0</v>
      </c>
      <c r="B398" s="14" t="s">
        <v>2840</v>
      </c>
      <c r="C398" s="18" t="s">
        <v>2487</v>
      </c>
      <c r="D398" s="18">
        <v>7.0</v>
      </c>
      <c r="E398" s="19">
        <v>-70.0</v>
      </c>
    </row>
    <row r="399">
      <c r="A399" s="10">
        <v>382.0</v>
      </c>
      <c r="B399" s="14" t="s">
        <v>2846</v>
      </c>
      <c r="C399" s="10" t="s">
        <v>2849</v>
      </c>
      <c r="D399" s="10">
        <v>11.0</v>
      </c>
      <c r="E399" s="17" t="s">
        <v>2006</v>
      </c>
    </row>
    <row r="400">
      <c r="A400" s="18">
        <v>383.0</v>
      </c>
      <c r="B400" s="14" t="s">
        <v>2850</v>
      </c>
      <c r="C400" s="18" t="s">
        <v>2853</v>
      </c>
      <c r="D400" s="18">
        <v>13.0</v>
      </c>
      <c r="E400" s="19" t="s">
        <v>2006</v>
      </c>
    </row>
    <row r="401">
      <c r="A401" s="10">
        <v>384.0</v>
      </c>
      <c r="B401" s="14" t="s">
        <v>2855</v>
      </c>
      <c r="C401" s="10" t="s">
        <v>2858</v>
      </c>
      <c r="D401" s="10">
        <v>6.0</v>
      </c>
      <c r="E401" s="17" t="s">
        <v>2006</v>
      </c>
    </row>
    <row r="402">
      <c r="A402" s="18">
        <v>385.0</v>
      </c>
      <c r="B402" s="14" t="s">
        <v>2859</v>
      </c>
      <c r="C402" s="18" t="s">
        <v>2285</v>
      </c>
      <c r="D402" s="18">
        <v>6.0</v>
      </c>
      <c r="E402" s="19" t="s">
        <v>2006</v>
      </c>
    </row>
    <row r="403">
      <c r="A403" s="10">
        <v>386.0</v>
      </c>
      <c r="B403" s="14" t="s">
        <v>2867</v>
      </c>
      <c r="C403" s="10" t="s">
        <v>2513</v>
      </c>
      <c r="D403" s="10">
        <v>7.0</v>
      </c>
      <c r="E403" s="17" t="s">
        <v>2006</v>
      </c>
    </row>
    <row r="404">
      <c r="A404" s="18">
        <v>387.0</v>
      </c>
      <c r="B404" s="14" t="s">
        <v>2872</v>
      </c>
      <c r="C404" s="18" t="s">
        <v>2555</v>
      </c>
      <c r="D404" s="18">
        <v>11.0</v>
      </c>
      <c r="E404" s="19" t="s">
        <v>2006</v>
      </c>
    </row>
    <row r="405">
      <c r="A405" s="10">
        <v>388.0</v>
      </c>
      <c r="B405" s="14" t="s">
        <v>2876</v>
      </c>
      <c r="C405" s="10" t="s">
        <v>2879</v>
      </c>
      <c r="D405" s="10">
        <v>8.0</v>
      </c>
      <c r="E405" s="17" t="s">
        <v>2006</v>
      </c>
    </row>
    <row r="406">
      <c r="A406" s="18">
        <v>389.0</v>
      </c>
      <c r="B406" s="14" t="s">
        <v>2880</v>
      </c>
      <c r="C406" s="18" t="s">
        <v>2751</v>
      </c>
      <c r="D406" s="18">
        <v>5.0</v>
      </c>
      <c r="E406" s="19" t="s">
        <v>2006</v>
      </c>
    </row>
    <row r="407">
      <c r="A407" s="10">
        <v>390.0</v>
      </c>
      <c r="B407" s="14" t="s">
        <v>2884</v>
      </c>
      <c r="C407" s="10" t="s">
        <v>2888</v>
      </c>
      <c r="D407" s="10">
        <v>14.0</v>
      </c>
      <c r="E407" s="17" t="s">
        <v>2006</v>
      </c>
    </row>
    <row r="408">
      <c r="A408" s="18">
        <v>391.0</v>
      </c>
      <c r="B408" s="14" t="s">
        <v>2890</v>
      </c>
      <c r="C408" s="18" t="s">
        <v>2893</v>
      </c>
      <c r="D408" s="18">
        <v>11.0</v>
      </c>
      <c r="E408" s="19" t="s">
        <v>2006</v>
      </c>
    </row>
    <row r="409">
      <c r="A409" s="10">
        <v>392.0</v>
      </c>
      <c r="B409" s="14" t="s">
        <v>2895</v>
      </c>
      <c r="C409" s="10" t="s">
        <v>2898</v>
      </c>
      <c r="D409" s="10">
        <v>13.0</v>
      </c>
      <c r="E409" s="17" t="s">
        <v>2006</v>
      </c>
    </row>
    <row r="410">
      <c r="A410" s="18">
        <v>393.0</v>
      </c>
      <c r="B410" s="14" t="s">
        <v>2901</v>
      </c>
      <c r="C410" s="18" t="s">
        <v>2905</v>
      </c>
      <c r="D410" s="18">
        <v>10.0</v>
      </c>
      <c r="E410" s="19" t="s">
        <v>2006</v>
      </c>
    </row>
    <row r="411">
      <c r="A411" s="10">
        <v>394.0</v>
      </c>
      <c r="B411" s="14" t="s">
        <v>2906</v>
      </c>
      <c r="C411" s="10" t="s">
        <v>2910</v>
      </c>
      <c r="D411" s="10">
        <v>10.0</v>
      </c>
      <c r="E411" s="17" t="s">
        <v>2006</v>
      </c>
    </row>
    <row r="412">
      <c r="A412" s="18">
        <v>395.0</v>
      </c>
      <c r="B412" s="14" t="s">
        <v>2911</v>
      </c>
      <c r="C412" s="18" t="s">
        <v>2915</v>
      </c>
      <c r="D412" s="18">
        <v>11.0</v>
      </c>
      <c r="E412" s="19" t="s">
        <v>2006</v>
      </c>
    </row>
    <row r="413">
      <c r="A413" s="10">
        <v>396.0</v>
      </c>
      <c r="B413" s="14" t="s">
        <v>2918</v>
      </c>
      <c r="C413" s="10" t="s">
        <v>2922</v>
      </c>
      <c r="D413" s="10">
        <v>7.0</v>
      </c>
      <c r="E413" s="17" t="s">
        <v>2006</v>
      </c>
    </row>
    <row r="414">
      <c r="A414" s="18">
        <v>397.0</v>
      </c>
      <c r="B414" s="14" t="s">
        <v>2923</v>
      </c>
      <c r="C414" s="18" t="s">
        <v>2928</v>
      </c>
      <c r="D414" s="18">
        <v>8.0</v>
      </c>
      <c r="E414" s="19" t="s">
        <v>2006</v>
      </c>
    </row>
    <row r="415">
      <c r="A415" s="10">
        <v>398.0</v>
      </c>
      <c r="B415" s="14" t="s">
        <v>2930</v>
      </c>
      <c r="C415" s="10" t="s">
        <v>2934</v>
      </c>
      <c r="D415" s="10" t="s">
        <v>2006</v>
      </c>
      <c r="E415" s="17">
        <v>-141.0</v>
      </c>
    </row>
    <row r="416">
      <c r="A416" s="18">
        <v>399.0</v>
      </c>
      <c r="B416" s="14" t="s">
        <v>2935</v>
      </c>
      <c r="C416" s="18" t="s">
        <v>2938</v>
      </c>
      <c r="D416" s="18">
        <v>13.0</v>
      </c>
      <c r="E416" s="19" t="s">
        <v>2006</v>
      </c>
    </row>
    <row r="417">
      <c r="A417" s="10">
        <v>400.0</v>
      </c>
      <c r="B417" s="14" t="s">
        <v>2939</v>
      </c>
      <c r="C417" s="10" t="s">
        <v>2564</v>
      </c>
      <c r="D417" s="10">
        <v>6.0</v>
      </c>
      <c r="E417" s="17">
        <v>-69.0</v>
      </c>
    </row>
    <row r="418">
      <c r="A418" s="18">
        <v>401.0</v>
      </c>
      <c r="B418" s="14" t="s">
        <v>2945</v>
      </c>
      <c r="C418" s="18" t="s">
        <v>2949</v>
      </c>
      <c r="D418" s="18">
        <v>5.0</v>
      </c>
      <c r="E418" s="19" t="s">
        <v>2006</v>
      </c>
    </row>
    <row r="419">
      <c r="A419" s="10">
        <v>402.0</v>
      </c>
      <c r="B419" s="14" t="s">
        <v>2950</v>
      </c>
      <c r="C419" s="10" t="s">
        <v>2953</v>
      </c>
      <c r="D419" s="10">
        <v>14.0</v>
      </c>
      <c r="E419" s="17" t="s">
        <v>2006</v>
      </c>
    </row>
    <row r="420">
      <c r="A420" s="18">
        <v>403.0</v>
      </c>
      <c r="B420" s="14" t="s">
        <v>2957</v>
      </c>
      <c r="C420" s="18" t="s">
        <v>2960</v>
      </c>
      <c r="D420" s="18">
        <v>13.0</v>
      </c>
      <c r="E420" s="19" t="s">
        <v>2006</v>
      </c>
    </row>
    <row r="421">
      <c r="A421" s="10">
        <v>404.0</v>
      </c>
      <c r="B421" s="14" t="s">
        <v>2961</v>
      </c>
      <c r="C421" s="10" t="s">
        <v>2965</v>
      </c>
      <c r="D421" s="10">
        <v>7.0</v>
      </c>
      <c r="E421" s="17" t="s">
        <v>2006</v>
      </c>
    </row>
    <row r="422">
      <c r="A422" s="18">
        <v>405.0</v>
      </c>
      <c r="B422" s="14" t="s">
        <v>2968</v>
      </c>
      <c r="C422" s="18" t="s">
        <v>2972</v>
      </c>
      <c r="D422" s="18">
        <v>9.0</v>
      </c>
      <c r="E422" s="19" t="s">
        <v>2006</v>
      </c>
    </row>
    <row r="423">
      <c r="A423" s="10">
        <v>406.0</v>
      </c>
      <c r="B423" s="14" t="s">
        <v>2973</v>
      </c>
      <c r="C423" s="10" t="s">
        <v>2977</v>
      </c>
      <c r="D423" s="10" t="s">
        <v>2006</v>
      </c>
      <c r="E423" s="17" t="s">
        <v>2006</v>
      </c>
    </row>
    <row r="424">
      <c r="A424" s="18">
        <v>407.0</v>
      </c>
      <c r="B424" s="14" t="s">
        <v>2979</v>
      </c>
      <c r="C424" s="18" t="s">
        <v>2982</v>
      </c>
      <c r="D424" s="18">
        <v>11.0</v>
      </c>
      <c r="E424" s="19" t="s">
        <v>2006</v>
      </c>
    </row>
    <row r="425">
      <c r="A425" s="10">
        <v>408.0</v>
      </c>
      <c r="B425" s="14" t="s">
        <v>2984</v>
      </c>
      <c r="C425" s="10" t="s">
        <v>2988</v>
      </c>
      <c r="D425" s="10">
        <v>13.0</v>
      </c>
      <c r="E425" s="17" t="s">
        <v>2006</v>
      </c>
    </row>
    <row r="426">
      <c r="A426" s="18">
        <v>409.0</v>
      </c>
      <c r="B426" s="14" t="s">
        <v>2989</v>
      </c>
      <c r="C426" s="18" t="s">
        <v>2993</v>
      </c>
      <c r="D426" s="18">
        <v>5.0</v>
      </c>
      <c r="E426" s="19" t="s">
        <v>2006</v>
      </c>
    </row>
    <row r="427">
      <c r="A427" s="10">
        <v>410.0</v>
      </c>
      <c r="B427" s="14" t="s">
        <v>2995</v>
      </c>
      <c r="C427" s="10" t="s">
        <v>3000</v>
      </c>
      <c r="D427" s="10">
        <v>6.0</v>
      </c>
      <c r="E427" s="17" t="s">
        <v>2006</v>
      </c>
    </row>
    <row r="428">
      <c r="A428" s="18">
        <v>411.0</v>
      </c>
      <c r="B428" s="14" t="s">
        <v>3001</v>
      </c>
      <c r="C428" s="18" t="s">
        <v>3004</v>
      </c>
      <c r="D428" s="18">
        <v>13.0</v>
      </c>
      <c r="E428" s="19" t="s">
        <v>2006</v>
      </c>
    </row>
    <row r="429">
      <c r="A429" s="10">
        <v>412.0</v>
      </c>
      <c r="B429" s="14" t="s">
        <v>3007</v>
      </c>
      <c r="C429" s="10" t="s">
        <v>2575</v>
      </c>
      <c r="D429" s="10">
        <v>6.0</v>
      </c>
      <c r="E429" s="17">
        <v>-97.0</v>
      </c>
    </row>
    <row r="430">
      <c r="A430" s="18">
        <v>413.0</v>
      </c>
      <c r="B430" s="14" t="s">
        <v>3011</v>
      </c>
      <c r="C430" s="18" t="s">
        <v>3017</v>
      </c>
      <c r="D430" s="18">
        <v>7.0</v>
      </c>
      <c r="E430" s="19" t="s">
        <v>2006</v>
      </c>
    </row>
    <row r="431">
      <c r="A431" s="10">
        <v>414.0</v>
      </c>
      <c r="B431" s="14" t="s">
        <v>3019</v>
      </c>
      <c r="C431" s="10" t="s">
        <v>3024</v>
      </c>
      <c r="D431" s="10">
        <v>7.0</v>
      </c>
      <c r="E431" s="17" t="s">
        <v>2006</v>
      </c>
    </row>
    <row r="432">
      <c r="A432" s="18">
        <v>415.0</v>
      </c>
      <c r="B432" s="14" t="s">
        <v>3026</v>
      </c>
      <c r="C432" s="18" t="s">
        <v>3030</v>
      </c>
      <c r="D432" s="18">
        <v>7.0</v>
      </c>
      <c r="E432" s="19" t="s">
        <v>2006</v>
      </c>
    </row>
    <row r="433">
      <c r="A433" s="10">
        <v>416.0</v>
      </c>
      <c r="B433" s="14" t="s">
        <v>3032</v>
      </c>
      <c r="C433" s="10" t="s">
        <v>3035</v>
      </c>
      <c r="D433" s="10">
        <v>6.0</v>
      </c>
      <c r="E433" s="17" t="s">
        <v>2006</v>
      </c>
    </row>
    <row r="434">
      <c r="A434" s="18">
        <v>417.0</v>
      </c>
      <c r="B434" s="14" t="s">
        <v>3037</v>
      </c>
      <c r="C434" s="18" t="s">
        <v>3042</v>
      </c>
      <c r="D434" s="18">
        <v>10.0</v>
      </c>
      <c r="E434" s="19" t="s">
        <v>2006</v>
      </c>
    </row>
    <row r="435">
      <c r="A435" s="10">
        <v>418.0</v>
      </c>
      <c r="B435" s="14" t="s">
        <v>3043</v>
      </c>
      <c r="C435" s="10" t="s">
        <v>3049</v>
      </c>
      <c r="D435" s="10" t="s">
        <v>2006</v>
      </c>
      <c r="E435" s="17" t="s">
        <v>2006</v>
      </c>
    </row>
    <row r="436">
      <c r="A436" s="18">
        <v>419.0</v>
      </c>
      <c r="B436" s="14" t="s">
        <v>3050</v>
      </c>
      <c r="C436" s="18" t="s">
        <v>3055</v>
      </c>
      <c r="D436" s="18">
        <v>13.0</v>
      </c>
      <c r="E436" s="19" t="s">
        <v>2006</v>
      </c>
    </row>
    <row r="437">
      <c r="A437" s="10">
        <v>420.0</v>
      </c>
      <c r="B437" s="14" t="s">
        <v>3057</v>
      </c>
      <c r="C437" s="10" t="s">
        <v>3060</v>
      </c>
      <c r="D437" s="10" t="s">
        <v>2006</v>
      </c>
      <c r="E437" s="17" t="s">
        <v>2006</v>
      </c>
    </row>
    <row r="438">
      <c r="A438" s="18">
        <v>421.0</v>
      </c>
      <c r="B438" s="14" t="s">
        <v>3062</v>
      </c>
      <c r="C438" s="18" t="s">
        <v>3066</v>
      </c>
      <c r="D438" s="18">
        <v>6.0</v>
      </c>
      <c r="E438" s="19" t="s">
        <v>2006</v>
      </c>
    </row>
    <row r="439">
      <c r="A439" s="10">
        <v>422.0</v>
      </c>
      <c r="B439" s="14" t="s">
        <v>3068</v>
      </c>
      <c r="C439" s="10" t="s">
        <v>3072</v>
      </c>
      <c r="D439" s="10">
        <v>7.0</v>
      </c>
      <c r="E439" s="17" t="s">
        <v>2006</v>
      </c>
    </row>
    <row r="440">
      <c r="A440" s="18">
        <v>423.0</v>
      </c>
      <c r="B440" s="14" t="s">
        <v>3074</v>
      </c>
      <c r="C440" s="18" t="s">
        <v>3079</v>
      </c>
      <c r="D440" s="18">
        <v>9.0</v>
      </c>
      <c r="E440" s="19" t="s">
        <v>2006</v>
      </c>
    </row>
    <row r="441">
      <c r="A441" s="10">
        <v>424.0</v>
      </c>
      <c r="B441" s="14" t="s">
        <v>3081</v>
      </c>
      <c r="C441" s="10" t="s">
        <v>3084</v>
      </c>
      <c r="D441" s="10">
        <v>11.0</v>
      </c>
      <c r="E441" s="17" t="s">
        <v>2006</v>
      </c>
    </row>
    <row r="442">
      <c r="A442" s="7" t="s">
        <v>3085</v>
      </c>
      <c r="B442" s="8"/>
      <c r="E442" s="9" t="s">
        <v>3087</v>
      </c>
    </row>
    <row r="443">
      <c r="A443" s="10">
        <v>425.0</v>
      </c>
      <c r="B443" s="14" t="s">
        <v>3089</v>
      </c>
      <c r="C443" s="10" t="s">
        <v>3093</v>
      </c>
      <c r="D443" s="10">
        <v>13.0</v>
      </c>
      <c r="E443" s="17" t="s">
        <v>2006</v>
      </c>
    </row>
    <row r="444">
      <c r="A444" s="18">
        <v>426.0</v>
      </c>
      <c r="B444" s="14" t="s">
        <v>3094</v>
      </c>
      <c r="C444" s="18" t="s">
        <v>3098</v>
      </c>
      <c r="D444" s="18">
        <v>8.0</v>
      </c>
      <c r="E444" s="19" t="s">
        <v>2006</v>
      </c>
    </row>
    <row r="445">
      <c r="A445" s="10">
        <v>427.0</v>
      </c>
      <c r="B445" s="14" t="s">
        <v>3099</v>
      </c>
      <c r="C445" s="10" t="s">
        <v>3104</v>
      </c>
      <c r="D445" s="10">
        <v>7.0</v>
      </c>
      <c r="E445" s="17" t="s">
        <v>2006</v>
      </c>
    </row>
    <row r="446">
      <c r="A446" s="18">
        <v>428.0</v>
      </c>
      <c r="B446" s="14" t="s">
        <v>3106</v>
      </c>
      <c r="C446" s="18" t="s">
        <v>3109</v>
      </c>
      <c r="D446" s="18" t="s">
        <v>2006</v>
      </c>
      <c r="E446" s="19" t="s">
        <v>2006</v>
      </c>
    </row>
    <row r="447">
      <c r="A447" s="10">
        <v>429.0</v>
      </c>
      <c r="B447" s="14" t="s">
        <v>3111</v>
      </c>
      <c r="C447" s="10" t="s">
        <v>3115</v>
      </c>
      <c r="D447" s="10">
        <v>6.0</v>
      </c>
      <c r="E447" s="17" t="s">
        <v>2006</v>
      </c>
    </row>
    <row r="448">
      <c r="A448" s="18">
        <v>430.0</v>
      </c>
      <c r="B448" s="14" t="s">
        <v>3117</v>
      </c>
      <c r="C448" s="18" t="s">
        <v>3121</v>
      </c>
      <c r="D448" s="18">
        <v>13.0</v>
      </c>
      <c r="E448" s="19" t="s">
        <v>2006</v>
      </c>
    </row>
    <row r="449">
      <c r="A449" s="10">
        <v>431.0</v>
      </c>
      <c r="B449" s="14" t="s">
        <v>3122</v>
      </c>
      <c r="C449" s="10" t="s">
        <v>3126</v>
      </c>
      <c r="D449" s="10">
        <v>8.0</v>
      </c>
      <c r="E449" s="17" t="s">
        <v>2006</v>
      </c>
    </row>
    <row r="450">
      <c r="A450" s="18">
        <v>432.0</v>
      </c>
      <c r="B450" s="14" t="s">
        <v>3127</v>
      </c>
      <c r="C450" s="18" t="s">
        <v>3132</v>
      </c>
      <c r="D450" s="18">
        <v>7.0</v>
      </c>
      <c r="E450" s="19" t="s">
        <v>2006</v>
      </c>
    </row>
    <row r="451">
      <c r="A451" s="10">
        <v>433.0</v>
      </c>
      <c r="B451" s="14" t="s">
        <v>3134</v>
      </c>
      <c r="C451" s="10" t="s">
        <v>3137</v>
      </c>
      <c r="D451" s="10">
        <v>11.0</v>
      </c>
      <c r="E451" s="17" t="s">
        <v>2006</v>
      </c>
    </row>
    <row r="452">
      <c r="A452" s="18">
        <v>434.0</v>
      </c>
      <c r="B452" s="14" t="s">
        <v>3138</v>
      </c>
      <c r="C452" s="18" t="s">
        <v>3142</v>
      </c>
      <c r="D452" s="18">
        <v>14.0</v>
      </c>
      <c r="E452" s="19" t="s">
        <v>2006</v>
      </c>
    </row>
    <row r="453">
      <c r="A453" s="10">
        <v>435.0</v>
      </c>
      <c r="B453" s="14" t="s">
        <v>3145</v>
      </c>
      <c r="C453" s="10" t="s">
        <v>3149</v>
      </c>
      <c r="D453" s="10">
        <v>13.0</v>
      </c>
      <c r="E453" s="17" t="s">
        <v>2006</v>
      </c>
    </row>
    <row r="454">
      <c r="A454" s="18">
        <v>436.0</v>
      </c>
      <c r="B454" s="14" t="s">
        <v>3150</v>
      </c>
      <c r="C454" s="18" t="s">
        <v>3153</v>
      </c>
      <c r="D454" s="18" t="s">
        <v>2006</v>
      </c>
      <c r="E454" s="19" t="s">
        <v>2006</v>
      </c>
    </row>
    <row r="455">
      <c r="A455" s="10">
        <v>437.0</v>
      </c>
      <c r="B455" s="14" t="s">
        <v>3155</v>
      </c>
      <c r="C455" s="10" t="s">
        <v>3160</v>
      </c>
      <c r="D455" s="10">
        <v>7.0</v>
      </c>
      <c r="E455" s="17" t="s">
        <v>2006</v>
      </c>
    </row>
    <row r="456">
      <c r="A456" s="18">
        <v>438.0</v>
      </c>
      <c r="B456" s="14" t="s">
        <v>3161</v>
      </c>
      <c r="C456" s="18" t="s">
        <v>2580</v>
      </c>
      <c r="D456" s="18">
        <v>13.0</v>
      </c>
      <c r="E456" s="19">
        <v>-111.0</v>
      </c>
    </row>
    <row r="457">
      <c r="A457" s="10">
        <v>439.0</v>
      </c>
      <c r="B457" s="14" t="s">
        <v>3166</v>
      </c>
      <c r="C457" s="10" t="s">
        <v>3171</v>
      </c>
      <c r="D457" s="10">
        <v>14.0</v>
      </c>
      <c r="E457" s="17" t="s">
        <v>2006</v>
      </c>
    </row>
    <row r="458">
      <c r="A458" s="18">
        <v>440.0</v>
      </c>
      <c r="B458" s="14" t="s">
        <v>3172</v>
      </c>
      <c r="C458" s="18" t="s">
        <v>3175</v>
      </c>
      <c r="D458" s="18">
        <v>6.0</v>
      </c>
      <c r="E458" s="19" t="s">
        <v>2006</v>
      </c>
    </row>
    <row r="459">
      <c r="A459" s="10">
        <v>441.0</v>
      </c>
      <c r="B459" s="14" t="s">
        <v>3178</v>
      </c>
      <c r="C459" s="10" t="s">
        <v>3181</v>
      </c>
      <c r="D459" s="10">
        <v>7.0</v>
      </c>
      <c r="E459" s="17" t="s">
        <v>2006</v>
      </c>
    </row>
    <row r="460">
      <c r="A460" s="18">
        <v>442.0</v>
      </c>
      <c r="B460" s="14" t="s">
        <v>3183</v>
      </c>
      <c r="C460" s="18" t="s">
        <v>3187</v>
      </c>
      <c r="D460" s="18">
        <v>13.0</v>
      </c>
      <c r="E460" s="19" t="s">
        <v>2006</v>
      </c>
    </row>
    <row r="461">
      <c r="A461" s="10">
        <v>443.0</v>
      </c>
      <c r="B461" s="14" t="s">
        <v>3188</v>
      </c>
      <c r="C461" s="10" t="s">
        <v>3192</v>
      </c>
      <c r="D461" s="10" t="s">
        <v>2006</v>
      </c>
      <c r="E461" s="17" t="s">
        <v>2006</v>
      </c>
    </row>
    <row r="462">
      <c r="A462" s="18">
        <v>444.0</v>
      </c>
      <c r="B462" s="14" t="s">
        <v>3195</v>
      </c>
      <c r="C462" s="18" t="s">
        <v>3198</v>
      </c>
      <c r="D462" s="18">
        <v>11.0</v>
      </c>
      <c r="E462" s="19" t="s">
        <v>2006</v>
      </c>
    </row>
    <row r="463">
      <c r="A463" s="10">
        <v>445.0</v>
      </c>
      <c r="B463" s="14" t="s">
        <v>3200</v>
      </c>
      <c r="C463" s="10" t="s">
        <v>3203</v>
      </c>
      <c r="D463" s="10">
        <v>11.0</v>
      </c>
      <c r="E463" s="17" t="s">
        <v>2006</v>
      </c>
    </row>
    <row r="464">
      <c r="A464" s="18">
        <v>446.0</v>
      </c>
      <c r="B464" s="14" t="s">
        <v>3204</v>
      </c>
      <c r="C464" s="18" t="s">
        <v>3208</v>
      </c>
      <c r="D464" s="18">
        <v>11.0</v>
      </c>
      <c r="E464" s="19" t="s">
        <v>2006</v>
      </c>
    </row>
    <row r="465">
      <c r="A465" s="10">
        <v>447.0</v>
      </c>
      <c r="B465" s="14" t="s">
        <v>3210</v>
      </c>
      <c r="C465" s="10" t="s">
        <v>3212</v>
      </c>
      <c r="D465" s="10">
        <v>13.0</v>
      </c>
      <c r="E465" s="17" t="s">
        <v>2006</v>
      </c>
    </row>
    <row r="466">
      <c r="A466" s="18">
        <v>448.0</v>
      </c>
      <c r="B466" s="14" t="s">
        <v>3215</v>
      </c>
      <c r="C466" s="18" t="s">
        <v>3219</v>
      </c>
      <c r="D466" s="18">
        <v>14.0</v>
      </c>
      <c r="E466" s="19" t="s">
        <v>2006</v>
      </c>
    </row>
    <row r="467">
      <c r="A467" s="10">
        <v>449.0</v>
      </c>
      <c r="B467" s="14" t="s">
        <v>3220</v>
      </c>
      <c r="C467" s="10" t="s">
        <v>3223</v>
      </c>
      <c r="D467" s="10">
        <v>8.0</v>
      </c>
      <c r="E467" s="17" t="s">
        <v>2006</v>
      </c>
    </row>
    <row r="468">
      <c r="A468" s="18">
        <v>450.0</v>
      </c>
      <c r="B468" s="14" t="s">
        <v>3224</v>
      </c>
      <c r="C468" s="18" t="s">
        <v>3228</v>
      </c>
      <c r="D468" s="18">
        <v>7.0</v>
      </c>
      <c r="E468" s="19" t="s">
        <v>2006</v>
      </c>
    </row>
    <row r="469">
      <c r="A469" s="10">
        <v>451.0</v>
      </c>
      <c r="B469" s="14" t="s">
        <v>3229</v>
      </c>
      <c r="C469" s="10" t="s">
        <v>3232</v>
      </c>
      <c r="D469" s="10">
        <v>6.0</v>
      </c>
      <c r="E469" s="17" t="s">
        <v>2006</v>
      </c>
    </row>
    <row r="470">
      <c r="A470" s="18">
        <v>452.0</v>
      </c>
      <c r="B470" s="14" t="s">
        <v>3234</v>
      </c>
      <c r="C470" s="18" t="s">
        <v>3237</v>
      </c>
      <c r="D470" s="18">
        <v>6.0</v>
      </c>
      <c r="E470" s="19" t="s">
        <v>2006</v>
      </c>
    </row>
    <row r="471">
      <c r="A471" s="10">
        <v>453.0</v>
      </c>
      <c r="B471" s="14" t="s">
        <v>3238</v>
      </c>
      <c r="C471" s="10" t="s">
        <v>3242</v>
      </c>
      <c r="D471" s="10">
        <v>8.0</v>
      </c>
      <c r="E471" s="17" t="s">
        <v>2006</v>
      </c>
    </row>
    <row r="472">
      <c r="A472" s="18">
        <v>454.0</v>
      </c>
      <c r="B472" s="14" t="s">
        <v>3243</v>
      </c>
      <c r="C472" s="18" t="s">
        <v>3247</v>
      </c>
      <c r="D472" s="18" t="s">
        <v>2006</v>
      </c>
      <c r="E472" s="19" t="s">
        <v>2006</v>
      </c>
    </row>
    <row r="473">
      <c r="A473" s="10">
        <v>455.0</v>
      </c>
      <c r="B473" s="14" t="s">
        <v>3248</v>
      </c>
      <c r="C473" s="10" t="s">
        <v>3251</v>
      </c>
      <c r="D473" s="10">
        <v>11.0</v>
      </c>
      <c r="E473" s="17" t="s">
        <v>2006</v>
      </c>
    </row>
    <row r="474">
      <c r="A474" s="18">
        <v>456.0</v>
      </c>
      <c r="B474" s="14" t="s">
        <v>3252</v>
      </c>
      <c r="C474" s="18" t="s">
        <v>3256</v>
      </c>
      <c r="D474" s="18">
        <v>8.0</v>
      </c>
      <c r="E474" s="19" t="s">
        <v>2006</v>
      </c>
    </row>
    <row r="475">
      <c r="A475" s="10">
        <v>457.0</v>
      </c>
      <c r="B475" s="14" t="s">
        <v>3257</v>
      </c>
      <c r="C475" s="10" t="s">
        <v>3261</v>
      </c>
      <c r="D475" s="10">
        <v>9.0</v>
      </c>
      <c r="E475" s="17" t="s">
        <v>2006</v>
      </c>
    </row>
    <row r="476">
      <c r="A476" s="18">
        <v>458.0</v>
      </c>
      <c r="B476" s="14" t="s">
        <v>3262</v>
      </c>
      <c r="C476" s="18" t="s">
        <v>3266</v>
      </c>
      <c r="D476" s="18">
        <v>10.0</v>
      </c>
      <c r="E476" s="19" t="s">
        <v>2006</v>
      </c>
    </row>
    <row r="477">
      <c r="A477" s="10">
        <v>459.0</v>
      </c>
      <c r="B477" s="14" t="s">
        <v>3267</v>
      </c>
      <c r="C477" s="10" t="s">
        <v>3271</v>
      </c>
      <c r="D477" s="10">
        <v>6.0</v>
      </c>
      <c r="E477" s="17" t="s">
        <v>2006</v>
      </c>
    </row>
    <row r="478">
      <c r="A478" s="18">
        <v>460.0</v>
      </c>
      <c r="B478" s="14" t="s">
        <v>3272</v>
      </c>
      <c r="C478" s="18" t="s">
        <v>3275</v>
      </c>
      <c r="D478" s="18">
        <v>13.0</v>
      </c>
      <c r="E478" s="19" t="s">
        <v>2006</v>
      </c>
    </row>
    <row r="479">
      <c r="A479" s="10">
        <v>461.0</v>
      </c>
      <c r="B479" s="14" t="s">
        <v>3277</v>
      </c>
      <c r="C479" s="10" t="s">
        <v>3280</v>
      </c>
      <c r="D479" s="10">
        <v>6.0</v>
      </c>
      <c r="E479" s="17" t="s">
        <v>2006</v>
      </c>
    </row>
    <row r="480">
      <c r="A480" s="18">
        <v>462.0</v>
      </c>
      <c r="B480" s="14" t="s">
        <v>3281</v>
      </c>
      <c r="C480" s="18" t="s">
        <v>3285</v>
      </c>
      <c r="D480" s="18">
        <v>8.0</v>
      </c>
      <c r="E480" s="19" t="s">
        <v>2006</v>
      </c>
    </row>
    <row r="481">
      <c r="A481" s="10">
        <v>463.0</v>
      </c>
      <c r="B481" s="14" t="s">
        <v>3286</v>
      </c>
      <c r="C481" s="10" t="s">
        <v>3290</v>
      </c>
      <c r="D481" s="10">
        <v>10.0</v>
      </c>
      <c r="E481" s="17" t="s">
        <v>2006</v>
      </c>
    </row>
    <row r="482">
      <c r="A482" s="18">
        <v>464.0</v>
      </c>
      <c r="B482" s="14" t="s">
        <v>3291</v>
      </c>
      <c r="C482" s="18" t="s">
        <v>3294</v>
      </c>
      <c r="D482" s="18">
        <v>13.0</v>
      </c>
      <c r="E482" s="19" t="s">
        <v>2006</v>
      </c>
    </row>
    <row r="483">
      <c r="A483" s="10">
        <v>465.0</v>
      </c>
      <c r="B483" s="14" t="s">
        <v>3296</v>
      </c>
      <c r="C483" s="10" t="s">
        <v>3299</v>
      </c>
      <c r="D483" s="10">
        <v>5.0</v>
      </c>
      <c r="E483" s="17" t="s">
        <v>2006</v>
      </c>
    </row>
    <row r="484">
      <c r="A484" s="18">
        <v>466.0</v>
      </c>
      <c r="B484" s="14" t="s">
        <v>3300</v>
      </c>
      <c r="C484" s="18" t="s">
        <v>3304</v>
      </c>
      <c r="D484" s="18">
        <v>8.0</v>
      </c>
      <c r="E484" s="19" t="s">
        <v>2006</v>
      </c>
    </row>
    <row r="485">
      <c r="A485" s="10">
        <v>467.0</v>
      </c>
      <c r="B485" s="14" t="s">
        <v>3305</v>
      </c>
      <c r="C485" s="10" t="s">
        <v>3309</v>
      </c>
      <c r="D485" s="10">
        <v>11.0</v>
      </c>
      <c r="E485" s="17" t="s">
        <v>2006</v>
      </c>
    </row>
    <row r="486">
      <c r="A486" s="18">
        <v>468.0</v>
      </c>
      <c r="B486" s="14" t="s">
        <v>3310</v>
      </c>
      <c r="C486" s="18" t="s">
        <v>3313</v>
      </c>
      <c r="D486" s="18">
        <v>9.0</v>
      </c>
      <c r="E486" s="19" t="s">
        <v>2006</v>
      </c>
    </row>
    <row r="487">
      <c r="A487" s="10">
        <v>469.0</v>
      </c>
      <c r="B487" s="14" t="s">
        <v>3315</v>
      </c>
      <c r="C487" s="10" t="s">
        <v>3318</v>
      </c>
      <c r="D487" s="10">
        <v>5.0</v>
      </c>
      <c r="E487" s="17" t="s">
        <v>2006</v>
      </c>
    </row>
    <row r="488">
      <c r="A488" s="18">
        <v>470.0</v>
      </c>
      <c r="B488" s="14" t="s">
        <v>3319</v>
      </c>
      <c r="C488" s="18" t="s">
        <v>3323</v>
      </c>
      <c r="D488" s="18">
        <v>13.0</v>
      </c>
      <c r="E488" s="19" t="s">
        <v>2006</v>
      </c>
    </row>
    <row r="489">
      <c r="A489" s="10">
        <v>471.0</v>
      </c>
      <c r="B489" s="14" t="s">
        <v>3324</v>
      </c>
      <c r="C489" s="10" t="s">
        <v>3328</v>
      </c>
      <c r="D489" s="10" t="s">
        <v>2006</v>
      </c>
      <c r="E489" s="17" t="s">
        <v>2006</v>
      </c>
    </row>
    <row r="490">
      <c r="A490" s="18">
        <v>472.0</v>
      </c>
      <c r="B490" s="14" t="s">
        <v>3329</v>
      </c>
      <c r="C490" s="18" t="s">
        <v>3332</v>
      </c>
      <c r="D490" s="18">
        <v>11.0</v>
      </c>
      <c r="E490" s="19" t="s">
        <v>2006</v>
      </c>
    </row>
    <row r="491">
      <c r="A491" s="10">
        <v>473.0</v>
      </c>
      <c r="B491" s="14" t="s">
        <v>3334</v>
      </c>
      <c r="C491" s="10" t="s">
        <v>3337</v>
      </c>
      <c r="D491" s="10">
        <v>7.0</v>
      </c>
      <c r="E491" s="17" t="s">
        <v>2006</v>
      </c>
    </row>
    <row r="492">
      <c r="A492" s="18">
        <v>474.0</v>
      </c>
      <c r="B492" s="14" t="s">
        <v>3338</v>
      </c>
      <c r="C492" s="18" t="s">
        <v>3342</v>
      </c>
      <c r="D492" s="18">
        <v>6.0</v>
      </c>
      <c r="E492" s="19" t="s">
        <v>2006</v>
      </c>
    </row>
    <row r="493">
      <c r="A493" s="10">
        <v>475.0</v>
      </c>
      <c r="B493" s="14" t="s">
        <v>3343</v>
      </c>
      <c r="C493" s="10" t="s">
        <v>3347</v>
      </c>
      <c r="D493" s="10">
        <v>6.0</v>
      </c>
      <c r="E493" s="17" t="s">
        <v>2006</v>
      </c>
    </row>
    <row r="494">
      <c r="A494" s="18">
        <v>476.0</v>
      </c>
      <c r="B494" s="14" t="s">
        <v>3348</v>
      </c>
      <c r="C494" s="18" t="s">
        <v>3351</v>
      </c>
      <c r="D494" s="18">
        <v>13.0</v>
      </c>
      <c r="E494" s="19" t="s">
        <v>2006</v>
      </c>
    </row>
    <row r="495">
      <c r="A495" s="10">
        <v>477.0</v>
      </c>
      <c r="B495" s="14" t="s">
        <v>3353</v>
      </c>
      <c r="C495" s="10" t="s">
        <v>3356</v>
      </c>
      <c r="D495" s="10">
        <v>10.0</v>
      </c>
      <c r="E495" s="17" t="s">
        <v>2006</v>
      </c>
    </row>
    <row r="496">
      <c r="A496" s="18">
        <v>478.0</v>
      </c>
      <c r="B496" s="14" t="s">
        <v>3357</v>
      </c>
      <c r="C496" s="18" t="s">
        <v>3361</v>
      </c>
      <c r="D496" s="18">
        <v>11.0</v>
      </c>
      <c r="E496" s="19" t="s">
        <v>2006</v>
      </c>
    </row>
    <row r="497">
      <c r="A497" s="10">
        <v>479.0</v>
      </c>
      <c r="B497" s="14" t="s">
        <v>3362</v>
      </c>
      <c r="C497" s="10" t="s">
        <v>3366</v>
      </c>
      <c r="D497" s="10">
        <v>7.0</v>
      </c>
      <c r="E497" s="17" t="s">
        <v>2006</v>
      </c>
    </row>
    <row r="498">
      <c r="A498" s="18">
        <v>480.0</v>
      </c>
      <c r="B498" s="14" t="s">
        <v>3367</v>
      </c>
      <c r="C498" s="18" t="s">
        <v>3370</v>
      </c>
      <c r="D498" s="18">
        <v>11.0</v>
      </c>
      <c r="E498" s="19" t="s">
        <v>2006</v>
      </c>
    </row>
    <row r="499">
      <c r="A499" s="10">
        <v>481.0</v>
      </c>
      <c r="B499" s="14" t="s">
        <v>3371</v>
      </c>
      <c r="C499" s="10" t="s">
        <v>3375</v>
      </c>
      <c r="D499" s="10">
        <v>14.0</v>
      </c>
      <c r="E499" s="17" t="s">
        <v>2006</v>
      </c>
    </row>
    <row r="500">
      <c r="A500" s="18">
        <v>482.0</v>
      </c>
      <c r="B500" s="14" t="s">
        <v>3376</v>
      </c>
      <c r="C500" s="18" t="s">
        <v>3380</v>
      </c>
      <c r="D500" s="18">
        <v>6.0</v>
      </c>
      <c r="E500" s="19" t="s">
        <v>2006</v>
      </c>
    </row>
    <row r="501">
      <c r="A501" s="10">
        <v>483.0</v>
      </c>
      <c r="B501" s="14" t="s">
        <v>3381</v>
      </c>
      <c r="C501" s="10" t="s">
        <v>3384</v>
      </c>
      <c r="D501" s="10">
        <v>6.0</v>
      </c>
      <c r="E501" s="17" t="s">
        <v>2006</v>
      </c>
    </row>
    <row r="502">
      <c r="A502" s="18">
        <v>484.0</v>
      </c>
      <c r="B502" s="14" t="s">
        <v>3386</v>
      </c>
      <c r="C502" s="18" t="s">
        <v>3389</v>
      </c>
      <c r="D502" s="18">
        <v>9.0</v>
      </c>
      <c r="E502" s="19" t="s">
        <v>2006</v>
      </c>
    </row>
    <row r="503">
      <c r="A503" s="10">
        <v>485.0</v>
      </c>
      <c r="B503" s="14" t="s">
        <v>3390</v>
      </c>
      <c r="C503" s="10" t="s">
        <v>3394</v>
      </c>
      <c r="D503" s="10">
        <v>10.0</v>
      </c>
      <c r="E503" s="17" t="s">
        <v>2006</v>
      </c>
    </row>
    <row r="504">
      <c r="A504" s="18">
        <v>486.0</v>
      </c>
      <c r="B504" s="14" t="s">
        <v>3395</v>
      </c>
      <c r="C504" s="18" t="s">
        <v>3399</v>
      </c>
      <c r="D504" s="18">
        <v>10.0</v>
      </c>
      <c r="E504" s="19" t="s">
        <v>2006</v>
      </c>
    </row>
    <row r="505">
      <c r="A505" s="10">
        <v>487.0</v>
      </c>
      <c r="B505" s="14" t="s">
        <v>3400</v>
      </c>
      <c r="C505" s="10" t="s">
        <v>3403</v>
      </c>
      <c r="D505" s="10">
        <v>6.0</v>
      </c>
      <c r="E505" s="17" t="s">
        <v>2006</v>
      </c>
    </row>
    <row r="506">
      <c r="A506" s="18">
        <v>488.0</v>
      </c>
      <c r="B506" s="14" t="s">
        <v>3404</v>
      </c>
      <c r="C506" s="18" t="s">
        <v>3407</v>
      </c>
      <c r="D506" s="18">
        <v>7.0</v>
      </c>
      <c r="E506" s="19" t="s">
        <v>2006</v>
      </c>
    </row>
    <row r="507">
      <c r="A507" s="10">
        <v>489.0</v>
      </c>
      <c r="B507" s="14" t="s">
        <v>3408</v>
      </c>
      <c r="C507" s="10" t="s">
        <v>3411</v>
      </c>
      <c r="D507" s="10">
        <v>11.0</v>
      </c>
      <c r="E507" s="17" t="s">
        <v>2006</v>
      </c>
    </row>
    <row r="508">
      <c r="A508" s="18">
        <v>490.0</v>
      </c>
      <c r="B508" s="14" t="s">
        <v>3412</v>
      </c>
      <c r="C508" s="18" t="s">
        <v>3415</v>
      </c>
      <c r="D508" s="18">
        <v>13.0</v>
      </c>
      <c r="E508" s="19" t="s">
        <v>2006</v>
      </c>
    </row>
    <row r="509">
      <c r="A509" s="10">
        <v>491.0</v>
      </c>
      <c r="B509" s="14" t="s">
        <v>3416</v>
      </c>
      <c r="C509" s="10" t="s">
        <v>3419</v>
      </c>
      <c r="D509" s="10">
        <v>11.0</v>
      </c>
      <c r="E509" s="17" t="s">
        <v>2006</v>
      </c>
    </row>
    <row r="510">
      <c r="A510" s="18">
        <v>492.0</v>
      </c>
      <c r="B510" s="14" t="s">
        <v>3420</v>
      </c>
      <c r="C510" s="18" t="s">
        <v>3423</v>
      </c>
      <c r="D510" s="18">
        <v>14.0</v>
      </c>
      <c r="E510" s="19" t="s">
        <v>2006</v>
      </c>
    </row>
    <row r="511">
      <c r="A511" s="10">
        <v>493.0</v>
      </c>
      <c r="B511" s="14" t="s">
        <v>3424</v>
      </c>
      <c r="C511" s="10" t="s">
        <v>3427</v>
      </c>
      <c r="D511" s="10">
        <v>8.0</v>
      </c>
      <c r="E511" s="17" t="s">
        <v>2006</v>
      </c>
    </row>
    <row r="512">
      <c r="A512" s="18">
        <v>494.0</v>
      </c>
      <c r="B512" s="14" t="s">
        <v>3428</v>
      </c>
      <c r="C512" s="18" t="s">
        <v>3431</v>
      </c>
      <c r="D512" s="18">
        <v>14.0</v>
      </c>
      <c r="E512" s="19" t="s">
        <v>2006</v>
      </c>
    </row>
    <row r="513">
      <c r="A513" s="10">
        <v>495.0</v>
      </c>
      <c r="B513" s="14" t="s">
        <v>3432</v>
      </c>
      <c r="C513" s="10" t="s">
        <v>3435</v>
      </c>
      <c r="D513" s="10">
        <v>8.0</v>
      </c>
      <c r="E513" s="17" t="s">
        <v>2006</v>
      </c>
    </row>
    <row r="514">
      <c r="A514" s="18">
        <v>496.0</v>
      </c>
      <c r="B514" s="14" t="s">
        <v>3436</v>
      </c>
      <c r="C514" s="18" t="s">
        <v>3439</v>
      </c>
      <c r="D514" s="18">
        <v>7.0</v>
      </c>
      <c r="E514" s="19" t="s">
        <v>2006</v>
      </c>
    </row>
    <row r="515">
      <c r="A515" s="10">
        <v>497.0</v>
      </c>
      <c r="B515" s="14" t="s">
        <v>3440</v>
      </c>
      <c r="C515" s="10" t="s">
        <v>3443</v>
      </c>
      <c r="D515" s="10">
        <v>5.0</v>
      </c>
      <c r="E515" s="17" t="s">
        <v>2006</v>
      </c>
    </row>
    <row r="516">
      <c r="A516" s="18">
        <v>498.0</v>
      </c>
      <c r="B516" s="14" t="s">
        <v>3444</v>
      </c>
      <c r="C516" s="18" t="s">
        <v>3447</v>
      </c>
      <c r="D516" s="18">
        <v>14.0</v>
      </c>
      <c r="E516" s="19" t="s">
        <v>2006</v>
      </c>
    </row>
    <row r="517">
      <c r="A517" s="22" t="s">
        <v>3448</v>
      </c>
      <c r="B517" s="24"/>
      <c r="E517" s="9" t="s">
        <v>3449</v>
      </c>
    </row>
    <row r="518">
      <c r="A518" s="18">
        <v>499.0</v>
      </c>
      <c r="B518" s="14" t="s">
        <v>3450</v>
      </c>
      <c r="C518" s="18" t="s">
        <v>3453</v>
      </c>
      <c r="D518" s="18">
        <v>10.0</v>
      </c>
      <c r="E518" s="19" t="s">
        <v>2006</v>
      </c>
    </row>
    <row r="519">
      <c r="A519" s="10">
        <v>500.0</v>
      </c>
      <c r="B519" s="14" t="s">
        <v>3454</v>
      </c>
      <c r="C519" s="10" t="s">
        <v>3457</v>
      </c>
      <c r="D519" s="10">
        <v>6.0</v>
      </c>
      <c r="E519" s="17" t="s">
        <v>2006</v>
      </c>
    </row>
    <row r="520">
      <c r="A520" s="18">
        <v>501.0</v>
      </c>
      <c r="B520" s="14" t="s">
        <v>3458</v>
      </c>
      <c r="C520" s="18" t="s">
        <v>3461</v>
      </c>
      <c r="D520" s="18">
        <v>13.0</v>
      </c>
      <c r="E520" s="19" t="s">
        <v>2006</v>
      </c>
    </row>
    <row r="521">
      <c r="A521" s="10">
        <v>502.0</v>
      </c>
      <c r="B521" s="14" t="s">
        <v>3463</v>
      </c>
      <c r="C521" s="10" t="s">
        <v>3465</v>
      </c>
      <c r="D521" s="10">
        <v>13.0</v>
      </c>
      <c r="E521" s="17" t="s">
        <v>2006</v>
      </c>
    </row>
    <row r="522">
      <c r="A522" s="18">
        <v>503.0</v>
      </c>
      <c r="B522" s="14" t="s">
        <v>3466</v>
      </c>
      <c r="C522" s="18" t="s">
        <v>3468</v>
      </c>
      <c r="D522" s="18">
        <v>6.0</v>
      </c>
      <c r="E522" s="19" t="s">
        <v>2006</v>
      </c>
    </row>
    <row r="523">
      <c r="A523" s="10">
        <v>504.0</v>
      </c>
      <c r="B523" s="14" t="s">
        <v>3469</v>
      </c>
      <c r="C523" s="10" t="s">
        <v>3470</v>
      </c>
      <c r="D523" s="10">
        <v>7.0</v>
      </c>
      <c r="E523" s="17" t="s">
        <v>2006</v>
      </c>
    </row>
    <row r="524">
      <c r="A524" s="18">
        <v>505.0</v>
      </c>
      <c r="B524" s="14" t="s">
        <v>3471</v>
      </c>
      <c r="C524" s="18" t="s">
        <v>3472</v>
      </c>
      <c r="D524" s="18">
        <v>7.0</v>
      </c>
      <c r="E524" s="19" t="s">
        <v>2006</v>
      </c>
    </row>
    <row r="525">
      <c r="A525" s="10">
        <v>506.0</v>
      </c>
      <c r="B525" s="14" t="s">
        <v>3473</v>
      </c>
      <c r="C525" s="10" t="s">
        <v>3474</v>
      </c>
      <c r="D525" s="10">
        <v>14.0</v>
      </c>
      <c r="E525" s="17" t="s">
        <v>2006</v>
      </c>
    </row>
    <row r="526">
      <c r="A526" s="18">
        <v>507.0</v>
      </c>
      <c r="B526" s="14" t="s">
        <v>3475</v>
      </c>
      <c r="C526" s="18" t="s">
        <v>3476</v>
      </c>
      <c r="D526" s="18">
        <v>6.0</v>
      </c>
      <c r="E526" s="19" t="s">
        <v>2006</v>
      </c>
    </row>
    <row r="527">
      <c r="A527" s="10">
        <v>508.0</v>
      </c>
      <c r="B527" s="14" t="s">
        <v>3477</v>
      </c>
      <c r="C527" s="10" t="s">
        <v>3478</v>
      </c>
      <c r="D527" s="10">
        <v>6.0</v>
      </c>
      <c r="E527" s="17" t="s">
        <v>2006</v>
      </c>
    </row>
    <row r="528">
      <c r="A528" s="18">
        <v>509.0</v>
      </c>
      <c r="B528" s="14" t="s">
        <v>3479</v>
      </c>
      <c r="C528" s="18" t="s">
        <v>3480</v>
      </c>
      <c r="D528" s="18">
        <v>7.0</v>
      </c>
      <c r="E528" s="19" t="s">
        <v>2006</v>
      </c>
    </row>
    <row r="529">
      <c r="A529" s="10">
        <v>510.0</v>
      </c>
      <c r="B529" s="14" t="s">
        <v>3481</v>
      </c>
      <c r="C529" s="10" t="s">
        <v>3482</v>
      </c>
      <c r="D529" s="10" t="s">
        <v>2006</v>
      </c>
      <c r="E529" s="17" t="s">
        <v>2006</v>
      </c>
    </row>
    <row r="530">
      <c r="A530" s="49">
        <v>511.0</v>
      </c>
      <c r="B530" s="14" t="s">
        <v>3483</v>
      </c>
      <c r="C530" s="49" t="s">
        <v>3484</v>
      </c>
      <c r="D530" s="49">
        <v>11.0</v>
      </c>
      <c r="E530" s="50" t="s">
        <v>2006</v>
      </c>
    </row>
  </sheetData>
  <mergeCells count="18">
    <mergeCell ref="B2:D2"/>
    <mergeCell ref="B7:D7"/>
    <mergeCell ref="B15:D15"/>
    <mergeCell ref="B24:D24"/>
    <mergeCell ref="A32:E32"/>
    <mergeCell ref="B43:D43"/>
    <mergeCell ref="B60:D60"/>
    <mergeCell ref="B326:D326"/>
    <mergeCell ref="B374:D374"/>
    <mergeCell ref="B442:D442"/>
    <mergeCell ref="B517:D517"/>
    <mergeCell ref="B77:D77"/>
    <mergeCell ref="A100:E100"/>
    <mergeCell ref="B107:D107"/>
    <mergeCell ref="B142:D142"/>
    <mergeCell ref="B176:D176"/>
    <mergeCell ref="B223:D223"/>
    <mergeCell ref="B267:D267"/>
  </mergeCells>
  <hyperlinks>
    <hyperlink r:id="rId1" ref="B3"/>
    <hyperlink r:id="rId2" ref="B4"/>
    <hyperlink r:id="rId3" ref="B5"/>
    <hyperlink r:id="rId4" ref="B6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3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  <hyperlink r:id="rId36" ref="B42"/>
    <hyperlink r:id="rId37" ref="B44"/>
    <hyperlink r:id="rId38" ref="B45"/>
    <hyperlink r:id="rId39" ref="B46"/>
    <hyperlink r:id="rId40" ref="B47"/>
    <hyperlink r:id="rId41" ref="B48"/>
    <hyperlink r:id="rId42" ref="B49"/>
    <hyperlink r:id="rId43" ref="B50"/>
    <hyperlink r:id="rId44" ref="B51"/>
    <hyperlink r:id="rId45" ref="B52"/>
    <hyperlink r:id="rId46" ref="B53"/>
    <hyperlink r:id="rId47" ref="B54"/>
    <hyperlink r:id="rId48" ref="B55"/>
    <hyperlink r:id="rId49" ref="B56"/>
    <hyperlink r:id="rId50" ref="B57"/>
    <hyperlink r:id="rId51" ref="B58"/>
    <hyperlink r:id="rId52" ref="B59"/>
    <hyperlink r:id="rId53" ref="B61"/>
    <hyperlink r:id="rId54" ref="B62"/>
    <hyperlink r:id="rId55" ref="B63"/>
    <hyperlink r:id="rId56" ref="B64"/>
    <hyperlink r:id="rId57" ref="B65"/>
    <hyperlink r:id="rId58" ref="B66"/>
    <hyperlink r:id="rId59" ref="B67"/>
    <hyperlink r:id="rId60" ref="B68"/>
    <hyperlink r:id="rId61" ref="B69"/>
    <hyperlink r:id="rId62" ref="B70"/>
    <hyperlink r:id="rId63" ref="B71"/>
    <hyperlink r:id="rId64" ref="B72"/>
    <hyperlink r:id="rId65" ref="B73"/>
    <hyperlink r:id="rId66" ref="B74"/>
    <hyperlink r:id="rId67" ref="B75"/>
    <hyperlink r:id="rId68" ref="B76"/>
    <hyperlink r:id="rId69" ref="B78"/>
    <hyperlink r:id="rId70" ref="B79"/>
    <hyperlink r:id="rId71" ref="B80"/>
    <hyperlink r:id="rId72" ref="B81"/>
    <hyperlink r:id="rId73" ref="B82"/>
    <hyperlink r:id="rId74" ref="B83"/>
    <hyperlink r:id="rId75" ref="B84"/>
    <hyperlink r:id="rId76" ref="B85"/>
    <hyperlink r:id="rId77" ref="B86"/>
    <hyperlink r:id="rId78" ref="B87"/>
    <hyperlink r:id="rId79" ref="B88"/>
    <hyperlink r:id="rId80" ref="B89"/>
    <hyperlink r:id="rId81" ref="B90"/>
    <hyperlink r:id="rId82" ref="B91"/>
    <hyperlink r:id="rId83" ref="B92"/>
    <hyperlink r:id="rId84" ref="B93"/>
    <hyperlink r:id="rId85" ref="B94"/>
    <hyperlink r:id="rId86" ref="B95"/>
    <hyperlink r:id="rId87" ref="B96"/>
    <hyperlink r:id="rId88" ref="B97"/>
    <hyperlink r:id="rId89" ref="B98"/>
    <hyperlink r:id="rId90" ref="B99"/>
    <hyperlink r:id="rId91" ref="B101"/>
    <hyperlink r:id="rId92" ref="B102"/>
    <hyperlink r:id="rId93" ref="B103"/>
    <hyperlink r:id="rId94" ref="B104"/>
    <hyperlink r:id="rId95" ref="B105"/>
    <hyperlink r:id="rId96" ref="B106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0"/>
    <hyperlink r:id="rId110" ref="B121"/>
    <hyperlink r:id="rId111" ref="B122"/>
    <hyperlink r:id="rId112" ref="B123"/>
    <hyperlink r:id="rId113" ref="B124"/>
    <hyperlink r:id="rId114" ref="B125"/>
    <hyperlink r:id="rId115" ref="B126"/>
    <hyperlink r:id="rId116" ref="B127"/>
    <hyperlink r:id="rId117" ref="B128"/>
    <hyperlink r:id="rId118" ref="B129"/>
    <hyperlink r:id="rId119" ref="B130"/>
    <hyperlink r:id="rId120" ref="B131"/>
    <hyperlink r:id="rId121" ref="B132"/>
    <hyperlink r:id="rId122" ref="B133"/>
    <hyperlink r:id="rId123" ref="B134"/>
    <hyperlink r:id="rId124" ref="B135"/>
    <hyperlink r:id="rId125" ref="B136"/>
    <hyperlink r:id="rId126" ref="B137"/>
    <hyperlink r:id="rId127" ref="B138"/>
    <hyperlink r:id="rId128" ref="B139"/>
    <hyperlink r:id="rId129" ref="B140"/>
    <hyperlink r:id="rId130" ref="B141"/>
    <hyperlink r:id="rId131" ref="B143"/>
    <hyperlink r:id="rId132" ref="B144"/>
    <hyperlink r:id="rId133" ref="B145"/>
    <hyperlink r:id="rId134" ref="B146"/>
    <hyperlink r:id="rId135" ref="B147"/>
    <hyperlink r:id="rId136" ref="B148"/>
    <hyperlink r:id="rId137" ref="B149"/>
    <hyperlink r:id="rId138" ref="B150"/>
    <hyperlink r:id="rId139" ref="B151"/>
    <hyperlink r:id="rId140" ref="B152"/>
    <hyperlink r:id="rId141" ref="B153"/>
    <hyperlink r:id="rId142" ref="B154"/>
    <hyperlink r:id="rId143" ref="B155"/>
    <hyperlink r:id="rId144" ref="B156"/>
    <hyperlink r:id="rId145" ref="B157"/>
    <hyperlink r:id="rId146" ref="B158"/>
    <hyperlink r:id="rId147" ref="B159"/>
    <hyperlink r:id="rId148" ref="B160"/>
    <hyperlink r:id="rId149" ref="B161"/>
    <hyperlink r:id="rId150" ref="B162"/>
    <hyperlink r:id="rId151" ref="B163"/>
    <hyperlink r:id="rId152" ref="B164"/>
    <hyperlink r:id="rId153" ref="B165"/>
    <hyperlink r:id="rId154" ref="B166"/>
    <hyperlink r:id="rId155" ref="B167"/>
    <hyperlink r:id="rId156" ref="B168"/>
    <hyperlink r:id="rId157" ref="B169"/>
    <hyperlink r:id="rId158" ref="B170"/>
    <hyperlink r:id="rId159" ref="B171"/>
    <hyperlink r:id="rId160" ref="B172"/>
    <hyperlink r:id="rId161" ref="B173"/>
    <hyperlink r:id="rId162" ref="B174"/>
    <hyperlink r:id="rId163" ref="B175"/>
    <hyperlink r:id="rId164" ref="B177"/>
    <hyperlink r:id="rId165" ref="B178"/>
    <hyperlink r:id="rId166" ref="B179"/>
    <hyperlink r:id="rId167" ref="B180"/>
    <hyperlink r:id="rId168" ref="B181"/>
    <hyperlink r:id="rId169" ref="B182"/>
    <hyperlink r:id="rId170" ref="B183"/>
    <hyperlink r:id="rId171" ref="B184"/>
    <hyperlink r:id="rId172" ref="B185"/>
    <hyperlink r:id="rId173" ref="B186"/>
    <hyperlink r:id="rId174" ref="B187"/>
    <hyperlink r:id="rId175" ref="B188"/>
    <hyperlink r:id="rId176" ref="B189"/>
    <hyperlink r:id="rId177" ref="B190"/>
    <hyperlink r:id="rId178" ref="B191"/>
    <hyperlink r:id="rId179" ref="B192"/>
    <hyperlink r:id="rId180" ref="B193"/>
    <hyperlink r:id="rId181" ref="B194"/>
    <hyperlink r:id="rId182" ref="B195"/>
    <hyperlink r:id="rId183" ref="B196"/>
    <hyperlink r:id="rId184" ref="B197"/>
    <hyperlink r:id="rId185" ref="B198"/>
    <hyperlink r:id="rId186" ref="B199"/>
    <hyperlink r:id="rId187" ref="B200"/>
    <hyperlink r:id="rId188" ref="B201"/>
    <hyperlink r:id="rId189" ref="B202"/>
    <hyperlink r:id="rId190" ref="B203"/>
    <hyperlink r:id="rId191" ref="B204"/>
    <hyperlink r:id="rId192" ref="B205"/>
    <hyperlink r:id="rId193" ref="B206"/>
    <hyperlink r:id="rId194" ref="B207"/>
    <hyperlink r:id="rId195" ref="B208"/>
    <hyperlink r:id="rId196" ref="B209"/>
    <hyperlink r:id="rId197" ref="B210"/>
    <hyperlink r:id="rId198" ref="B211"/>
    <hyperlink r:id="rId199" ref="B212"/>
    <hyperlink r:id="rId200" ref="B213"/>
    <hyperlink r:id="rId201" ref="B214"/>
    <hyperlink r:id="rId202" ref="B215"/>
    <hyperlink r:id="rId203" ref="B216"/>
    <hyperlink r:id="rId204" ref="B217"/>
    <hyperlink r:id="rId205" ref="B218"/>
    <hyperlink r:id="rId206" ref="B219"/>
    <hyperlink r:id="rId207" ref="B220"/>
    <hyperlink r:id="rId208" ref="B221"/>
    <hyperlink r:id="rId209" ref="B222"/>
    <hyperlink r:id="rId210" ref="B224"/>
    <hyperlink r:id="rId211" ref="B225"/>
    <hyperlink r:id="rId212" ref="B226"/>
    <hyperlink r:id="rId213" ref="B227"/>
    <hyperlink r:id="rId214" ref="B228"/>
    <hyperlink r:id="rId215" ref="B229"/>
    <hyperlink r:id="rId216" ref="B230"/>
    <hyperlink r:id="rId217" ref="B231"/>
    <hyperlink r:id="rId218" ref="B232"/>
    <hyperlink r:id="rId219" ref="B233"/>
    <hyperlink r:id="rId220" ref="B234"/>
    <hyperlink r:id="rId221" ref="B235"/>
    <hyperlink r:id="rId222" ref="B236"/>
    <hyperlink r:id="rId223" ref="B237"/>
    <hyperlink r:id="rId224" ref="B238"/>
    <hyperlink r:id="rId225" ref="B239"/>
    <hyperlink r:id="rId226" ref="B240"/>
    <hyperlink r:id="rId227" ref="B241"/>
    <hyperlink r:id="rId228" ref="B242"/>
    <hyperlink r:id="rId229" ref="B243"/>
    <hyperlink r:id="rId230" ref="B244"/>
    <hyperlink r:id="rId231" ref="B245"/>
    <hyperlink r:id="rId232" ref="B246"/>
    <hyperlink r:id="rId233" ref="B247"/>
    <hyperlink r:id="rId234" ref="B248"/>
    <hyperlink r:id="rId235" ref="B249"/>
    <hyperlink r:id="rId236" ref="B250"/>
    <hyperlink r:id="rId237" ref="B251"/>
    <hyperlink r:id="rId238" ref="B252"/>
    <hyperlink r:id="rId239" ref="B253"/>
    <hyperlink r:id="rId240" ref="B254"/>
    <hyperlink r:id="rId241" ref="B255"/>
    <hyperlink r:id="rId242" ref="B256"/>
    <hyperlink r:id="rId243" ref="B257"/>
    <hyperlink r:id="rId244" ref="B258"/>
    <hyperlink r:id="rId245" ref="B259"/>
    <hyperlink r:id="rId246" ref="B260"/>
    <hyperlink r:id="rId247" ref="B261"/>
    <hyperlink r:id="rId248" ref="B262"/>
    <hyperlink r:id="rId249" ref="B263"/>
    <hyperlink r:id="rId250" ref="B264"/>
    <hyperlink r:id="rId251" ref="B265"/>
    <hyperlink r:id="rId252" ref="B266"/>
    <hyperlink r:id="rId253" ref="B268"/>
    <hyperlink r:id="rId254" ref="B269"/>
    <hyperlink r:id="rId255" ref="B270"/>
    <hyperlink r:id="rId256" ref="B271"/>
    <hyperlink r:id="rId257" ref="B272"/>
    <hyperlink r:id="rId258" ref="B273"/>
    <hyperlink r:id="rId259" ref="B274"/>
    <hyperlink r:id="rId260" ref="B275"/>
    <hyperlink r:id="rId261" ref="B276"/>
    <hyperlink r:id="rId262" ref="B277"/>
    <hyperlink r:id="rId263" ref="B278"/>
    <hyperlink r:id="rId264" ref="B279"/>
    <hyperlink r:id="rId265" ref="B280"/>
    <hyperlink r:id="rId266" ref="B281"/>
    <hyperlink r:id="rId267" ref="B282"/>
    <hyperlink r:id="rId268" ref="B283"/>
    <hyperlink r:id="rId269" ref="B284"/>
    <hyperlink r:id="rId270" ref="B285"/>
    <hyperlink r:id="rId271" ref="B286"/>
    <hyperlink r:id="rId272" ref="B287"/>
    <hyperlink r:id="rId273" ref="B288"/>
    <hyperlink r:id="rId274" ref="B289"/>
    <hyperlink r:id="rId275" ref="B290"/>
    <hyperlink r:id="rId276" ref="B291"/>
    <hyperlink r:id="rId277" ref="B292"/>
    <hyperlink r:id="rId278" ref="B293"/>
    <hyperlink r:id="rId279" ref="B294"/>
    <hyperlink r:id="rId280" ref="B295"/>
    <hyperlink r:id="rId281" ref="B296"/>
    <hyperlink r:id="rId282" ref="B297"/>
    <hyperlink r:id="rId283" ref="B298"/>
    <hyperlink r:id="rId284" ref="B299"/>
    <hyperlink r:id="rId285" ref="B300"/>
    <hyperlink r:id="rId286" ref="B301"/>
    <hyperlink r:id="rId287" ref="B302"/>
    <hyperlink r:id="rId288" ref="B303"/>
    <hyperlink r:id="rId289" ref="B304"/>
    <hyperlink r:id="rId290" ref="B305"/>
    <hyperlink r:id="rId291" ref="B306"/>
    <hyperlink r:id="rId292" ref="B307"/>
    <hyperlink r:id="rId293" ref="B308"/>
    <hyperlink r:id="rId294" ref="B309"/>
    <hyperlink r:id="rId295" ref="B310"/>
    <hyperlink r:id="rId296" ref="B311"/>
    <hyperlink r:id="rId297" ref="B312"/>
    <hyperlink r:id="rId298" ref="B313"/>
    <hyperlink r:id="rId299" ref="B314"/>
    <hyperlink r:id="rId300" ref="B315"/>
    <hyperlink r:id="rId301" ref="B316"/>
    <hyperlink r:id="rId302" ref="B317"/>
    <hyperlink r:id="rId303" ref="B318"/>
    <hyperlink r:id="rId304" ref="B319"/>
    <hyperlink r:id="rId305" ref="B320"/>
    <hyperlink r:id="rId306" ref="B321"/>
    <hyperlink r:id="rId307" ref="B322"/>
    <hyperlink r:id="rId308" ref="B323"/>
    <hyperlink r:id="rId309" ref="B324"/>
    <hyperlink r:id="rId310" ref="B325"/>
    <hyperlink r:id="rId311" ref="B327"/>
    <hyperlink r:id="rId312" ref="B328"/>
    <hyperlink r:id="rId313" ref="B329"/>
    <hyperlink r:id="rId314" ref="B330"/>
    <hyperlink r:id="rId315" ref="B331"/>
    <hyperlink r:id="rId316" ref="B332"/>
    <hyperlink r:id="rId317" ref="B333"/>
    <hyperlink r:id="rId318" ref="B334"/>
    <hyperlink r:id="rId319" ref="B335"/>
    <hyperlink r:id="rId320" ref="B336"/>
    <hyperlink r:id="rId321" ref="B337"/>
    <hyperlink r:id="rId322" ref="B338"/>
    <hyperlink r:id="rId323" ref="B339"/>
    <hyperlink r:id="rId324" ref="B340"/>
    <hyperlink r:id="rId325" ref="B341"/>
    <hyperlink r:id="rId326" ref="B342"/>
    <hyperlink r:id="rId327" ref="B343"/>
    <hyperlink r:id="rId328" ref="B344"/>
    <hyperlink r:id="rId329" ref="B345"/>
    <hyperlink r:id="rId330" ref="B346"/>
    <hyperlink r:id="rId331" ref="B347"/>
    <hyperlink r:id="rId332" ref="B348"/>
    <hyperlink r:id="rId333" ref="B349"/>
    <hyperlink r:id="rId334" ref="B350"/>
    <hyperlink r:id="rId335" ref="B351"/>
    <hyperlink r:id="rId336" ref="B352"/>
    <hyperlink r:id="rId337" ref="B353"/>
    <hyperlink r:id="rId338" ref="B354"/>
    <hyperlink r:id="rId339" ref="B355"/>
    <hyperlink r:id="rId340" ref="B356"/>
    <hyperlink r:id="rId341" ref="B357"/>
    <hyperlink r:id="rId342" ref="B358"/>
    <hyperlink r:id="rId343" ref="B359"/>
    <hyperlink r:id="rId344" ref="B360"/>
    <hyperlink r:id="rId345" ref="B361"/>
    <hyperlink r:id="rId346" ref="B362"/>
    <hyperlink r:id="rId347" ref="B363"/>
    <hyperlink r:id="rId348" ref="B364"/>
    <hyperlink r:id="rId349" ref="B365"/>
    <hyperlink r:id="rId350" ref="B366"/>
    <hyperlink r:id="rId351" ref="B367"/>
    <hyperlink r:id="rId352" ref="B368"/>
    <hyperlink r:id="rId353" ref="B369"/>
    <hyperlink r:id="rId354" ref="B370"/>
    <hyperlink r:id="rId355" ref="B371"/>
    <hyperlink r:id="rId356" ref="B372"/>
    <hyperlink r:id="rId357" ref="B373"/>
    <hyperlink r:id="rId358" ref="B375"/>
    <hyperlink r:id="rId359" ref="B376"/>
    <hyperlink r:id="rId360" ref="B377"/>
    <hyperlink r:id="rId361" ref="B378"/>
    <hyperlink r:id="rId362" ref="B379"/>
    <hyperlink r:id="rId363" ref="B380"/>
    <hyperlink r:id="rId364" ref="B381"/>
    <hyperlink r:id="rId365" ref="B382"/>
    <hyperlink r:id="rId366" ref="B383"/>
    <hyperlink r:id="rId367" ref="B384"/>
    <hyperlink r:id="rId368" ref="B385"/>
    <hyperlink r:id="rId369" ref="B386"/>
    <hyperlink r:id="rId370" ref="B387"/>
    <hyperlink r:id="rId371" ref="B388"/>
    <hyperlink r:id="rId372" ref="B389"/>
    <hyperlink r:id="rId373" ref="B390"/>
    <hyperlink r:id="rId374" ref="B391"/>
    <hyperlink r:id="rId375" ref="B392"/>
    <hyperlink r:id="rId376" ref="B393"/>
    <hyperlink r:id="rId377" ref="B394"/>
    <hyperlink r:id="rId378" ref="B395"/>
    <hyperlink r:id="rId379" ref="B396"/>
    <hyperlink r:id="rId380" ref="B397"/>
    <hyperlink r:id="rId381" ref="B398"/>
    <hyperlink r:id="rId382" ref="B399"/>
    <hyperlink r:id="rId383" ref="B400"/>
    <hyperlink r:id="rId384" ref="B401"/>
    <hyperlink r:id="rId385" ref="B402"/>
    <hyperlink r:id="rId386" ref="B403"/>
    <hyperlink r:id="rId387" ref="B404"/>
    <hyperlink r:id="rId388" ref="B405"/>
    <hyperlink r:id="rId389" ref="B406"/>
    <hyperlink r:id="rId390" ref="B407"/>
    <hyperlink r:id="rId391" ref="B408"/>
    <hyperlink r:id="rId392" ref="B409"/>
    <hyperlink r:id="rId393" ref="B410"/>
    <hyperlink r:id="rId394" ref="B411"/>
    <hyperlink r:id="rId395" ref="B412"/>
    <hyperlink r:id="rId396" ref="B413"/>
    <hyperlink r:id="rId397" ref="B414"/>
    <hyperlink r:id="rId398" ref="B415"/>
    <hyperlink r:id="rId399" ref="B416"/>
    <hyperlink r:id="rId400" ref="B417"/>
    <hyperlink r:id="rId401" ref="B418"/>
    <hyperlink r:id="rId402" ref="B419"/>
    <hyperlink r:id="rId403" ref="B420"/>
    <hyperlink r:id="rId404" ref="B421"/>
    <hyperlink r:id="rId405" ref="B422"/>
    <hyperlink r:id="rId406" ref="B423"/>
    <hyperlink r:id="rId407" ref="B424"/>
    <hyperlink r:id="rId408" ref="B425"/>
    <hyperlink r:id="rId409" ref="B426"/>
    <hyperlink r:id="rId410" ref="B427"/>
    <hyperlink r:id="rId411" ref="B428"/>
    <hyperlink r:id="rId412" ref="B429"/>
    <hyperlink r:id="rId413" ref="B430"/>
    <hyperlink r:id="rId414" ref="B431"/>
    <hyperlink r:id="rId415" ref="B432"/>
    <hyperlink r:id="rId416" ref="B433"/>
    <hyperlink r:id="rId417" ref="B434"/>
    <hyperlink r:id="rId418" ref="B435"/>
    <hyperlink r:id="rId419" ref="B436"/>
    <hyperlink r:id="rId420" ref="B437"/>
    <hyperlink r:id="rId421" ref="B438"/>
    <hyperlink r:id="rId422" ref="B439"/>
    <hyperlink r:id="rId423" ref="B440"/>
    <hyperlink r:id="rId424" ref="B441"/>
    <hyperlink r:id="rId425" ref="B443"/>
    <hyperlink r:id="rId426" ref="B444"/>
    <hyperlink r:id="rId427" ref="B445"/>
    <hyperlink r:id="rId428" ref="B446"/>
    <hyperlink r:id="rId429" ref="B447"/>
    <hyperlink r:id="rId430" ref="B448"/>
    <hyperlink r:id="rId431" ref="B449"/>
    <hyperlink r:id="rId432" ref="B450"/>
    <hyperlink r:id="rId433" ref="B451"/>
    <hyperlink r:id="rId434" ref="B452"/>
    <hyperlink r:id="rId435" ref="B453"/>
    <hyperlink r:id="rId436" ref="B454"/>
    <hyperlink r:id="rId437" ref="B455"/>
    <hyperlink r:id="rId438" ref="B456"/>
    <hyperlink r:id="rId439" ref="B457"/>
    <hyperlink r:id="rId440" ref="B458"/>
    <hyperlink r:id="rId441" ref="B459"/>
    <hyperlink r:id="rId442" ref="B460"/>
    <hyperlink r:id="rId443" ref="B461"/>
    <hyperlink r:id="rId444" ref="B462"/>
    <hyperlink r:id="rId445" ref="B463"/>
    <hyperlink r:id="rId446" ref="B464"/>
    <hyperlink r:id="rId447" ref="B465"/>
    <hyperlink r:id="rId448" ref="B466"/>
    <hyperlink r:id="rId449" ref="B467"/>
    <hyperlink r:id="rId450" ref="B468"/>
    <hyperlink r:id="rId451" ref="B469"/>
    <hyperlink r:id="rId452" ref="B470"/>
    <hyperlink r:id="rId453" ref="B471"/>
    <hyperlink r:id="rId454" ref="B472"/>
    <hyperlink r:id="rId455" ref="B473"/>
    <hyperlink r:id="rId456" ref="B474"/>
    <hyperlink r:id="rId457" ref="B475"/>
    <hyperlink r:id="rId458" ref="B476"/>
    <hyperlink r:id="rId459" ref="B477"/>
    <hyperlink r:id="rId460" ref="B478"/>
    <hyperlink r:id="rId461" ref="B479"/>
    <hyperlink r:id="rId462" ref="B480"/>
    <hyperlink r:id="rId463" ref="B481"/>
    <hyperlink r:id="rId464" ref="B482"/>
    <hyperlink r:id="rId465" ref="B483"/>
    <hyperlink r:id="rId466" ref="B484"/>
    <hyperlink r:id="rId467" ref="B485"/>
    <hyperlink r:id="rId468" ref="B486"/>
    <hyperlink r:id="rId469" ref="B487"/>
    <hyperlink r:id="rId470" ref="B488"/>
    <hyperlink r:id="rId471" ref="B489"/>
    <hyperlink r:id="rId472" ref="B490"/>
    <hyperlink r:id="rId473" ref="B491"/>
    <hyperlink r:id="rId474" ref="B492"/>
    <hyperlink r:id="rId475" ref="B493"/>
    <hyperlink r:id="rId476" ref="B494"/>
    <hyperlink r:id="rId477" ref="B495"/>
    <hyperlink r:id="rId478" ref="B496"/>
    <hyperlink r:id="rId479" ref="B497"/>
    <hyperlink r:id="rId480" ref="B498"/>
    <hyperlink r:id="rId481" ref="B499"/>
    <hyperlink r:id="rId482" ref="B500"/>
    <hyperlink r:id="rId483" ref="B501"/>
    <hyperlink r:id="rId484" ref="B502"/>
    <hyperlink r:id="rId485" ref="B503"/>
    <hyperlink r:id="rId486" ref="B504"/>
    <hyperlink r:id="rId487" ref="B505"/>
    <hyperlink r:id="rId488" ref="B506"/>
    <hyperlink r:id="rId489" ref="B507"/>
    <hyperlink r:id="rId490" ref="B508"/>
    <hyperlink r:id="rId491" ref="B509"/>
    <hyperlink r:id="rId492" ref="B510"/>
    <hyperlink r:id="rId493" ref="B511"/>
    <hyperlink r:id="rId494" ref="B512"/>
    <hyperlink r:id="rId495" ref="B513"/>
    <hyperlink r:id="rId496" ref="B514"/>
    <hyperlink r:id="rId497" ref="B515"/>
    <hyperlink r:id="rId498" ref="B516"/>
    <hyperlink r:id="rId499" ref="B518"/>
    <hyperlink r:id="rId500" ref="B519"/>
    <hyperlink r:id="rId501" ref="B520"/>
    <hyperlink r:id="rId502" ref="B521"/>
    <hyperlink r:id="rId503" ref="B522"/>
    <hyperlink r:id="rId504" ref="B523"/>
    <hyperlink r:id="rId505" ref="B524"/>
    <hyperlink r:id="rId506" ref="B525"/>
    <hyperlink r:id="rId507" ref="B526"/>
    <hyperlink r:id="rId508" ref="B527"/>
    <hyperlink r:id="rId509" ref="B528"/>
    <hyperlink r:id="rId510" ref="B529"/>
    <hyperlink r:id="rId511" ref="B530"/>
  </hyperlinks>
  <drawing r:id="rId5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14</v>
      </c>
    </row>
    <row r="2">
      <c r="A2" s="11" t="s">
        <v>16</v>
      </c>
    </row>
    <row r="3">
      <c r="A3" s="11" t="s">
        <v>17</v>
      </c>
    </row>
    <row r="4">
      <c r="A4" s="11">
        <v>1.0</v>
      </c>
    </row>
    <row r="5">
      <c r="A5" s="11" t="s">
        <v>18</v>
      </c>
    </row>
    <row r="6">
      <c r="A6" s="11" t="s">
        <v>19</v>
      </c>
    </row>
    <row r="7">
      <c r="A7" s="11" t="s">
        <v>20</v>
      </c>
    </row>
    <row r="8">
      <c r="A8" s="11" t="s">
        <v>22</v>
      </c>
    </row>
    <row r="9">
      <c r="A9" s="11" t="s">
        <v>23</v>
      </c>
    </row>
    <row r="10">
      <c r="A10" s="11">
        <v>1.0</v>
      </c>
    </row>
    <row r="11">
      <c r="A11" s="11" t="s">
        <v>16</v>
      </c>
    </row>
    <row r="12">
      <c r="A12" s="16">
        <v>51.0</v>
      </c>
    </row>
    <row r="13">
      <c r="A13" s="11" t="s">
        <v>25</v>
      </c>
    </row>
    <row r="14">
      <c r="A14" s="11" t="s">
        <v>26</v>
      </c>
    </row>
    <row r="15">
      <c r="A15" s="11" t="s">
        <v>17</v>
      </c>
    </row>
    <row r="16">
      <c r="A16" s="11">
        <v>2.0</v>
      </c>
    </row>
    <row r="17">
      <c r="A17" s="11" t="s">
        <v>18</v>
      </c>
    </row>
    <row r="18">
      <c r="A18" s="11" t="s">
        <v>28</v>
      </c>
    </row>
    <row r="19">
      <c r="A19" s="11" t="s">
        <v>29</v>
      </c>
    </row>
    <row r="20">
      <c r="A20" s="11" t="s">
        <v>30</v>
      </c>
    </row>
    <row r="21">
      <c r="A21" s="11" t="s">
        <v>31</v>
      </c>
    </row>
    <row r="22">
      <c r="A22" s="11">
        <v>2.0</v>
      </c>
    </row>
    <row r="23">
      <c r="A23" s="11" t="s">
        <v>16</v>
      </c>
    </row>
    <row r="24">
      <c r="A24" s="16">
        <v>54.0</v>
      </c>
    </row>
    <row r="25">
      <c r="A25" s="11" t="s">
        <v>25</v>
      </c>
    </row>
    <row r="26">
      <c r="A26" s="11" t="s">
        <v>26</v>
      </c>
    </row>
    <row r="27">
      <c r="A27" s="11" t="s">
        <v>17</v>
      </c>
    </row>
    <row r="28">
      <c r="A28" s="11">
        <v>3.0</v>
      </c>
    </row>
    <row r="29">
      <c r="A29" s="11" t="s">
        <v>18</v>
      </c>
    </row>
    <row r="30">
      <c r="A30" s="11" t="s">
        <v>34</v>
      </c>
    </row>
    <row r="31">
      <c r="A31" s="11" t="s">
        <v>35</v>
      </c>
    </row>
    <row r="32">
      <c r="A32" s="11" t="s">
        <v>36</v>
      </c>
    </row>
    <row r="33">
      <c r="A33" s="11" t="s">
        <v>37</v>
      </c>
    </row>
    <row r="34">
      <c r="A34" s="11">
        <v>3.4</v>
      </c>
    </row>
    <row r="35">
      <c r="A35" s="11" t="s">
        <v>16</v>
      </c>
    </row>
    <row r="36">
      <c r="A36" s="16">
        <v>33.0</v>
      </c>
    </row>
    <row r="37">
      <c r="A37" s="11" t="s">
        <v>25</v>
      </c>
    </row>
    <row r="38">
      <c r="A38" s="11" t="s">
        <v>26</v>
      </c>
    </row>
    <row r="39">
      <c r="A39" s="11" t="s">
        <v>17</v>
      </c>
    </row>
    <row r="40">
      <c r="A40" s="11">
        <v>4.0</v>
      </c>
    </row>
    <row r="41">
      <c r="A41" s="11" t="s">
        <v>18</v>
      </c>
    </row>
    <row r="42">
      <c r="A42" s="11" t="s">
        <v>40</v>
      </c>
    </row>
    <row r="43">
      <c r="A43" s="11" t="s">
        <v>42</v>
      </c>
    </row>
    <row r="44">
      <c r="A44" s="11" t="s">
        <v>43</v>
      </c>
    </row>
    <row r="45">
      <c r="A45" s="11" t="s">
        <v>44</v>
      </c>
    </row>
    <row r="46">
      <c r="A46" s="11">
        <v>6.8</v>
      </c>
    </row>
    <row r="47">
      <c r="A47" s="11" t="s">
        <v>16</v>
      </c>
    </row>
    <row r="48">
      <c r="A48" s="16">
        <v>44.0</v>
      </c>
    </row>
    <row r="49">
      <c r="A49" s="11" t="s">
        <v>25</v>
      </c>
    </row>
    <row r="50">
      <c r="A50" s="11" t="s">
        <v>26</v>
      </c>
    </row>
    <row r="51">
      <c r="A51" s="11" t="s">
        <v>17</v>
      </c>
    </row>
    <row r="52">
      <c r="A52" s="11">
        <v>5.0</v>
      </c>
    </row>
    <row r="53">
      <c r="A53" s="11" t="s">
        <v>18</v>
      </c>
    </row>
    <row r="54">
      <c r="A54" s="11" t="s">
        <v>45</v>
      </c>
    </row>
    <row r="55">
      <c r="A55" s="11" t="s">
        <v>47</v>
      </c>
    </row>
    <row r="56">
      <c r="A56" s="11" t="s">
        <v>49</v>
      </c>
    </row>
    <row r="57">
      <c r="A57" s="11" t="s">
        <v>31</v>
      </c>
    </row>
    <row r="58">
      <c r="A58" s="11">
        <v>7.0</v>
      </c>
    </row>
    <row r="59">
      <c r="A59" s="11" t="s">
        <v>16</v>
      </c>
    </row>
    <row r="60">
      <c r="A60" s="16">
        <v>40.0</v>
      </c>
    </row>
    <row r="61">
      <c r="A61" s="11" t="s">
        <v>25</v>
      </c>
    </row>
    <row r="62">
      <c r="A62" s="11" t="s">
        <v>26</v>
      </c>
    </row>
    <row r="63">
      <c r="A63" s="11" t="s">
        <v>17</v>
      </c>
    </row>
    <row r="64">
      <c r="A64" s="11">
        <v>6.0</v>
      </c>
    </row>
    <row r="65">
      <c r="A65" s="11" t="s">
        <v>18</v>
      </c>
    </row>
    <row r="66">
      <c r="A66" s="11" t="s">
        <v>52</v>
      </c>
    </row>
    <row r="67">
      <c r="A67" s="11" t="s">
        <v>53</v>
      </c>
    </row>
    <row r="68">
      <c r="A68" s="11" t="s">
        <v>54</v>
      </c>
    </row>
    <row r="69">
      <c r="A69" s="11" t="s">
        <v>23</v>
      </c>
    </row>
    <row r="70">
      <c r="A70" s="11">
        <v>9.2</v>
      </c>
    </row>
    <row r="71">
      <c r="A71" s="11" t="s">
        <v>16</v>
      </c>
    </row>
    <row r="72">
      <c r="A72" s="16">
        <v>59.0</v>
      </c>
    </row>
    <row r="73">
      <c r="A73" s="11" t="s">
        <v>25</v>
      </c>
    </row>
    <row r="74">
      <c r="A74" s="11" t="s">
        <v>26</v>
      </c>
    </row>
    <row r="75">
      <c r="A75" s="11" t="s">
        <v>17</v>
      </c>
    </row>
    <row r="76">
      <c r="A76" s="11">
        <v>7.0</v>
      </c>
    </row>
    <row r="77">
      <c r="A77" s="11" t="s">
        <v>18</v>
      </c>
    </row>
    <row r="78">
      <c r="A78" s="11" t="s">
        <v>58</v>
      </c>
    </row>
    <row r="79">
      <c r="A79" s="11" t="s">
        <v>59</v>
      </c>
    </row>
    <row r="80">
      <c r="A80" s="11" t="s">
        <v>61</v>
      </c>
    </row>
    <row r="81">
      <c r="A81" s="11" t="s">
        <v>62</v>
      </c>
    </row>
    <row r="82">
      <c r="A82" s="11">
        <v>8.2</v>
      </c>
    </row>
    <row r="83">
      <c r="A83" s="11" t="s">
        <v>16</v>
      </c>
    </row>
    <row r="84">
      <c r="A84" s="16">
        <v>23.0</v>
      </c>
    </row>
    <row r="85">
      <c r="A85" s="11" t="s">
        <v>25</v>
      </c>
    </row>
    <row r="86">
      <c r="A86" s="11" t="s">
        <v>26</v>
      </c>
    </row>
    <row r="87">
      <c r="A87" s="11" t="s">
        <v>17</v>
      </c>
    </row>
    <row r="88">
      <c r="A88" s="11">
        <v>8.0</v>
      </c>
    </row>
    <row r="89">
      <c r="A89" s="11" t="s">
        <v>18</v>
      </c>
    </row>
    <row r="90">
      <c r="A90" s="11" t="s">
        <v>65</v>
      </c>
    </row>
    <row r="91">
      <c r="A91" s="11" t="s">
        <v>66</v>
      </c>
    </row>
    <row r="92">
      <c r="A92" s="11" t="s">
        <v>67</v>
      </c>
    </row>
    <row r="93">
      <c r="A93" s="11" t="s">
        <v>31</v>
      </c>
    </row>
    <row r="94">
      <c r="A94" s="11">
        <v>11.4</v>
      </c>
    </row>
    <row r="95">
      <c r="A95" s="11" t="s">
        <v>16</v>
      </c>
    </row>
    <row r="96">
      <c r="A96" s="16">
        <v>30.0</v>
      </c>
    </row>
    <row r="97">
      <c r="A97" s="11" t="s">
        <v>25</v>
      </c>
    </row>
    <row r="98">
      <c r="A98" s="11" t="s">
        <v>26</v>
      </c>
    </row>
    <row r="99">
      <c r="A99" s="11" t="s">
        <v>17</v>
      </c>
    </row>
    <row r="100">
      <c r="A100" s="11">
        <v>9.0</v>
      </c>
    </row>
    <row r="101">
      <c r="A101" s="11" t="s">
        <v>18</v>
      </c>
    </row>
    <row r="102">
      <c r="A102" s="11" t="s">
        <v>69</v>
      </c>
    </row>
    <row r="103">
      <c r="A103" s="11" t="s">
        <v>71</v>
      </c>
    </row>
    <row r="104">
      <c r="A104" s="11" t="s">
        <v>73</v>
      </c>
    </row>
    <row r="105">
      <c r="A105" s="11" t="s">
        <v>23</v>
      </c>
    </row>
    <row r="106">
      <c r="A106" s="11">
        <v>9.4</v>
      </c>
    </row>
    <row r="107">
      <c r="A107" s="11" t="s">
        <v>16</v>
      </c>
    </row>
    <row r="108">
      <c r="A108" s="16">
        <v>36.0</v>
      </c>
    </row>
    <row r="109">
      <c r="A109" s="11" t="s">
        <v>25</v>
      </c>
    </row>
    <row r="110">
      <c r="A110" s="11" t="s">
        <v>26</v>
      </c>
    </row>
    <row r="111">
      <c r="A111" s="11" t="s">
        <v>17</v>
      </c>
    </row>
    <row r="112">
      <c r="A112" s="11">
        <v>10.0</v>
      </c>
    </row>
    <row r="113">
      <c r="A113" s="11" t="s">
        <v>18</v>
      </c>
    </row>
    <row r="114">
      <c r="A114" s="11" t="s">
        <v>77</v>
      </c>
    </row>
    <row r="115">
      <c r="A115" s="11" t="s">
        <v>78</v>
      </c>
    </row>
    <row r="116">
      <c r="A116" s="11" t="s">
        <v>80</v>
      </c>
    </row>
    <row r="117">
      <c r="A117" s="11" t="s">
        <v>37</v>
      </c>
    </row>
    <row r="118">
      <c r="A118" s="11">
        <v>12.2</v>
      </c>
    </row>
    <row r="119">
      <c r="A119" s="11" t="s">
        <v>16</v>
      </c>
    </row>
    <row r="120">
      <c r="A120" s="16">
        <v>41.0</v>
      </c>
    </row>
    <row r="121">
      <c r="A121" s="11" t="s">
        <v>25</v>
      </c>
    </row>
    <row r="122">
      <c r="A122" s="11" t="s">
        <v>26</v>
      </c>
    </row>
    <row r="123">
      <c r="A123" s="11" t="s">
        <v>17</v>
      </c>
    </row>
    <row r="124">
      <c r="A124" s="11">
        <v>11.0</v>
      </c>
    </row>
    <row r="125">
      <c r="A125" s="11" t="s">
        <v>18</v>
      </c>
    </row>
    <row r="126">
      <c r="A126" s="11" t="s">
        <v>86</v>
      </c>
    </row>
    <row r="127">
      <c r="A127" s="11" t="s">
        <v>88</v>
      </c>
    </row>
    <row r="128">
      <c r="A128" s="11" t="s">
        <v>89</v>
      </c>
    </row>
    <row r="129">
      <c r="A129" s="11" t="s">
        <v>23</v>
      </c>
    </row>
    <row r="130">
      <c r="A130" s="11">
        <v>32.8</v>
      </c>
    </row>
    <row r="131">
      <c r="A131" s="11" t="s">
        <v>16</v>
      </c>
    </row>
    <row r="132">
      <c r="A132" s="16">
        <v>49.0</v>
      </c>
    </row>
    <row r="133">
      <c r="A133" s="11" t="s">
        <v>25</v>
      </c>
    </row>
    <row r="134">
      <c r="A134" s="11" t="s">
        <v>26</v>
      </c>
    </row>
    <row r="135">
      <c r="A135" s="11" t="s">
        <v>17</v>
      </c>
    </row>
    <row r="136">
      <c r="A136" s="11">
        <v>12.0</v>
      </c>
    </row>
    <row r="137">
      <c r="A137" s="11" t="s">
        <v>18</v>
      </c>
    </row>
    <row r="138">
      <c r="A138" s="11" t="s">
        <v>93</v>
      </c>
    </row>
    <row r="139">
      <c r="A139" s="11" t="s">
        <v>94</v>
      </c>
    </row>
    <row r="140">
      <c r="A140" s="11" t="s">
        <v>96</v>
      </c>
    </row>
    <row r="141">
      <c r="A141" s="11" t="s">
        <v>98</v>
      </c>
    </row>
    <row r="142">
      <c r="A142" s="11">
        <v>25.2</v>
      </c>
    </row>
    <row r="143">
      <c r="A143" s="11" t="s">
        <v>16</v>
      </c>
    </row>
    <row r="144">
      <c r="A144" s="16">
        <v>22.0</v>
      </c>
    </row>
    <row r="145">
      <c r="A145" s="11" t="s">
        <v>25</v>
      </c>
    </row>
    <row r="146">
      <c r="A146" s="11" t="s">
        <v>26</v>
      </c>
    </row>
    <row r="147">
      <c r="A147" s="11" t="s">
        <v>17</v>
      </c>
    </row>
    <row r="148">
      <c r="A148" s="11">
        <v>13.0</v>
      </c>
    </row>
    <row r="149">
      <c r="A149" s="11" t="s">
        <v>18</v>
      </c>
    </row>
    <row r="150">
      <c r="A150" s="11" t="s">
        <v>101</v>
      </c>
    </row>
    <row r="151">
      <c r="A151" s="11" t="s">
        <v>20</v>
      </c>
    </row>
    <row r="152">
      <c r="A152" s="11" t="s">
        <v>102</v>
      </c>
    </row>
    <row r="153">
      <c r="A153" s="11" t="s">
        <v>23</v>
      </c>
    </row>
    <row r="154">
      <c r="A154" s="11">
        <v>17.6</v>
      </c>
    </row>
    <row r="155">
      <c r="A155" s="11" t="s">
        <v>16</v>
      </c>
    </row>
    <row r="156">
      <c r="A156" s="16">
        <v>43.0</v>
      </c>
    </row>
    <row r="157">
      <c r="A157" s="11" t="s">
        <v>25</v>
      </c>
    </row>
    <row r="158">
      <c r="A158" s="11" t="s">
        <v>26</v>
      </c>
    </row>
    <row r="159">
      <c r="A159" s="11" t="s">
        <v>17</v>
      </c>
    </row>
    <row r="160">
      <c r="A160" s="11">
        <v>14.0</v>
      </c>
    </row>
    <row r="161">
      <c r="A161" s="11" t="s">
        <v>18</v>
      </c>
    </row>
    <row r="162">
      <c r="A162" s="11" t="s">
        <v>107</v>
      </c>
    </row>
    <row r="163">
      <c r="A163" s="11" t="s">
        <v>53</v>
      </c>
    </row>
    <row r="164">
      <c r="A164" s="11" t="s">
        <v>108</v>
      </c>
    </row>
    <row r="165">
      <c r="A165" s="11" t="s">
        <v>23</v>
      </c>
    </row>
    <row r="166">
      <c r="A166" s="11">
        <v>13.6</v>
      </c>
    </row>
    <row r="167">
      <c r="A167" s="11" t="s">
        <v>16</v>
      </c>
    </row>
    <row r="168">
      <c r="A168" s="16">
        <v>40.0</v>
      </c>
    </row>
    <row r="169">
      <c r="A169" s="11" t="s">
        <v>25</v>
      </c>
    </row>
    <row r="170">
      <c r="A170" s="11" t="s">
        <v>26</v>
      </c>
    </row>
    <row r="171">
      <c r="A171" s="11" t="s">
        <v>17</v>
      </c>
    </row>
    <row r="172">
      <c r="A172" s="11">
        <v>15.0</v>
      </c>
    </row>
    <row r="173">
      <c r="A173" s="11" t="s">
        <v>18</v>
      </c>
    </row>
    <row r="174">
      <c r="A174" s="11" t="s">
        <v>112</v>
      </c>
    </row>
    <row r="175">
      <c r="A175" s="11" t="s">
        <v>113</v>
      </c>
    </row>
    <row r="176">
      <c r="A176" s="11" t="s">
        <v>116</v>
      </c>
    </row>
    <row r="177">
      <c r="A177" s="11" t="s">
        <v>117</v>
      </c>
    </row>
    <row r="178">
      <c r="A178" s="11">
        <v>25.0</v>
      </c>
    </row>
    <row r="179">
      <c r="A179" s="11" t="s">
        <v>16</v>
      </c>
    </row>
    <row r="180">
      <c r="A180" s="16">
        <v>51.0</v>
      </c>
    </row>
    <row r="181">
      <c r="A181" s="11" t="s">
        <v>25</v>
      </c>
    </row>
    <row r="182">
      <c r="A182" s="11" t="s">
        <v>26</v>
      </c>
    </row>
    <row r="183">
      <c r="A183" s="11" t="s">
        <v>17</v>
      </c>
    </row>
    <row r="184">
      <c r="A184" s="11">
        <v>16.0</v>
      </c>
    </row>
    <row r="185">
      <c r="A185" s="11" t="s">
        <v>18</v>
      </c>
    </row>
    <row r="186">
      <c r="A186" s="11" t="s">
        <v>118</v>
      </c>
    </row>
    <row r="187">
      <c r="A187" s="11" t="s">
        <v>119</v>
      </c>
    </row>
    <row r="188">
      <c r="A188" s="11" t="s">
        <v>120</v>
      </c>
    </row>
    <row r="189">
      <c r="A189" s="11" t="s">
        <v>121</v>
      </c>
    </row>
    <row r="190">
      <c r="A190" s="11">
        <v>12.4</v>
      </c>
    </row>
    <row r="191">
      <c r="A191" s="11" t="s">
        <v>16</v>
      </c>
    </row>
    <row r="192">
      <c r="A192" s="16">
        <v>46.0</v>
      </c>
    </row>
    <row r="193">
      <c r="A193" s="11" t="s">
        <v>25</v>
      </c>
    </row>
    <row r="194">
      <c r="A194" s="11" t="s">
        <v>26</v>
      </c>
    </row>
    <row r="195">
      <c r="A195" s="11" t="s">
        <v>17</v>
      </c>
    </row>
    <row r="196">
      <c r="A196" s="11">
        <v>17.0</v>
      </c>
    </row>
    <row r="197">
      <c r="A197" s="11" t="s">
        <v>18</v>
      </c>
    </row>
    <row r="198">
      <c r="A198" s="11" t="s">
        <v>124</v>
      </c>
    </row>
    <row r="199">
      <c r="A199" s="11" t="s">
        <v>125</v>
      </c>
    </row>
    <row r="200">
      <c r="A200" s="11" t="s">
        <v>126</v>
      </c>
    </row>
    <row r="201">
      <c r="A201" s="11" t="s">
        <v>37</v>
      </c>
    </row>
    <row r="202">
      <c r="A202" s="11">
        <v>5.0</v>
      </c>
    </row>
    <row r="203">
      <c r="A203" s="11" t="s">
        <v>16</v>
      </c>
    </row>
    <row r="204">
      <c r="A204" s="16">
        <v>37.0</v>
      </c>
    </row>
    <row r="205">
      <c r="A205" s="11" t="s">
        <v>25</v>
      </c>
    </row>
    <row r="206">
      <c r="A206" s="11" t="s">
        <v>26</v>
      </c>
    </row>
    <row r="207">
      <c r="A207" s="11" t="s">
        <v>17</v>
      </c>
    </row>
    <row r="208">
      <c r="A208" s="11">
        <v>18.0</v>
      </c>
    </row>
    <row r="209">
      <c r="A209" s="11" t="s">
        <v>18</v>
      </c>
    </row>
    <row r="210">
      <c r="A210" s="11" t="s">
        <v>129</v>
      </c>
    </row>
    <row r="211">
      <c r="A211" s="11" t="s">
        <v>131</v>
      </c>
    </row>
    <row r="212">
      <c r="A212" s="11" t="s">
        <v>132</v>
      </c>
    </row>
    <row r="213">
      <c r="A213" s="11" t="s">
        <v>62</v>
      </c>
    </row>
    <row r="214">
      <c r="A214" s="11">
        <v>18.0</v>
      </c>
    </row>
    <row r="215">
      <c r="A215" s="11" t="s">
        <v>16</v>
      </c>
    </row>
    <row r="216">
      <c r="A216" s="16">
        <v>27.0</v>
      </c>
    </row>
    <row r="217">
      <c r="A217" s="11" t="s">
        <v>25</v>
      </c>
    </row>
    <row r="218">
      <c r="A218" s="11" t="s">
        <v>26</v>
      </c>
    </row>
    <row r="219">
      <c r="A219" s="11" t="s">
        <v>17</v>
      </c>
    </row>
    <row r="220">
      <c r="A220" s="11">
        <v>19.0</v>
      </c>
    </row>
    <row r="221">
      <c r="A221" s="11" t="s">
        <v>18</v>
      </c>
    </row>
    <row r="222">
      <c r="A222" s="11" t="s">
        <v>135</v>
      </c>
    </row>
    <row r="223">
      <c r="A223" s="11" t="s">
        <v>47</v>
      </c>
    </row>
    <row r="224">
      <c r="A224" s="11" t="s">
        <v>136</v>
      </c>
    </row>
    <row r="225">
      <c r="A225" s="11" t="s">
        <v>31</v>
      </c>
    </row>
    <row r="226">
      <c r="A226" s="11">
        <v>14.6</v>
      </c>
    </row>
    <row r="227">
      <c r="A227" s="11" t="s">
        <v>16</v>
      </c>
    </row>
    <row r="228">
      <c r="A228" s="16">
        <v>29.0</v>
      </c>
    </row>
    <row r="229">
      <c r="A229" s="11" t="s">
        <v>25</v>
      </c>
    </row>
    <row r="230">
      <c r="A230" s="11" t="s">
        <v>26</v>
      </c>
    </row>
    <row r="231">
      <c r="A231" s="11" t="s">
        <v>17</v>
      </c>
    </row>
    <row r="232">
      <c r="A232" s="11">
        <v>20.0</v>
      </c>
    </row>
    <row r="233">
      <c r="A233" s="11" t="s">
        <v>18</v>
      </c>
    </row>
    <row r="234">
      <c r="A234" s="11" t="s">
        <v>141</v>
      </c>
    </row>
    <row r="235">
      <c r="A235" s="11" t="s">
        <v>142</v>
      </c>
    </row>
    <row r="236">
      <c r="A236" s="11" t="s">
        <v>143</v>
      </c>
    </row>
    <row r="237">
      <c r="A237" s="11" t="s">
        <v>31</v>
      </c>
    </row>
    <row r="238">
      <c r="A238" s="11">
        <v>19.4</v>
      </c>
    </row>
    <row r="239">
      <c r="A239" s="11" t="s">
        <v>16</v>
      </c>
    </row>
    <row r="240">
      <c r="A240" s="16">
        <v>32.0</v>
      </c>
    </row>
    <row r="241">
      <c r="A241" s="11" t="s">
        <v>25</v>
      </c>
    </row>
    <row r="242">
      <c r="A242" s="11" t="s">
        <v>26</v>
      </c>
    </row>
    <row r="243">
      <c r="A243" s="11" t="s">
        <v>17</v>
      </c>
    </row>
    <row r="244">
      <c r="A244" s="11">
        <v>21.0</v>
      </c>
    </row>
    <row r="245">
      <c r="A245" s="11" t="s">
        <v>145</v>
      </c>
    </row>
    <row r="246">
      <c r="A246" s="11" t="s">
        <v>146</v>
      </c>
    </row>
    <row r="247">
      <c r="A247" s="11" t="s">
        <v>148</v>
      </c>
    </row>
    <row r="248">
      <c r="A248" s="11" t="s">
        <v>117</v>
      </c>
    </row>
    <row r="249">
      <c r="A249" s="11">
        <v>29.8</v>
      </c>
    </row>
    <row r="250">
      <c r="A250" s="11" t="s">
        <v>16</v>
      </c>
    </row>
    <row r="251">
      <c r="A251" s="11" t="s">
        <v>151</v>
      </c>
    </row>
    <row r="252">
      <c r="A252" s="11" t="s">
        <v>25</v>
      </c>
    </row>
    <row r="253">
      <c r="A253" s="11" t="s">
        <v>26</v>
      </c>
    </row>
    <row r="254">
      <c r="A254" s="11" t="s">
        <v>17</v>
      </c>
    </row>
    <row r="255">
      <c r="A255" s="11">
        <v>22.0</v>
      </c>
    </row>
    <row r="256">
      <c r="A256" s="11" t="s">
        <v>18</v>
      </c>
    </row>
    <row r="257">
      <c r="A257" s="11" t="s">
        <v>152</v>
      </c>
    </row>
    <row r="258">
      <c r="A258" s="11" t="s">
        <v>29</v>
      </c>
    </row>
    <row r="259">
      <c r="A259" s="11" t="s">
        <v>153</v>
      </c>
    </row>
    <row r="260">
      <c r="A260" s="11" t="s">
        <v>31</v>
      </c>
    </row>
    <row r="261">
      <c r="A261" s="11">
        <v>20.0</v>
      </c>
    </row>
    <row r="262">
      <c r="A262" s="11" t="s">
        <v>16</v>
      </c>
    </row>
    <row r="263">
      <c r="A263" s="16">
        <v>44.0</v>
      </c>
    </row>
    <row r="264">
      <c r="A264" s="11" t="s">
        <v>25</v>
      </c>
    </row>
    <row r="265">
      <c r="A265" s="11" t="s">
        <v>26</v>
      </c>
    </row>
    <row r="266">
      <c r="A266" s="11" t="s">
        <v>17</v>
      </c>
    </row>
    <row r="267">
      <c r="A267" s="11">
        <v>23.0</v>
      </c>
    </row>
    <row r="268">
      <c r="A268" s="11" t="s">
        <v>18</v>
      </c>
    </row>
    <row r="269">
      <c r="A269" s="11" t="s">
        <v>157</v>
      </c>
    </row>
    <row r="270">
      <c r="A270" s="11" t="s">
        <v>159</v>
      </c>
    </row>
    <row r="271">
      <c r="A271" s="11" t="s">
        <v>161</v>
      </c>
    </row>
    <row r="272">
      <c r="A272" s="11" t="s">
        <v>31</v>
      </c>
    </row>
    <row r="273">
      <c r="A273" s="11">
        <v>30.0</v>
      </c>
    </row>
    <row r="274">
      <c r="A274" s="11" t="s">
        <v>16</v>
      </c>
    </row>
    <row r="275">
      <c r="A275" s="16">
        <v>32.0</v>
      </c>
    </row>
    <row r="276">
      <c r="A276" s="11" t="s">
        <v>25</v>
      </c>
    </row>
    <row r="277">
      <c r="A277" s="11" t="s">
        <v>26</v>
      </c>
    </row>
    <row r="278">
      <c r="A278" s="11" t="s">
        <v>17</v>
      </c>
    </row>
    <row r="279">
      <c r="A279" s="11">
        <v>24.0</v>
      </c>
    </row>
    <row r="280">
      <c r="A280" s="11" t="s">
        <v>18</v>
      </c>
    </row>
    <row r="281">
      <c r="A281" s="11" t="s">
        <v>164</v>
      </c>
    </row>
    <row r="282">
      <c r="A282" s="11" t="s">
        <v>166</v>
      </c>
    </row>
    <row r="283">
      <c r="A283" s="11" t="s">
        <v>167</v>
      </c>
    </row>
    <row r="284">
      <c r="A284" s="11" t="s">
        <v>44</v>
      </c>
    </row>
    <row r="285">
      <c r="A285" s="11">
        <v>31.2</v>
      </c>
    </row>
    <row r="286">
      <c r="A286" s="11" t="s">
        <v>16</v>
      </c>
    </row>
    <row r="287">
      <c r="A287" s="16">
        <v>45.0</v>
      </c>
    </row>
    <row r="288">
      <c r="A288" s="11" t="s">
        <v>25</v>
      </c>
    </row>
    <row r="289">
      <c r="A289" s="11" t="s">
        <v>26</v>
      </c>
    </row>
    <row r="290">
      <c r="A290" s="11" t="s">
        <v>17</v>
      </c>
    </row>
    <row r="291">
      <c r="A291" s="11">
        <v>25.0</v>
      </c>
    </row>
    <row r="292">
      <c r="A292" s="11" t="s">
        <v>18</v>
      </c>
    </row>
    <row r="293">
      <c r="A293" s="11" t="s">
        <v>171</v>
      </c>
    </row>
    <row r="294">
      <c r="A294" s="11" t="s">
        <v>119</v>
      </c>
    </row>
    <row r="295">
      <c r="A295" s="11" t="s">
        <v>172</v>
      </c>
    </row>
    <row r="296">
      <c r="A296" s="11" t="s">
        <v>121</v>
      </c>
    </row>
    <row r="297">
      <c r="A297" s="11">
        <v>50.0</v>
      </c>
    </row>
    <row r="298">
      <c r="A298" s="11" t="s">
        <v>16</v>
      </c>
    </row>
    <row r="299">
      <c r="A299" s="16">
        <v>17.0</v>
      </c>
    </row>
    <row r="300">
      <c r="A300" s="11" t="s">
        <v>25</v>
      </c>
    </row>
    <row r="301">
      <c r="A301" s="11" t="s">
        <v>26</v>
      </c>
    </row>
    <row r="302">
      <c r="A302" s="11" t="s">
        <v>17</v>
      </c>
    </row>
    <row r="303">
      <c r="A303" s="11">
        <v>26.0</v>
      </c>
    </row>
    <row r="304">
      <c r="A304" s="11" t="s">
        <v>18</v>
      </c>
    </row>
    <row r="305">
      <c r="A305" s="11" t="s">
        <v>174</v>
      </c>
    </row>
    <row r="306">
      <c r="A306" s="11" t="s">
        <v>113</v>
      </c>
    </row>
    <row r="307">
      <c r="A307" s="11" t="s">
        <v>176</v>
      </c>
    </row>
    <row r="308">
      <c r="A308" s="11" t="s">
        <v>117</v>
      </c>
    </row>
    <row r="309">
      <c r="A309" s="11">
        <v>28.2</v>
      </c>
    </row>
    <row r="310">
      <c r="A310" s="11" t="s">
        <v>16</v>
      </c>
    </row>
    <row r="311">
      <c r="A311" s="16">
        <v>5.0</v>
      </c>
    </row>
    <row r="312">
      <c r="A312" s="11" t="s">
        <v>25</v>
      </c>
    </row>
    <row r="313">
      <c r="A313" s="11" t="s">
        <v>26</v>
      </c>
    </row>
    <row r="314">
      <c r="A314" s="11" t="s">
        <v>17</v>
      </c>
    </row>
    <row r="315">
      <c r="A315" s="11">
        <v>27.0</v>
      </c>
    </row>
    <row r="316">
      <c r="A316" s="11" t="s">
        <v>18</v>
      </c>
    </row>
    <row r="317">
      <c r="A317" s="11" t="s">
        <v>182</v>
      </c>
    </row>
    <row r="318">
      <c r="A318" s="11" t="s">
        <v>183</v>
      </c>
    </row>
    <row r="319">
      <c r="A319" s="11" t="s">
        <v>184</v>
      </c>
    </row>
    <row r="320">
      <c r="A320" s="11" t="s">
        <v>44</v>
      </c>
    </row>
    <row r="321">
      <c r="A321" s="11">
        <v>35.0</v>
      </c>
    </row>
    <row r="322">
      <c r="A322" s="11" t="s">
        <v>16</v>
      </c>
    </row>
    <row r="323">
      <c r="A323" s="16">
        <v>10.0</v>
      </c>
    </row>
    <row r="324">
      <c r="A324" s="11" t="s">
        <v>25</v>
      </c>
    </row>
    <row r="325">
      <c r="A325" s="11" t="s">
        <v>26</v>
      </c>
    </row>
    <row r="326">
      <c r="A326" s="11" t="s">
        <v>17</v>
      </c>
    </row>
    <row r="327">
      <c r="A327" s="11">
        <v>28.0</v>
      </c>
    </row>
    <row r="328">
      <c r="A328" s="11" t="s">
        <v>18</v>
      </c>
    </row>
    <row r="329">
      <c r="A329" s="11" t="s">
        <v>188</v>
      </c>
    </row>
    <row r="330">
      <c r="A330" s="11" t="s">
        <v>146</v>
      </c>
    </row>
    <row r="331">
      <c r="A331" s="11" t="s">
        <v>190</v>
      </c>
    </row>
    <row r="332">
      <c r="A332" s="11" t="s">
        <v>117</v>
      </c>
    </row>
    <row r="333">
      <c r="A333" s="11">
        <v>35.8</v>
      </c>
    </row>
    <row r="334">
      <c r="A334" s="11" t="s">
        <v>16</v>
      </c>
    </row>
    <row r="335">
      <c r="A335" s="16">
        <v>26.0</v>
      </c>
    </row>
    <row r="336">
      <c r="A336" s="11" t="s">
        <v>25</v>
      </c>
    </row>
    <row r="337">
      <c r="A337" s="11" t="s">
        <v>26</v>
      </c>
    </row>
    <row r="338">
      <c r="A338" s="11" t="s">
        <v>17</v>
      </c>
    </row>
    <row r="339">
      <c r="A339" s="11">
        <v>29.0</v>
      </c>
    </row>
    <row r="340">
      <c r="A340" s="11" t="s">
        <v>18</v>
      </c>
    </row>
    <row r="341">
      <c r="A341" s="11" t="s">
        <v>194</v>
      </c>
    </row>
    <row r="342">
      <c r="A342" s="11" t="s">
        <v>113</v>
      </c>
    </row>
    <row r="343">
      <c r="A343" s="11" t="s">
        <v>196</v>
      </c>
    </row>
    <row r="344">
      <c r="A344" s="11" t="s">
        <v>117</v>
      </c>
    </row>
    <row r="345">
      <c r="A345" s="11">
        <v>26.6</v>
      </c>
    </row>
    <row r="346">
      <c r="A346" s="11" t="s">
        <v>16</v>
      </c>
    </row>
    <row r="347">
      <c r="A347" s="16">
        <v>22.0</v>
      </c>
    </row>
    <row r="348">
      <c r="A348" s="11" t="s">
        <v>25</v>
      </c>
    </row>
    <row r="349">
      <c r="A349" s="11" t="s">
        <v>26</v>
      </c>
    </row>
    <row r="350">
      <c r="A350" s="11" t="s">
        <v>17</v>
      </c>
    </row>
    <row r="351">
      <c r="A351" s="11">
        <v>30.0</v>
      </c>
    </row>
    <row r="352">
      <c r="A352" s="11" t="s">
        <v>18</v>
      </c>
    </row>
    <row r="353">
      <c r="A353" s="11" t="s">
        <v>200</v>
      </c>
    </row>
    <row r="354">
      <c r="A354" s="11" t="s">
        <v>78</v>
      </c>
    </row>
    <row r="355">
      <c r="A355" s="11" t="s">
        <v>202</v>
      </c>
    </row>
    <row r="356">
      <c r="A356" s="11" t="s">
        <v>37</v>
      </c>
    </row>
    <row r="357">
      <c r="A357" s="11">
        <v>43.8</v>
      </c>
    </row>
    <row r="358">
      <c r="A358" s="11" t="s">
        <v>16</v>
      </c>
    </row>
    <row r="359">
      <c r="A359" s="16">
        <v>30.0</v>
      </c>
    </row>
    <row r="360">
      <c r="A360" s="11" t="s">
        <v>25</v>
      </c>
    </row>
    <row r="361">
      <c r="A361" s="11" t="s">
        <v>26</v>
      </c>
    </row>
    <row r="362">
      <c r="A362" s="11" t="s">
        <v>17</v>
      </c>
    </row>
    <row r="363">
      <c r="A363" s="11">
        <v>31.0</v>
      </c>
    </row>
    <row r="364">
      <c r="A364" s="11" t="s">
        <v>18</v>
      </c>
    </row>
    <row r="365">
      <c r="A365" s="11" t="s">
        <v>205</v>
      </c>
    </row>
    <row r="366">
      <c r="A366" s="11" t="s">
        <v>206</v>
      </c>
    </row>
    <row r="367">
      <c r="A367" s="11" t="s">
        <v>208</v>
      </c>
    </row>
    <row r="368">
      <c r="A368" s="11" t="s">
        <v>37</v>
      </c>
    </row>
    <row r="369">
      <c r="A369" s="11">
        <v>30.0</v>
      </c>
    </row>
    <row r="370">
      <c r="A370" s="11" t="s">
        <v>16</v>
      </c>
    </row>
    <row r="371">
      <c r="A371" s="16">
        <v>22.0</v>
      </c>
    </row>
    <row r="372">
      <c r="A372" s="11" t="s">
        <v>25</v>
      </c>
    </row>
    <row r="373">
      <c r="A373" s="11" t="s">
        <v>26</v>
      </c>
    </row>
    <row r="374">
      <c r="A374" s="11" t="s">
        <v>17</v>
      </c>
    </row>
    <row r="375">
      <c r="A375" s="11">
        <v>32.0</v>
      </c>
    </row>
    <row r="376">
      <c r="A376" s="11" t="s">
        <v>18</v>
      </c>
    </row>
    <row r="377">
      <c r="A377" s="11" t="s">
        <v>211</v>
      </c>
    </row>
    <row r="378">
      <c r="A378" s="11" t="s">
        <v>59</v>
      </c>
    </row>
    <row r="379">
      <c r="A379" s="11" t="s">
        <v>212</v>
      </c>
    </row>
    <row r="380">
      <c r="A380" s="11" t="s">
        <v>62</v>
      </c>
    </row>
    <row r="381">
      <c r="A381" s="11">
        <v>14.2</v>
      </c>
    </row>
    <row r="382">
      <c r="A382" s="11" t="s">
        <v>16</v>
      </c>
    </row>
    <row r="383">
      <c r="A383" s="16">
        <v>21.0</v>
      </c>
    </row>
    <row r="384">
      <c r="A384" s="11" t="s">
        <v>25</v>
      </c>
    </row>
    <row r="385">
      <c r="A385" s="11" t="s">
        <v>26</v>
      </c>
    </row>
    <row r="386">
      <c r="A386" s="11" t="s">
        <v>17</v>
      </c>
    </row>
    <row r="387">
      <c r="A387" s="11">
        <v>33.0</v>
      </c>
    </row>
    <row r="388">
      <c r="A388" s="11" t="s">
        <v>18</v>
      </c>
    </row>
    <row r="389">
      <c r="A389" s="11" t="s">
        <v>217</v>
      </c>
    </row>
    <row r="390">
      <c r="A390" s="11" t="s">
        <v>125</v>
      </c>
    </row>
    <row r="391">
      <c r="A391" s="11" t="s">
        <v>218</v>
      </c>
    </row>
    <row r="392">
      <c r="A392" s="11" t="s">
        <v>37</v>
      </c>
    </row>
    <row r="393">
      <c r="A393" s="11">
        <v>44.8</v>
      </c>
    </row>
    <row r="394">
      <c r="A394" s="11" t="s">
        <v>16</v>
      </c>
    </row>
    <row r="395">
      <c r="A395" s="16">
        <v>14.0</v>
      </c>
    </row>
    <row r="396">
      <c r="A396" s="11" t="s">
        <v>25</v>
      </c>
    </row>
    <row r="397">
      <c r="A397" s="11" t="s">
        <v>26</v>
      </c>
    </row>
    <row r="398">
      <c r="A398" s="11" t="s">
        <v>17</v>
      </c>
    </row>
    <row r="399">
      <c r="A399" s="11">
        <v>34.0</v>
      </c>
    </row>
    <row r="400">
      <c r="A400" s="11" t="s">
        <v>18</v>
      </c>
    </row>
    <row r="401">
      <c r="A401" s="11" t="s">
        <v>223</v>
      </c>
    </row>
    <row r="402">
      <c r="A402" s="11" t="s">
        <v>94</v>
      </c>
    </row>
    <row r="403">
      <c r="A403" s="11" t="s">
        <v>225</v>
      </c>
    </row>
    <row r="404">
      <c r="A404" s="11" t="s">
        <v>98</v>
      </c>
    </row>
    <row r="405">
      <c r="A405" s="11">
        <v>23.2</v>
      </c>
    </row>
    <row r="406">
      <c r="A406" s="11" t="s">
        <v>16</v>
      </c>
    </row>
    <row r="407">
      <c r="A407" s="16">
        <v>14.0</v>
      </c>
    </row>
    <row r="408">
      <c r="A408" s="11" t="s">
        <v>25</v>
      </c>
    </row>
    <row r="409">
      <c r="A409" s="11" t="s">
        <v>26</v>
      </c>
    </row>
    <row r="410">
      <c r="A410" s="11" t="s">
        <v>17</v>
      </c>
    </row>
    <row r="411">
      <c r="A411" s="11">
        <v>35.0</v>
      </c>
    </row>
    <row r="412">
      <c r="A412" s="11" t="s">
        <v>18</v>
      </c>
    </row>
    <row r="413">
      <c r="A413" s="11" t="s">
        <v>229</v>
      </c>
    </row>
    <row r="414">
      <c r="A414" s="11" t="s">
        <v>206</v>
      </c>
    </row>
    <row r="415">
      <c r="A415" s="11" t="s">
        <v>232</v>
      </c>
    </row>
    <row r="416">
      <c r="A416" s="11" t="s">
        <v>37</v>
      </c>
    </row>
    <row r="417">
      <c r="A417" s="11">
        <v>66.6</v>
      </c>
    </row>
    <row r="418">
      <c r="A418" s="11" t="s">
        <v>16</v>
      </c>
    </row>
    <row r="419">
      <c r="A419" s="16">
        <v>27.0</v>
      </c>
    </row>
    <row r="420">
      <c r="A420" s="11" t="s">
        <v>25</v>
      </c>
    </row>
    <row r="421">
      <c r="A421" s="11" t="s">
        <v>26</v>
      </c>
    </row>
    <row r="422">
      <c r="A422" s="11" t="s">
        <v>17</v>
      </c>
    </row>
    <row r="423">
      <c r="A423" s="11">
        <v>36.0</v>
      </c>
    </row>
    <row r="424">
      <c r="A424" s="11" t="s">
        <v>18</v>
      </c>
    </row>
    <row r="425">
      <c r="A425" s="11" t="s">
        <v>235</v>
      </c>
    </row>
    <row r="426">
      <c r="A426" s="11" t="s">
        <v>236</v>
      </c>
    </row>
    <row r="427">
      <c r="A427" s="11" t="s">
        <v>237</v>
      </c>
    </row>
    <row r="428">
      <c r="A428" s="11" t="s">
        <v>31</v>
      </c>
    </row>
    <row r="429">
      <c r="A429" s="11">
        <v>39.0</v>
      </c>
    </row>
    <row r="430">
      <c r="A430" s="11" t="s">
        <v>16</v>
      </c>
    </row>
    <row r="431">
      <c r="A431" s="16">
        <v>3.0</v>
      </c>
    </row>
    <row r="432">
      <c r="A432" s="11" t="s">
        <v>25</v>
      </c>
    </row>
    <row r="433">
      <c r="A433" s="11" t="s">
        <v>26</v>
      </c>
    </row>
    <row r="434">
      <c r="A434" s="11" t="s">
        <v>17</v>
      </c>
    </row>
    <row r="435">
      <c r="A435" s="11">
        <v>37.0</v>
      </c>
    </row>
    <row r="436">
      <c r="A436" s="11" t="s">
        <v>18</v>
      </c>
    </row>
    <row r="437">
      <c r="A437" s="11" t="s">
        <v>242</v>
      </c>
    </row>
    <row r="438">
      <c r="A438" s="11" t="s">
        <v>131</v>
      </c>
    </row>
    <row r="439">
      <c r="A439" s="11" t="s">
        <v>243</v>
      </c>
    </row>
    <row r="440">
      <c r="A440" s="11" t="s">
        <v>62</v>
      </c>
    </row>
    <row r="441">
      <c r="A441" s="11">
        <v>77.0</v>
      </c>
    </row>
    <row r="442">
      <c r="A442" s="11" t="s">
        <v>16</v>
      </c>
    </row>
    <row r="443">
      <c r="A443" s="16">
        <v>37.0</v>
      </c>
    </row>
    <row r="444">
      <c r="A444" s="11" t="s">
        <v>25</v>
      </c>
    </row>
    <row r="445">
      <c r="A445" s="11" t="s">
        <v>26</v>
      </c>
    </row>
    <row r="446">
      <c r="A446" s="11" t="s">
        <v>17</v>
      </c>
    </row>
    <row r="447">
      <c r="A447" s="11">
        <v>38.0</v>
      </c>
    </row>
    <row r="448">
      <c r="A448" s="11" t="s">
        <v>18</v>
      </c>
    </row>
    <row r="449">
      <c r="A449" s="11" t="s">
        <v>247</v>
      </c>
    </row>
    <row r="450">
      <c r="A450" s="11" t="s">
        <v>248</v>
      </c>
    </row>
    <row r="451">
      <c r="A451" s="11" t="s">
        <v>249</v>
      </c>
    </row>
    <row r="452">
      <c r="A452" s="11" t="s">
        <v>98</v>
      </c>
    </row>
    <row r="453">
      <c r="A453" s="11">
        <v>57.2</v>
      </c>
    </row>
    <row r="454">
      <c r="A454" s="11" t="s">
        <v>16</v>
      </c>
    </row>
    <row r="455">
      <c r="A455" s="16">
        <v>23.0</v>
      </c>
    </row>
    <row r="456">
      <c r="A456" s="11" t="s">
        <v>25</v>
      </c>
    </row>
    <row r="457">
      <c r="A457" s="11" t="s">
        <v>26</v>
      </c>
    </row>
    <row r="458">
      <c r="A458" s="11" t="s">
        <v>17</v>
      </c>
    </row>
    <row r="459">
      <c r="A459" s="11">
        <v>39.0</v>
      </c>
    </row>
    <row r="460">
      <c r="A460" s="11" t="s">
        <v>251</v>
      </c>
    </row>
    <row r="461">
      <c r="A461" s="11" t="s">
        <v>253</v>
      </c>
    </row>
    <row r="462">
      <c r="A462" s="11" t="s">
        <v>255</v>
      </c>
    </row>
    <row r="463">
      <c r="A463" s="11" t="s">
        <v>121</v>
      </c>
    </row>
    <row r="464">
      <c r="A464" s="11">
        <v>77.4</v>
      </c>
    </row>
    <row r="465">
      <c r="A465" s="11" t="s">
        <v>16</v>
      </c>
    </row>
    <row r="466">
      <c r="A466" s="16">
        <v>3.0</v>
      </c>
    </row>
    <row r="467">
      <c r="A467" s="11" t="s">
        <v>25</v>
      </c>
    </row>
    <row r="468">
      <c r="A468" s="11" t="s">
        <v>26</v>
      </c>
    </row>
    <row r="469">
      <c r="A469" s="11" t="s">
        <v>17</v>
      </c>
    </row>
    <row r="470">
      <c r="A470" s="11">
        <v>40.0</v>
      </c>
    </row>
    <row r="471">
      <c r="A471" s="11" t="s">
        <v>18</v>
      </c>
    </row>
    <row r="472">
      <c r="A472" s="11" t="s">
        <v>258</v>
      </c>
    </row>
    <row r="473">
      <c r="A473" s="11" t="s">
        <v>259</v>
      </c>
    </row>
    <row r="474">
      <c r="A474" s="11" t="s">
        <v>260</v>
      </c>
    </row>
    <row r="475">
      <c r="A475" s="11" t="s">
        <v>121</v>
      </c>
    </row>
    <row r="476">
      <c r="A476" s="11">
        <v>32.8</v>
      </c>
    </row>
    <row r="477">
      <c r="A477" s="11" t="s">
        <v>16</v>
      </c>
    </row>
    <row r="478">
      <c r="A478" s="16">
        <v>37.0</v>
      </c>
    </row>
    <row r="479">
      <c r="A479" s="11" t="s">
        <v>25</v>
      </c>
    </row>
    <row r="480">
      <c r="A480" s="11" t="s">
        <v>26</v>
      </c>
    </row>
    <row r="481">
      <c r="A481" s="11" t="s">
        <v>17</v>
      </c>
    </row>
    <row r="482">
      <c r="A482" s="11">
        <v>41.0</v>
      </c>
    </row>
    <row r="483">
      <c r="A483" s="11" t="s">
        <v>18</v>
      </c>
    </row>
    <row r="484">
      <c r="A484" s="11" t="s">
        <v>264</v>
      </c>
    </row>
    <row r="485">
      <c r="A485" s="11" t="s">
        <v>266</v>
      </c>
    </row>
    <row r="486">
      <c r="A486" s="11" t="s">
        <v>267</v>
      </c>
    </row>
    <row r="487">
      <c r="A487" s="11" t="s">
        <v>44</v>
      </c>
    </row>
    <row r="488">
      <c r="A488" s="11">
        <v>23.6</v>
      </c>
    </row>
    <row r="489">
      <c r="A489" s="11" t="s">
        <v>16</v>
      </c>
    </row>
    <row r="490">
      <c r="A490" s="16">
        <v>4.0</v>
      </c>
    </row>
    <row r="491">
      <c r="A491" s="11" t="s">
        <v>25</v>
      </c>
    </row>
    <row r="492">
      <c r="A492" s="11" t="s">
        <v>26</v>
      </c>
    </row>
    <row r="493">
      <c r="A493" s="11" t="s">
        <v>17</v>
      </c>
    </row>
    <row r="494">
      <c r="A494" s="11">
        <v>42.0</v>
      </c>
    </row>
    <row r="495">
      <c r="A495" s="11" t="s">
        <v>18</v>
      </c>
    </row>
    <row r="496">
      <c r="A496" s="11" t="s">
        <v>273</v>
      </c>
    </row>
    <row r="497">
      <c r="A497" s="11" t="s">
        <v>259</v>
      </c>
    </row>
    <row r="498">
      <c r="A498" s="11" t="s">
        <v>274</v>
      </c>
    </row>
    <row r="499">
      <c r="A499" s="11" t="s">
        <v>121</v>
      </c>
    </row>
    <row r="500">
      <c r="A500" s="11">
        <v>47.6</v>
      </c>
    </row>
    <row r="501">
      <c r="A501" s="11" t="s">
        <v>16</v>
      </c>
    </row>
    <row r="502">
      <c r="A502" s="16">
        <v>18.0</v>
      </c>
    </row>
    <row r="503">
      <c r="A503" s="11" t="s">
        <v>25</v>
      </c>
    </row>
    <row r="504">
      <c r="A504" s="11" t="s">
        <v>26</v>
      </c>
    </row>
    <row r="505">
      <c r="A505" s="11" t="s">
        <v>17</v>
      </c>
    </row>
    <row r="506">
      <c r="A506" s="11">
        <v>43.0</v>
      </c>
    </row>
    <row r="507">
      <c r="A507" s="11" t="s">
        <v>18</v>
      </c>
    </row>
    <row r="508">
      <c r="A508" s="11" t="s">
        <v>278</v>
      </c>
    </row>
    <row r="509">
      <c r="A509" s="11" t="s">
        <v>253</v>
      </c>
    </row>
    <row r="510">
      <c r="A510" s="11" t="s">
        <v>279</v>
      </c>
    </row>
    <row r="511">
      <c r="A511" s="11" t="s">
        <v>121</v>
      </c>
    </row>
    <row r="512">
      <c r="A512" s="11">
        <v>33.6</v>
      </c>
    </row>
    <row r="513">
      <c r="A513" s="11" t="s">
        <v>16</v>
      </c>
    </row>
    <row r="514">
      <c r="A514" s="16">
        <v>13.0</v>
      </c>
    </row>
    <row r="515">
      <c r="A515" s="11" t="s">
        <v>25</v>
      </c>
    </row>
    <row r="516">
      <c r="A516" s="11" t="s">
        <v>26</v>
      </c>
    </row>
    <row r="517">
      <c r="A517" s="11" t="s">
        <v>17</v>
      </c>
    </row>
    <row r="518">
      <c r="A518" s="11">
        <v>44.0</v>
      </c>
    </row>
    <row r="519">
      <c r="A519" s="11" t="s">
        <v>18</v>
      </c>
    </row>
    <row r="520">
      <c r="A520" s="11" t="s">
        <v>284</v>
      </c>
    </row>
    <row r="521">
      <c r="A521" s="11" t="s">
        <v>266</v>
      </c>
    </row>
    <row r="522">
      <c r="A522" s="11" t="s">
        <v>286</v>
      </c>
    </row>
    <row r="523">
      <c r="A523" s="11" t="s">
        <v>44</v>
      </c>
    </row>
    <row r="524">
      <c r="A524" s="11">
        <v>37.6</v>
      </c>
    </row>
    <row r="525">
      <c r="A525" s="11" t="s">
        <v>16</v>
      </c>
    </row>
    <row r="526">
      <c r="A526" s="16">
        <v>44.0</v>
      </c>
    </row>
    <row r="527">
      <c r="A527" s="11" t="s">
        <v>25</v>
      </c>
    </row>
    <row r="528">
      <c r="A528" s="11" t="s">
        <v>26</v>
      </c>
    </row>
    <row r="529">
      <c r="A529" s="11" t="s">
        <v>17</v>
      </c>
    </row>
    <row r="530">
      <c r="A530" s="11">
        <v>45.0</v>
      </c>
    </row>
    <row r="531">
      <c r="A531" s="11" t="s">
        <v>18</v>
      </c>
    </row>
    <row r="532">
      <c r="A532" s="11" t="s">
        <v>289</v>
      </c>
    </row>
    <row r="533">
      <c r="A533" s="11" t="s">
        <v>53</v>
      </c>
    </row>
    <row r="534">
      <c r="A534" s="11" t="s">
        <v>291</v>
      </c>
    </row>
    <row r="535">
      <c r="A535" s="11" t="s">
        <v>23</v>
      </c>
    </row>
    <row r="536">
      <c r="A536" s="11">
        <v>42.6</v>
      </c>
    </row>
    <row r="537">
      <c r="A537" s="11" t="s">
        <v>16</v>
      </c>
    </row>
    <row r="538">
      <c r="A538" s="16">
        <v>28.0</v>
      </c>
    </row>
    <row r="539">
      <c r="A539" s="11" t="s">
        <v>25</v>
      </c>
    </row>
    <row r="540">
      <c r="A540" s="11" t="s">
        <v>26</v>
      </c>
    </row>
    <row r="541">
      <c r="A541" s="11" t="s">
        <v>17</v>
      </c>
    </row>
    <row r="542">
      <c r="A542" s="11">
        <v>46.0</v>
      </c>
    </row>
    <row r="543">
      <c r="A543" s="11" t="s">
        <v>18</v>
      </c>
    </row>
    <row r="544">
      <c r="A544" s="11" t="s">
        <v>294</v>
      </c>
    </row>
    <row r="545">
      <c r="A545" s="11" t="s">
        <v>295</v>
      </c>
    </row>
    <row r="546">
      <c r="A546" s="11" t="s">
        <v>296</v>
      </c>
    </row>
    <row r="547">
      <c r="A547" s="11" t="s">
        <v>62</v>
      </c>
    </row>
    <row r="548">
      <c r="A548" s="11">
        <v>52.8</v>
      </c>
    </row>
    <row r="549">
      <c r="A549" s="11" t="s">
        <v>16</v>
      </c>
    </row>
    <row r="550">
      <c r="A550" s="16">
        <v>19.0</v>
      </c>
    </row>
    <row r="551">
      <c r="A551" s="11" t="s">
        <v>25</v>
      </c>
    </row>
    <row r="552">
      <c r="A552" s="11" t="s">
        <v>26</v>
      </c>
    </row>
    <row r="553">
      <c r="A553" s="11" t="s">
        <v>17</v>
      </c>
    </row>
    <row r="554">
      <c r="A554" s="11">
        <v>47.0</v>
      </c>
    </row>
    <row r="555">
      <c r="A555" s="11" t="s">
        <v>18</v>
      </c>
    </row>
    <row r="556">
      <c r="A556" s="11" t="s">
        <v>298</v>
      </c>
    </row>
    <row r="557">
      <c r="A557" s="11" t="s">
        <v>166</v>
      </c>
    </row>
    <row r="558">
      <c r="A558" s="11" t="s">
        <v>300</v>
      </c>
    </row>
    <row r="559">
      <c r="A559" s="11" t="s">
        <v>44</v>
      </c>
    </row>
    <row r="560">
      <c r="A560" s="11">
        <v>47.4</v>
      </c>
    </row>
    <row r="561">
      <c r="A561" s="11" t="s">
        <v>16</v>
      </c>
    </row>
    <row r="562">
      <c r="A562" s="16">
        <v>9.0</v>
      </c>
    </row>
    <row r="563">
      <c r="A563" s="11" t="s">
        <v>25</v>
      </c>
    </row>
    <row r="564">
      <c r="A564" s="11" t="s">
        <v>26</v>
      </c>
    </row>
    <row r="565">
      <c r="A565" s="11" t="s">
        <v>17</v>
      </c>
    </row>
    <row r="566">
      <c r="A566" s="11">
        <v>48.0</v>
      </c>
    </row>
    <row r="567">
      <c r="A567" s="11" t="s">
        <v>302</v>
      </c>
    </row>
    <row r="568">
      <c r="A568" s="11" t="s">
        <v>253</v>
      </c>
    </row>
    <row r="569">
      <c r="A569" s="11" t="s">
        <v>304</v>
      </c>
    </row>
    <row r="570">
      <c r="A570" s="11" t="s">
        <v>121</v>
      </c>
    </row>
    <row r="571">
      <c r="A571" s="11">
        <v>56.4</v>
      </c>
    </row>
    <row r="572">
      <c r="A572" s="11" t="s">
        <v>16</v>
      </c>
    </row>
    <row r="573">
      <c r="A573" s="16">
        <v>3.0</v>
      </c>
    </row>
    <row r="574">
      <c r="A574" s="11" t="s">
        <v>25</v>
      </c>
    </row>
    <row r="575">
      <c r="A575" s="11" t="s">
        <v>26</v>
      </c>
    </row>
    <row r="576">
      <c r="A576" s="11" t="s">
        <v>17</v>
      </c>
    </row>
    <row r="577">
      <c r="A577" s="11">
        <v>49.0</v>
      </c>
    </row>
    <row r="578">
      <c r="A578" s="11" t="s">
        <v>18</v>
      </c>
    </row>
    <row r="579">
      <c r="A579" s="11" t="s">
        <v>307</v>
      </c>
    </row>
    <row r="580">
      <c r="A580" s="11" t="s">
        <v>183</v>
      </c>
    </row>
    <row r="581">
      <c r="A581" s="11" t="s">
        <v>308</v>
      </c>
    </row>
    <row r="582">
      <c r="A582" s="11" t="s">
        <v>44</v>
      </c>
    </row>
    <row r="583">
      <c r="A583" s="11">
        <v>41.2</v>
      </c>
    </row>
    <row r="584">
      <c r="A584" s="11" t="s">
        <v>16</v>
      </c>
    </row>
    <row r="585">
      <c r="A585" s="16">
        <v>7.0</v>
      </c>
    </row>
    <row r="586">
      <c r="A586" s="11" t="s">
        <v>25</v>
      </c>
    </row>
    <row r="587">
      <c r="A587" s="11" t="s">
        <v>26</v>
      </c>
    </row>
    <row r="588">
      <c r="A588" s="11" t="s">
        <v>17</v>
      </c>
    </row>
    <row r="589">
      <c r="A589" s="11">
        <v>50.0</v>
      </c>
    </row>
    <row r="590">
      <c r="A590" s="11" t="s">
        <v>18</v>
      </c>
    </row>
    <row r="591">
      <c r="A591" s="11" t="s">
        <v>314</v>
      </c>
    </row>
    <row r="592">
      <c r="A592" s="11" t="s">
        <v>159</v>
      </c>
    </row>
    <row r="593">
      <c r="A593" s="11" t="s">
        <v>315</v>
      </c>
    </row>
    <row r="594">
      <c r="A594" s="11" t="s">
        <v>31</v>
      </c>
    </row>
    <row r="595">
      <c r="A595" s="11">
        <v>44.0</v>
      </c>
    </row>
    <row r="596">
      <c r="A596" s="11" t="s">
        <v>16</v>
      </c>
    </row>
    <row r="597">
      <c r="A597" s="16">
        <v>3.0</v>
      </c>
    </row>
    <row r="598">
      <c r="A598" s="11" t="s">
        <v>25</v>
      </c>
    </row>
    <row r="599">
      <c r="A599" s="11" t="s">
        <v>26</v>
      </c>
    </row>
    <row r="600">
      <c r="A600" s="11" t="s">
        <v>17</v>
      </c>
    </row>
    <row r="601">
      <c r="A601" s="11">
        <v>51.0</v>
      </c>
    </row>
    <row r="602">
      <c r="A602" s="11" t="s">
        <v>18</v>
      </c>
    </row>
    <row r="603">
      <c r="A603" s="11" t="s">
        <v>317</v>
      </c>
    </row>
    <row r="604">
      <c r="A604" s="11" t="s">
        <v>319</v>
      </c>
    </row>
    <row r="605">
      <c r="A605" s="11" t="s">
        <v>320</v>
      </c>
    </row>
    <row r="606">
      <c r="A606" s="11" t="s">
        <v>121</v>
      </c>
    </row>
    <row r="607">
      <c r="A607" s="11">
        <v>72.2</v>
      </c>
    </row>
    <row r="608">
      <c r="A608" s="11" t="s">
        <v>16</v>
      </c>
    </row>
    <row r="609">
      <c r="A609" s="16">
        <v>17.0</v>
      </c>
    </row>
    <row r="610">
      <c r="A610" s="11" t="s">
        <v>25</v>
      </c>
    </row>
    <row r="611">
      <c r="A611" s="11" t="s">
        <v>26</v>
      </c>
    </row>
    <row r="612">
      <c r="A612" s="11" t="s">
        <v>17</v>
      </c>
    </row>
    <row r="613">
      <c r="A613" s="11">
        <v>52.0</v>
      </c>
    </row>
    <row r="614">
      <c r="A614" s="11" t="s">
        <v>18</v>
      </c>
    </row>
    <row r="615">
      <c r="A615" s="11" t="s">
        <v>174</v>
      </c>
    </row>
    <row r="616">
      <c r="A616" s="11" t="s">
        <v>20</v>
      </c>
    </row>
    <row r="617">
      <c r="A617" s="11" t="s">
        <v>324</v>
      </c>
    </row>
    <row r="618">
      <c r="A618" s="11" t="s">
        <v>23</v>
      </c>
    </row>
    <row r="619">
      <c r="A619" s="11">
        <v>52.2</v>
      </c>
    </row>
    <row r="620">
      <c r="A620" s="11" t="s">
        <v>16</v>
      </c>
    </row>
    <row r="621">
      <c r="A621" s="16">
        <v>19.0</v>
      </c>
    </row>
    <row r="622">
      <c r="A622" s="11" t="s">
        <v>25</v>
      </c>
    </row>
    <row r="623">
      <c r="A623" s="11" t="s">
        <v>26</v>
      </c>
    </row>
    <row r="624">
      <c r="A624" s="11" t="s">
        <v>17</v>
      </c>
    </row>
    <row r="625">
      <c r="A625" s="11">
        <v>53.0</v>
      </c>
    </row>
    <row r="626">
      <c r="A626" s="11" t="s">
        <v>18</v>
      </c>
    </row>
    <row r="627">
      <c r="A627" s="11" t="s">
        <v>327</v>
      </c>
    </row>
    <row r="628">
      <c r="A628" s="11" t="s">
        <v>59</v>
      </c>
    </row>
    <row r="629">
      <c r="A629" s="11" t="s">
        <v>328</v>
      </c>
    </row>
    <row r="630">
      <c r="A630" s="11" t="s">
        <v>62</v>
      </c>
    </row>
    <row r="631">
      <c r="A631" s="11">
        <v>85.6</v>
      </c>
    </row>
    <row r="632">
      <c r="A632" s="11" t="s">
        <v>16</v>
      </c>
    </row>
    <row r="633">
      <c r="A633" s="16">
        <v>20.0</v>
      </c>
    </row>
    <row r="634">
      <c r="A634" s="11" t="s">
        <v>25</v>
      </c>
    </row>
    <row r="635">
      <c r="A635" s="11" t="s">
        <v>26</v>
      </c>
    </row>
    <row r="636">
      <c r="A636" s="11" t="s">
        <v>17</v>
      </c>
    </row>
    <row r="637">
      <c r="A637" s="11">
        <v>54.0</v>
      </c>
    </row>
    <row r="638">
      <c r="A638" s="11" t="s">
        <v>18</v>
      </c>
    </row>
    <row r="639">
      <c r="A639" s="11" t="s">
        <v>332</v>
      </c>
    </row>
    <row r="640">
      <c r="A640" s="11" t="s">
        <v>333</v>
      </c>
    </row>
    <row r="641">
      <c r="A641" s="11" t="s">
        <v>334</v>
      </c>
    </row>
    <row r="642">
      <c r="A642" s="11" t="s">
        <v>335</v>
      </c>
    </row>
    <row r="643">
      <c r="A643" s="11">
        <v>67.2</v>
      </c>
    </row>
    <row r="644">
      <c r="A644" s="11" t="s">
        <v>16</v>
      </c>
    </row>
    <row r="645">
      <c r="A645" s="16">
        <v>15.0</v>
      </c>
    </row>
    <row r="646">
      <c r="A646" s="11" t="s">
        <v>25</v>
      </c>
    </row>
    <row r="647">
      <c r="A647" s="11" t="s">
        <v>26</v>
      </c>
    </row>
    <row r="648">
      <c r="A648" s="11" t="s">
        <v>17</v>
      </c>
    </row>
    <row r="649">
      <c r="A649" s="11">
        <v>55.0</v>
      </c>
    </row>
    <row r="650">
      <c r="A650" s="11" t="s">
        <v>18</v>
      </c>
    </row>
    <row r="651">
      <c r="A651" s="11" t="s">
        <v>339</v>
      </c>
    </row>
    <row r="652">
      <c r="A652" s="11" t="s">
        <v>142</v>
      </c>
    </row>
    <row r="653">
      <c r="A653" s="11" t="s">
        <v>340</v>
      </c>
    </row>
    <row r="654">
      <c r="A654" s="11" t="s">
        <v>31</v>
      </c>
    </row>
    <row r="655">
      <c r="A655" s="11">
        <v>86.8</v>
      </c>
    </row>
    <row r="656">
      <c r="A656" s="11" t="s">
        <v>16</v>
      </c>
    </row>
    <row r="657">
      <c r="A657" s="16">
        <v>1.0</v>
      </c>
    </row>
    <row r="658">
      <c r="A658" s="11" t="s">
        <v>25</v>
      </c>
    </row>
    <row r="659">
      <c r="A659" s="11" t="s">
        <v>26</v>
      </c>
    </row>
    <row r="660">
      <c r="A660" s="11" t="s">
        <v>17</v>
      </c>
    </row>
    <row r="661">
      <c r="A661" s="11">
        <v>56.0</v>
      </c>
    </row>
    <row r="662">
      <c r="A662" s="11" t="s">
        <v>18</v>
      </c>
    </row>
    <row r="663">
      <c r="A663" s="11" t="s">
        <v>344</v>
      </c>
    </row>
    <row r="664">
      <c r="A664" s="11" t="s">
        <v>47</v>
      </c>
    </row>
    <row r="665">
      <c r="A665" s="11" t="s">
        <v>346</v>
      </c>
    </row>
    <row r="666">
      <c r="A666" s="11" t="s">
        <v>31</v>
      </c>
    </row>
    <row r="667">
      <c r="A667" s="11">
        <v>63.6</v>
      </c>
    </row>
    <row r="668">
      <c r="A668" s="11" t="s">
        <v>16</v>
      </c>
    </row>
    <row r="669">
      <c r="A669" s="16">
        <v>23.0</v>
      </c>
    </row>
    <row r="670">
      <c r="A670" s="11" t="s">
        <v>25</v>
      </c>
    </row>
    <row r="671">
      <c r="A671" s="11" t="s">
        <v>26</v>
      </c>
    </row>
    <row r="672">
      <c r="A672" s="11" t="s">
        <v>17</v>
      </c>
    </row>
    <row r="673">
      <c r="A673" s="11">
        <v>57.0</v>
      </c>
    </row>
    <row r="674">
      <c r="A674" s="11" t="s">
        <v>18</v>
      </c>
    </row>
    <row r="675">
      <c r="A675" s="11" t="s">
        <v>350</v>
      </c>
    </row>
    <row r="676">
      <c r="A676" s="11" t="s">
        <v>351</v>
      </c>
    </row>
    <row r="677">
      <c r="A677" s="11" t="s">
        <v>353</v>
      </c>
    </row>
    <row r="678">
      <c r="A678" s="11" t="s">
        <v>62</v>
      </c>
    </row>
    <row r="679">
      <c r="A679" s="11">
        <v>100.8</v>
      </c>
    </row>
    <row r="680">
      <c r="A680" s="11" t="s">
        <v>16</v>
      </c>
    </row>
    <row r="681">
      <c r="A681" s="16">
        <v>1.0</v>
      </c>
    </row>
    <row r="682">
      <c r="A682" s="11" t="s">
        <v>25</v>
      </c>
    </row>
    <row r="683">
      <c r="A683" s="11" t="s">
        <v>26</v>
      </c>
    </row>
    <row r="684">
      <c r="A684" s="11" t="s">
        <v>17</v>
      </c>
    </row>
    <row r="685">
      <c r="A685" s="11">
        <v>58.0</v>
      </c>
    </row>
    <row r="686">
      <c r="A686" s="11" t="s">
        <v>18</v>
      </c>
    </row>
    <row r="687">
      <c r="A687" s="11" t="s">
        <v>357</v>
      </c>
    </row>
    <row r="688">
      <c r="A688" s="11" t="s">
        <v>119</v>
      </c>
    </row>
    <row r="689">
      <c r="A689" s="11" t="s">
        <v>359</v>
      </c>
    </row>
    <row r="690">
      <c r="A690" s="11" t="s">
        <v>121</v>
      </c>
    </row>
    <row r="691">
      <c r="A691" s="11">
        <v>56.8</v>
      </c>
    </row>
    <row r="692">
      <c r="A692" s="11" t="s">
        <v>16</v>
      </c>
    </row>
    <row r="693">
      <c r="A693" s="16">
        <v>14.0</v>
      </c>
    </row>
    <row r="694">
      <c r="A694" s="11" t="s">
        <v>25</v>
      </c>
    </row>
    <row r="695">
      <c r="A695" s="11" t="s">
        <v>26</v>
      </c>
    </row>
    <row r="696">
      <c r="A696" s="11" t="s">
        <v>17</v>
      </c>
    </row>
    <row r="697">
      <c r="A697" s="11">
        <v>59.0</v>
      </c>
    </row>
    <row r="698">
      <c r="A698" s="11" t="s">
        <v>18</v>
      </c>
    </row>
    <row r="699">
      <c r="A699" s="11" t="s">
        <v>367</v>
      </c>
    </row>
    <row r="700">
      <c r="A700" s="11" t="s">
        <v>125</v>
      </c>
    </row>
    <row r="701">
      <c r="A701" s="11" t="s">
        <v>369</v>
      </c>
    </row>
    <row r="702">
      <c r="A702" s="11" t="s">
        <v>37</v>
      </c>
    </row>
    <row r="703">
      <c r="A703" s="11">
        <v>36.6</v>
      </c>
    </row>
    <row r="704">
      <c r="A704" s="11" t="s">
        <v>16</v>
      </c>
    </row>
    <row r="705">
      <c r="A705" s="16">
        <v>21.0</v>
      </c>
    </row>
    <row r="706">
      <c r="A706" s="11" t="s">
        <v>25</v>
      </c>
    </row>
    <row r="707">
      <c r="A707" s="11" t="s">
        <v>26</v>
      </c>
    </row>
    <row r="708">
      <c r="A708" s="11" t="s">
        <v>17</v>
      </c>
    </row>
    <row r="709">
      <c r="A709" s="11">
        <v>60.0</v>
      </c>
    </row>
    <row r="710">
      <c r="A710" s="11" t="s">
        <v>18</v>
      </c>
    </row>
    <row r="711">
      <c r="A711" s="11" t="s">
        <v>370</v>
      </c>
    </row>
    <row r="712">
      <c r="A712" s="11" t="s">
        <v>372</v>
      </c>
    </row>
    <row r="713">
      <c r="A713" s="11" t="s">
        <v>375</v>
      </c>
    </row>
    <row r="714">
      <c r="A714" s="11" t="s">
        <v>335</v>
      </c>
    </row>
    <row r="715">
      <c r="A715" s="11">
        <v>53.4</v>
      </c>
    </row>
    <row r="716">
      <c r="A716" s="11" t="s">
        <v>16</v>
      </c>
    </row>
    <row r="717">
      <c r="A717" s="16">
        <v>2.0</v>
      </c>
    </row>
    <row r="718">
      <c r="A718" s="11" t="s">
        <v>25</v>
      </c>
    </row>
    <row r="719">
      <c r="A719" s="11" t="s">
        <v>26</v>
      </c>
    </row>
    <row r="720">
      <c r="A720" s="11" t="s">
        <v>17</v>
      </c>
    </row>
    <row r="721">
      <c r="A721" s="11">
        <v>61.0</v>
      </c>
    </row>
    <row r="722">
      <c r="A722" s="11" t="s">
        <v>18</v>
      </c>
    </row>
    <row r="723">
      <c r="A723" s="11" t="s">
        <v>378</v>
      </c>
    </row>
    <row r="724">
      <c r="A724" s="11" t="s">
        <v>253</v>
      </c>
    </row>
    <row r="725">
      <c r="A725" s="11" t="s">
        <v>379</v>
      </c>
    </row>
    <row r="726">
      <c r="A726" s="11" t="s">
        <v>121</v>
      </c>
    </row>
    <row r="727">
      <c r="A727" s="11">
        <v>61.0</v>
      </c>
    </row>
    <row r="728">
      <c r="A728" s="11" t="s">
        <v>16</v>
      </c>
    </row>
    <row r="729">
      <c r="A729" s="16">
        <v>11.0</v>
      </c>
    </row>
    <row r="730">
      <c r="A730" s="11" t="s">
        <v>25</v>
      </c>
    </row>
    <row r="731">
      <c r="A731" s="11" t="s">
        <v>26</v>
      </c>
    </row>
    <row r="732">
      <c r="A732" s="11" t="s">
        <v>17</v>
      </c>
    </row>
    <row r="733">
      <c r="A733" s="11">
        <v>62.0</v>
      </c>
    </row>
    <row r="734">
      <c r="A734" s="11" t="s">
        <v>18</v>
      </c>
    </row>
    <row r="735">
      <c r="A735" s="11" t="s">
        <v>384</v>
      </c>
    </row>
    <row r="736">
      <c r="A736" s="11" t="s">
        <v>295</v>
      </c>
    </row>
    <row r="737">
      <c r="A737" s="11" t="s">
        <v>388</v>
      </c>
    </row>
    <row r="738">
      <c r="A738" s="11" t="s">
        <v>62</v>
      </c>
    </row>
    <row r="739">
      <c r="A739" s="11">
        <v>46.2</v>
      </c>
    </row>
    <row r="740">
      <c r="A740" s="11" t="s">
        <v>16</v>
      </c>
    </row>
    <row r="741">
      <c r="A741" s="16">
        <v>16.0</v>
      </c>
    </row>
    <row r="742">
      <c r="A742" s="11" t="s">
        <v>25</v>
      </c>
    </row>
    <row r="743">
      <c r="A743" s="11" t="s">
        <v>26</v>
      </c>
    </row>
    <row r="744">
      <c r="A744" s="11" t="s">
        <v>17</v>
      </c>
    </row>
    <row r="745">
      <c r="A745" s="11">
        <v>63.0</v>
      </c>
    </row>
    <row r="746">
      <c r="A746" s="11" t="s">
        <v>391</v>
      </c>
    </row>
    <row r="747">
      <c r="A747" s="11" t="s">
        <v>333</v>
      </c>
    </row>
    <row r="748">
      <c r="A748" s="11" t="s">
        <v>393</v>
      </c>
    </row>
    <row r="749">
      <c r="A749" s="11" t="s">
        <v>335</v>
      </c>
    </row>
    <row r="750">
      <c r="A750" s="11">
        <v>116.0</v>
      </c>
    </row>
    <row r="751">
      <c r="A751" s="11" t="s">
        <v>16</v>
      </c>
    </row>
    <row r="752">
      <c r="A752" s="11" t="s">
        <v>151</v>
      </c>
    </row>
    <row r="753">
      <c r="A753" s="11" t="s">
        <v>25</v>
      </c>
    </row>
    <row r="754">
      <c r="A754" s="11" t="s">
        <v>26</v>
      </c>
    </row>
    <row r="755">
      <c r="A755" s="11" t="s">
        <v>17</v>
      </c>
    </row>
    <row r="756">
      <c r="A756" s="11">
        <v>64.0</v>
      </c>
    </row>
    <row r="757">
      <c r="A757" s="11" t="s">
        <v>18</v>
      </c>
    </row>
    <row r="758">
      <c r="A758" s="11" t="s">
        <v>398</v>
      </c>
    </row>
    <row r="759">
      <c r="A759" s="11" t="s">
        <v>53</v>
      </c>
    </row>
    <row r="760">
      <c r="A760" s="11" t="s">
        <v>399</v>
      </c>
    </row>
    <row r="761">
      <c r="A761" s="11" t="s">
        <v>23</v>
      </c>
    </row>
    <row r="762">
      <c r="A762" s="11">
        <v>41.4</v>
      </c>
    </row>
    <row r="763">
      <c r="A763" s="11" t="s">
        <v>16</v>
      </c>
    </row>
    <row r="764">
      <c r="A764" s="16">
        <v>18.0</v>
      </c>
    </row>
    <row r="765">
      <c r="A765" s="11" t="s">
        <v>25</v>
      </c>
    </row>
    <row r="766">
      <c r="A766" s="11" t="s">
        <v>26</v>
      </c>
    </row>
    <row r="767">
      <c r="A767" s="11" t="s">
        <v>17</v>
      </c>
    </row>
    <row r="768">
      <c r="A768" s="11">
        <v>65.0</v>
      </c>
    </row>
    <row r="769">
      <c r="A769" s="11" t="s">
        <v>18</v>
      </c>
    </row>
    <row r="770">
      <c r="A770" s="11" t="s">
        <v>402</v>
      </c>
    </row>
    <row r="771">
      <c r="A771" s="11" t="s">
        <v>159</v>
      </c>
    </row>
    <row r="772">
      <c r="A772" s="11" t="s">
        <v>404</v>
      </c>
    </row>
    <row r="773">
      <c r="A773" s="11" t="s">
        <v>31</v>
      </c>
    </row>
    <row r="774">
      <c r="A774" s="11">
        <v>75.6</v>
      </c>
    </row>
    <row r="775">
      <c r="A775" s="11" t="s">
        <v>16</v>
      </c>
    </row>
    <row r="776">
      <c r="A776" s="16">
        <v>3.0</v>
      </c>
    </row>
    <row r="777">
      <c r="A777" s="11" t="s">
        <v>25</v>
      </c>
    </row>
    <row r="778">
      <c r="A778" s="11" t="s">
        <v>26</v>
      </c>
    </row>
    <row r="779">
      <c r="A779" s="11" t="s">
        <v>17</v>
      </c>
    </row>
    <row r="780">
      <c r="A780" s="11">
        <v>66.0</v>
      </c>
    </row>
    <row r="781">
      <c r="A781" s="11" t="s">
        <v>18</v>
      </c>
    </row>
    <row r="782">
      <c r="A782" s="11" t="s">
        <v>407</v>
      </c>
    </row>
    <row r="783">
      <c r="A783" s="11" t="s">
        <v>42</v>
      </c>
    </row>
    <row r="784">
      <c r="A784" s="11" t="s">
        <v>409</v>
      </c>
    </row>
    <row r="785">
      <c r="A785" s="11" t="s">
        <v>44</v>
      </c>
    </row>
    <row r="786">
      <c r="A786" s="11">
        <v>75.8</v>
      </c>
    </row>
    <row r="787">
      <c r="A787" s="11" t="s">
        <v>16</v>
      </c>
    </row>
    <row r="788">
      <c r="A788" s="16">
        <v>22.0</v>
      </c>
    </row>
    <row r="789">
      <c r="A789" s="11" t="s">
        <v>25</v>
      </c>
    </row>
    <row r="790">
      <c r="A790" s="11" t="s">
        <v>26</v>
      </c>
    </row>
    <row r="791">
      <c r="A791" s="11" t="s">
        <v>17</v>
      </c>
    </row>
    <row r="792">
      <c r="A792" s="11">
        <v>67.0</v>
      </c>
    </row>
    <row r="793">
      <c r="A793" s="11" t="s">
        <v>18</v>
      </c>
    </row>
    <row r="794">
      <c r="A794" s="11" t="s">
        <v>412</v>
      </c>
    </row>
    <row r="795">
      <c r="A795" s="11" t="s">
        <v>351</v>
      </c>
    </row>
    <row r="796">
      <c r="A796" s="11" t="s">
        <v>413</v>
      </c>
    </row>
    <row r="797">
      <c r="A797" s="11" t="s">
        <v>62</v>
      </c>
    </row>
    <row r="798">
      <c r="A798" s="11">
        <v>105.6</v>
      </c>
    </row>
    <row r="799">
      <c r="A799" s="11" t="s">
        <v>16</v>
      </c>
    </row>
    <row r="800">
      <c r="A800" s="16">
        <v>45.0</v>
      </c>
    </row>
    <row r="801">
      <c r="A801" s="11" t="s">
        <v>25</v>
      </c>
    </row>
    <row r="802">
      <c r="A802" s="11" t="s">
        <v>26</v>
      </c>
    </row>
    <row r="803">
      <c r="A803" s="11" t="s">
        <v>17</v>
      </c>
    </row>
    <row r="804">
      <c r="A804" s="11">
        <v>68.0</v>
      </c>
    </row>
    <row r="805">
      <c r="A805" s="11" t="s">
        <v>18</v>
      </c>
    </row>
    <row r="806">
      <c r="A806" s="11" t="s">
        <v>419</v>
      </c>
    </row>
    <row r="807">
      <c r="A807" s="11" t="s">
        <v>159</v>
      </c>
    </row>
    <row r="808">
      <c r="A808" s="11" t="s">
        <v>420</v>
      </c>
    </row>
    <row r="809">
      <c r="A809" s="11" t="s">
        <v>31</v>
      </c>
    </row>
    <row r="810">
      <c r="A810" s="11">
        <v>56.8</v>
      </c>
    </row>
    <row r="811">
      <c r="A811" s="11" t="s">
        <v>16</v>
      </c>
    </row>
    <row r="812">
      <c r="A812" s="16">
        <v>23.0</v>
      </c>
    </row>
    <row r="813">
      <c r="A813" s="11" t="s">
        <v>25</v>
      </c>
    </row>
    <row r="814">
      <c r="A814" s="11" t="s">
        <v>26</v>
      </c>
    </row>
    <row r="815">
      <c r="A815" s="11" t="s">
        <v>17</v>
      </c>
    </row>
    <row r="816">
      <c r="A816" s="11">
        <v>69.0</v>
      </c>
    </row>
    <row r="817">
      <c r="A817" s="11" t="s">
        <v>18</v>
      </c>
    </row>
    <row r="818">
      <c r="A818" s="11" t="s">
        <v>422</v>
      </c>
    </row>
    <row r="819">
      <c r="A819" s="11" t="s">
        <v>372</v>
      </c>
    </row>
    <row r="820">
      <c r="A820" s="11" t="s">
        <v>424</v>
      </c>
    </row>
    <row r="821">
      <c r="A821" s="11" t="s">
        <v>335</v>
      </c>
    </row>
    <row r="822">
      <c r="A822" s="11">
        <v>91.4</v>
      </c>
    </row>
    <row r="823">
      <c r="A823" s="11" t="s">
        <v>16</v>
      </c>
    </row>
    <row r="824">
      <c r="A824" s="16">
        <v>21.0</v>
      </c>
    </row>
    <row r="825">
      <c r="A825" s="11" t="s">
        <v>25</v>
      </c>
    </row>
    <row r="826">
      <c r="A826" s="11" t="s">
        <v>26</v>
      </c>
    </row>
    <row r="827">
      <c r="A827" s="11" t="s">
        <v>17</v>
      </c>
    </row>
    <row r="828">
      <c r="A828" s="11">
        <v>70.0</v>
      </c>
    </row>
    <row r="829">
      <c r="A829" s="11" t="s">
        <v>18</v>
      </c>
    </row>
    <row r="830">
      <c r="A830" s="11" t="s">
        <v>427</v>
      </c>
    </row>
    <row r="831">
      <c r="A831" s="11" t="s">
        <v>351</v>
      </c>
    </row>
    <row r="832">
      <c r="A832" s="11" t="s">
        <v>428</v>
      </c>
    </row>
    <row r="833">
      <c r="A833" s="11" t="s">
        <v>62</v>
      </c>
    </row>
    <row r="834">
      <c r="A834" s="11">
        <v>43.6</v>
      </c>
    </row>
    <row r="835">
      <c r="A835" s="11" t="s">
        <v>16</v>
      </c>
    </row>
    <row r="836">
      <c r="A836" s="16">
        <v>3.0</v>
      </c>
    </row>
    <row r="837">
      <c r="A837" s="11" t="s">
        <v>25</v>
      </c>
    </row>
    <row r="838">
      <c r="A838" s="11" t="s">
        <v>26</v>
      </c>
    </row>
    <row r="839">
      <c r="A839" s="11" t="s">
        <v>17</v>
      </c>
    </row>
    <row r="840">
      <c r="A840" s="11">
        <v>71.0</v>
      </c>
    </row>
    <row r="841">
      <c r="A841" s="11" t="s">
        <v>18</v>
      </c>
    </row>
    <row r="842">
      <c r="A842" s="11" t="s">
        <v>433</v>
      </c>
    </row>
    <row r="843">
      <c r="A843" s="11" t="s">
        <v>142</v>
      </c>
    </row>
    <row r="844">
      <c r="A844" s="11" t="s">
        <v>435</v>
      </c>
    </row>
    <row r="845">
      <c r="A845" s="11" t="s">
        <v>31</v>
      </c>
    </row>
    <row r="846">
      <c r="A846" s="11">
        <v>77.8</v>
      </c>
    </row>
    <row r="847">
      <c r="A847" s="11" t="s">
        <v>16</v>
      </c>
    </row>
    <row r="848">
      <c r="A848" s="16">
        <v>4.0</v>
      </c>
    </row>
    <row r="849">
      <c r="A849" s="11" t="s">
        <v>25</v>
      </c>
    </row>
    <row r="850">
      <c r="A850" s="11" t="s">
        <v>26</v>
      </c>
    </row>
    <row r="851">
      <c r="A851" s="11" t="s">
        <v>17</v>
      </c>
    </row>
    <row r="852">
      <c r="A852" s="11">
        <v>72.0</v>
      </c>
    </row>
    <row r="853">
      <c r="A853" s="11" t="s">
        <v>18</v>
      </c>
    </row>
    <row r="854">
      <c r="A854" s="11" t="s">
        <v>439</v>
      </c>
    </row>
    <row r="855">
      <c r="A855" s="11" t="s">
        <v>35</v>
      </c>
    </row>
    <row r="856">
      <c r="A856" s="11" t="s">
        <v>440</v>
      </c>
    </row>
    <row r="857">
      <c r="A857" s="11" t="s">
        <v>37</v>
      </c>
    </row>
    <row r="858">
      <c r="A858" s="11">
        <v>72.0</v>
      </c>
    </row>
    <row r="859">
      <c r="A859" s="11" t="s">
        <v>16</v>
      </c>
    </row>
    <row r="860">
      <c r="A860" s="16">
        <v>8.0</v>
      </c>
    </row>
    <row r="861">
      <c r="A861" s="11" t="s">
        <v>25</v>
      </c>
    </row>
    <row r="862">
      <c r="A862" s="11" t="s">
        <v>26</v>
      </c>
    </row>
    <row r="863">
      <c r="A863" s="11" t="s">
        <v>17</v>
      </c>
    </row>
    <row r="864">
      <c r="A864" s="11">
        <v>73.0</v>
      </c>
    </row>
    <row r="865">
      <c r="A865" s="11" t="s">
        <v>18</v>
      </c>
    </row>
    <row r="866">
      <c r="A866" s="11" t="s">
        <v>443</v>
      </c>
    </row>
    <row r="867">
      <c r="A867" s="11" t="s">
        <v>372</v>
      </c>
    </row>
    <row r="868">
      <c r="A868" s="11" t="s">
        <v>445</v>
      </c>
    </row>
    <row r="869">
      <c r="A869" s="11" t="s">
        <v>335</v>
      </c>
    </row>
    <row r="870">
      <c r="A870" s="11">
        <v>72.0</v>
      </c>
    </row>
    <row r="871">
      <c r="A871" s="11" t="s">
        <v>16</v>
      </c>
    </row>
    <row r="872">
      <c r="A872" s="16">
        <v>8.0</v>
      </c>
    </row>
    <row r="873">
      <c r="A873" s="11" t="s">
        <v>25</v>
      </c>
    </row>
    <row r="874">
      <c r="A874" s="11" t="s">
        <v>26</v>
      </c>
    </row>
    <row r="875">
      <c r="A875" s="11" t="s">
        <v>17</v>
      </c>
    </row>
    <row r="876">
      <c r="A876" s="11">
        <v>74.0</v>
      </c>
    </row>
    <row r="877">
      <c r="A877" s="11" t="s">
        <v>18</v>
      </c>
    </row>
    <row r="878">
      <c r="A878" s="11" t="s">
        <v>447</v>
      </c>
    </row>
    <row r="879">
      <c r="A879" s="11" t="s">
        <v>20</v>
      </c>
    </row>
    <row r="880">
      <c r="A880" s="11" t="s">
        <v>449</v>
      </c>
    </row>
    <row r="881">
      <c r="A881" s="11" t="s">
        <v>23</v>
      </c>
    </row>
    <row r="882">
      <c r="A882" s="11">
        <v>86.2</v>
      </c>
    </row>
    <row r="883">
      <c r="A883" s="11" t="s">
        <v>16</v>
      </c>
    </row>
    <row r="884">
      <c r="A884" s="16">
        <v>9.0</v>
      </c>
    </row>
    <row r="885">
      <c r="A885" s="11" t="s">
        <v>25</v>
      </c>
    </row>
    <row r="886">
      <c r="A886" s="11" t="s">
        <v>26</v>
      </c>
    </row>
    <row r="887">
      <c r="A887" s="11" t="s">
        <v>17</v>
      </c>
    </row>
    <row r="888">
      <c r="A888" s="11">
        <v>75.0</v>
      </c>
    </row>
    <row r="889">
      <c r="A889" s="11" t="s">
        <v>18</v>
      </c>
    </row>
    <row r="890">
      <c r="A890" s="11" t="s">
        <v>453</v>
      </c>
    </row>
    <row r="891">
      <c r="A891" s="11" t="s">
        <v>236</v>
      </c>
    </row>
    <row r="892">
      <c r="A892" s="11" t="s">
        <v>455</v>
      </c>
    </row>
    <row r="893">
      <c r="A893" s="11" t="s">
        <v>31</v>
      </c>
    </row>
    <row r="894">
      <c r="A894" s="11">
        <v>95.0</v>
      </c>
    </row>
    <row r="895">
      <c r="A895" s="11" t="s">
        <v>16</v>
      </c>
    </row>
    <row r="896">
      <c r="A896" s="16">
        <v>1.0</v>
      </c>
    </row>
    <row r="897">
      <c r="A897" s="11" t="s">
        <v>25</v>
      </c>
    </row>
    <row r="898">
      <c r="A898" s="11" t="s">
        <v>26</v>
      </c>
    </row>
    <row r="899">
      <c r="A899" s="11" t="s">
        <v>17</v>
      </c>
    </row>
    <row r="900">
      <c r="A900" s="11">
        <v>76.0</v>
      </c>
    </row>
    <row r="901">
      <c r="A901" s="11" t="s">
        <v>18</v>
      </c>
    </row>
    <row r="902">
      <c r="A902" s="11" t="s">
        <v>458</v>
      </c>
    </row>
    <row r="903">
      <c r="A903" s="11" t="s">
        <v>131</v>
      </c>
    </row>
    <row r="904">
      <c r="A904" s="11" t="s">
        <v>460</v>
      </c>
    </row>
    <row r="905">
      <c r="A905" s="11" t="s">
        <v>62</v>
      </c>
    </row>
    <row r="906">
      <c r="A906" s="11">
        <v>73.0</v>
      </c>
    </row>
    <row r="907">
      <c r="A907" s="11" t="s">
        <v>16</v>
      </c>
    </row>
    <row r="908">
      <c r="A908" s="16">
        <v>2.0</v>
      </c>
    </row>
    <row r="909">
      <c r="A909" s="11" t="s">
        <v>25</v>
      </c>
    </row>
    <row r="910">
      <c r="A910" s="11" t="s">
        <v>26</v>
      </c>
    </row>
    <row r="911">
      <c r="A911" s="11" t="s">
        <v>17</v>
      </c>
    </row>
    <row r="912">
      <c r="A912" s="11">
        <v>77.0</v>
      </c>
    </row>
    <row r="913">
      <c r="A913" s="11" t="s">
        <v>18</v>
      </c>
    </row>
    <row r="914">
      <c r="A914" s="11" t="s">
        <v>462</v>
      </c>
    </row>
    <row r="915">
      <c r="A915" s="11" t="s">
        <v>351</v>
      </c>
    </row>
    <row r="916">
      <c r="A916" s="11" t="s">
        <v>465</v>
      </c>
    </row>
    <row r="917">
      <c r="A917" s="11" t="s">
        <v>62</v>
      </c>
    </row>
    <row r="918">
      <c r="A918" s="11">
        <v>81.8</v>
      </c>
    </row>
    <row r="919">
      <c r="A919" s="11" t="s">
        <v>16</v>
      </c>
    </row>
    <row r="920">
      <c r="A920" s="16">
        <v>3.0</v>
      </c>
    </row>
    <row r="921">
      <c r="A921" s="11" t="s">
        <v>25</v>
      </c>
    </row>
    <row r="922">
      <c r="A922" s="11" t="s">
        <v>26</v>
      </c>
    </row>
    <row r="923">
      <c r="A923" s="11" t="s">
        <v>17</v>
      </c>
    </row>
    <row r="924">
      <c r="A924" s="11">
        <v>78.0</v>
      </c>
    </row>
    <row r="925">
      <c r="A925" s="11" t="s">
        <v>18</v>
      </c>
    </row>
    <row r="926">
      <c r="A926" s="11" t="s">
        <v>469</v>
      </c>
    </row>
    <row r="927">
      <c r="A927" s="11" t="s">
        <v>42</v>
      </c>
    </row>
    <row r="928">
      <c r="A928" s="11" t="s">
        <v>470</v>
      </c>
    </row>
    <row r="929">
      <c r="A929" s="11" t="s">
        <v>44</v>
      </c>
    </row>
    <row r="930">
      <c r="A930" s="11">
        <v>97.8</v>
      </c>
    </row>
    <row r="931">
      <c r="A931" s="11" t="s">
        <v>16</v>
      </c>
    </row>
    <row r="932">
      <c r="A932" s="16">
        <v>18.0</v>
      </c>
    </row>
    <row r="933">
      <c r="A933" s="11" t="s">
        <v>25</v>
      </c>
    </row>
    <row r="934">
      <c r="A934" s="11" t="s">
        <v>26</v>
      </c>
    </row>
    <row r="935">
      <c r="A935" s="11" t="s">
        <v>17</v>
      </c>
    </row>
    <row r="936">
      <c r="A936" s="11">
        <v>79.0</v>
      </c>
    </row>
    <row r="937">
      <c r="A937" s="11" t="s">
        <v>18</v>
      </c>
    </row>
    <row r="938">
      <c r="A938" s="11" t="s">
        <v>476</v>
      </c>
    </row>
    <row r="939">
      <c r="A939" s="11" t="s">
        <v>29</v>
      </c>
    </row>
    <row r="940">
      <c r="A940" s="11" t="s">
        <v>477</v>
      </c>
    </row>
    <row r="941">
      <c r="A941" s="11" t="s">
        <v>31</v>
      </c>
    </row>
    <row r="942">
      <c r="A942" s="11">
        <v>85.4</v>
      </c>
    </row>
    <row r="943">
      <c r="A943" s="11" t="s">
        <v>16</v>
      </c>
    </row>
    <row r="944">
      <c r="A944" s="16">
        <v>2.0</v>
      </c>
    </row>
    <row r="945">
      <c r="A945" s="11" t="s">
        <v>25</v>
      </c>
    </row>
    <row r="946">
      <c r="A946" s="11" t="s">
        <v>26</v>
      </c>
    </row>
    <row r="947">
      <c r="A947" s="11" t="s">
        <v>17</v>
      </c>
    </row>
    <row r="948">
      <c r="A948" s="11">
        <v>80.0</v>
      </c>
    </row>
    <row r="949">
      <c r="A949" s="11" t="s">
        <v>481</v>
      </c>
    </row>
    <row r="950">
      <c r="A950" s="11" t="s">
        <v>183</v>
      </c>
    </row>
    <row r="951">
      <c r="A951" s="11" t="s">
        <v>483</v>
      </c>
    </row>
    <row r="952">
      <c r="A952" s="11" t="s">
        <v>44</v>
      </c>
    </row>
    <row r="953">
      <c r="A953" s="11">
        <v>137.0</v>
      </c>
    </row>
    <row r="954">
      <c r="A954" s="11" t="s">
        <v>16</v>
      </c>
    </row>
    <row r="955">
      <c r="A955" s="11" t="s">
        <v>151</v>
      </c>
    </row>
    <row r="956">
      <c r="A956" s="11" t="s">
        <v>25</v>
      </c>
    </row>
    <row r="957">
      <c r="A957" s="11" t="s">
        <v>26</v>
      </c>
    </row>
    <row r="958">
      <c r="A958" s="11" t="s">
        <v>17</v>
      </c>
    </row>
    <row r="959">
      <c r="A959" s="11">
        <v>81.0</v>
      </c>
    </row>
    <row r="960">
      <c r="A960" s="11" t="s">
        <v>18</v>
      </c>
    </row>
    <row r="961">
      <c r="A961" s="11" t="s">
        <v>487</v>
      </c>
    </row>
    <row r="962">
      <c r="A962" s="11" t="s">
        <v>35</v>
      </c>
    </row>
    <row r="963">
      <c r="A963" s="11" t="s">
        <v>489</v>
      </c>
    </row>
    <row r="964">
      <c r="A964" s="11" t="s">
        <v>37</v>
      </c>
    </row>
    <row r="965">
      <c r="A965" s="11">
        <v>60.8</v>
      </c>
    </row>
    <row r="966">
      <c r="A966" s="11" t="s">
        <v>16</v>
      </c>
    </row>
    <row r="967">
      <c r="A967" s="16">
        <v>1.0</v>
      </c>
    </row>
    <row r="968">
      <c r="A968" s="11" t="s">
        <v>25</v>
      </c>
    </row>
    <row r="969">
      <c r="A969" s="11" t="s">
        <v>26</v>
      </c>
    </row>
    <row r="970">
      <c r="A970" s="11" t="s">
        <v>17</v>
      </c>
    </row>
    <row r="971">
      <c r="A971" s="11">
        <v>82.0</v>
      </c>
    </row>
    <row r="972">
      <c r="A972" s="11" t="s">
        <v>18</v>
      </c>
    </row>
    <row r="973">
      <c r="A973" s="11" t="s">
        <v>492</v>
      </c>
    </row>
    <row r="974">
      <c r="A974" s="11" t="s">
        <v>146</v>
      </c>
    </row>
    <row r="975">
      <c r="A975" s="11" t="s">
        <v>493</v>
      </c>
    </row>
    <row r="976">
      <c r="A976" s="11" t="s">
        <v>117</v>
      </c>
    </row>
    <row r="977">
      <c r="A977" s="11">
        <v>114.8</v>
      </c>
    </row>
    <row r="978">
      <c r="A978" s="11" t="s">
        <v>16</v>
      </c>
    </row>
    <row r="979">
      <c r="A979" s="16">
        <v>1.0</v>
      </c>
    </row>
    <row r="980">
      <c r="A980" s="11" t="s">
        <v>25</v>
      </c>
    </row>
    <row r="981">
      <c r="A981" s="11" t="s">
        <v>26</v>
      </c>
    </row>
    <row r="982">
      <c r="A982" s="11" t="s">
        <v>17</v>
      </c>
    </row>
    <row r="983">
      <c r="A983" s="11">
        <v>83.0</v>
      </c>
    </row>
    <row r="984">
      <c r="A984" s="11" t="s">
        <v>498</v>
      </c>
    </row>
    <row r="985">
      <c r="A985" s="11" t="s">
        <v>66</v>
      </c>
    </row>
    <row r="986">
      <c r="A986" s="11" t="s">
        <v>500</v>
      </c>
    </row>
    <row r="987">
      <c r="A987" s="11" t="s">
        <v>31</v>
      </c>
    </row>
    <row r="988">
      <c r="A988" s="11">
        <v>45.2</v>
      </c>
    </row>
    <row r="989">
      <c r="A989" s="11" t="s">
        <v>16</v>
      </c>
    </row>
    <row r="990">
      <c r="A990" s="11" t="s">
        <v>151</v>
      </c>
    </row>
    <row r="991">
      <c r="A991" s="11" t="s">
        <v>25</v>
      </c>
    </row>
    <row r="992">
      <c r="A992" s="11" t="s">
        <v>26</v>
      </c>
    </row>
    <row r="993">
      <c r="A993" s="11" t="s">
        <v>17</v>
      </c>
    </row>
    <row r="994">
      <c r="A994" s="11">
        <v>84.0</v>
      </c>
    </row>
    <row r="995">
      <c r="A995" s="11" t="s">
        <v>18</v>
      </c>
    </row>
    <row r="996">
      <c r="A996" s="11" t="s">
        <v>505</v>
      </c>
    </row>
    <row r="997">
      <c r="A997" s="11" t="s">
        <v>35</v>
      </c>
    </row>
    <row r="998">
      <c r="A998" s="11" t="s">
        <v>507</v>
      </c>
    </row>
    <row r="999">
      <c r="A999" s="11" t="s">
        <v>37</v>
      </c>
    </row>
    <row r="1000">
      <c r="A1000" s="11">
        <v>119.8</v>
      </c>
    </row>
    <row r="1001">
      <c r="A1001" s="11" t="s">
        <v>16</v>
      </c>
    </row>
    <row r="1002">
      <c r="A1002" s="16">
        <v>5.0</v>
      </c>
    </row>
    <row r="1003">
      <c r="A1003" s="11" t="s">
        <v>25</v>
      </c>
    </row>
    <row r="1004">
      <c r="A1004" s="11" t="s">
        <v>26</v>
      </c>
    </row>
    <row r="1005">
      <c r="A1005" s="11" t="s">
        <v>17</v>
      </c>
    </row>
    <row r="1006">
      <c r="A1006" s="11">
        <v>85.0</v>
      </c>
    </row>
    <row r="1007">
      <c r="A1007" s="11" t="s">
        <v>18</v>
      </c>
    </row>
    <row r="1008">
      <c r="A1008" s="11" t="s">
        <v>512</v>
      </c>
    </row>
    <row r="1009">
      <c r="A1009" s="11" t="s">
        <v>42</v>
      </c>
    </row>
    <row r="1010">
      <c r="A1010" s="11" t="s">
        <v>513</v>
      </c>
    </row>
    <row r="1011">
      <c r="A1011" s="11" t="s">
        <v>44</v>
      </c>
    </row>
    <row r="1012">
      <c r="A1012" s="11">
        <v>64.0</v>
      </c>
    </row>
    <row r="1013">
      <c r="A1013" s="11" t="s">
        <v>16</v>
      </c>
    </row>
    <row r="1014">
      <c r="A1014" s="16">
        <v>3.0</v>
      </c>
    </row>
    <row r="1015">
      <c r="A1015" s="11" t="s">
        <v>25</v>
      </c>
    </row>
    <row r="1016">
      <c r="A1016" s="11" t="s">
        <v>26</v>
      </c>
    </row>
    <row r="1017">
      <c r="A1017" s="11" t="s">
        <v>17</v>
      </c>
    </row>
    <row r="1018">
      <c r="A1018" s="11">
        <v>86.0</v>
      </c>
    </row>
    <row r="1019">
      <c r="A1019" s="11" t="s">
        <v>18</v>
      </c>
    </row>
    <row r="1020">
      <c r="A1020" s="11" t="s">
        <v>514</v>
      </c>
    </row>
    <row r="1021">
      <c r="A1021" s="11" t="s">
        <v>319</v>
      </c>
    </row>
    <row r="1022">
      <c r="A1022" s="11" t="s">
        <v>517</v>
      </c>
    </row>
    <row r="1023">
      <c r="A1023" s="11" t="s">
        <v>121</v>
      </c>
    </row>
    <row r="1024">
      <c r="A1024" s="11">
        <v>73.4</v>
      </c>
    </row>
    <row r="1025">
      <c r="A1025" s="11" t="s">
        <v>16</v>
      </c>
    </row>
    <row r="1026">
      <c r="A1026" s="16">
        <v>7.0</v>
      </c>
    </row>
    <row r="1027">
      <c r="A1027" s="11" t="s">
        <v>25</v>
      </c>
    </row>
    <row r="1028">
      <c r="A1028" s="11" t="s">
        <v>26</v>
      </c>
    </row>
    <row r="1029">
      <c r="A1029" s="11" t="s">
        <v>17</v>
      </c>
    </row>
    <row r="1030">
      <c r="A1030" s="11">
        <v>87.0</v>
      </c>
    </row>
    <row r="1031">
      <c r="A1031" s="11" t="s">
        <v>18</v>
      </c>
    </row>
    <row r="1032">
      <c r="A1032" s="11" t="s">
        <v>521</v>
      </c>
    </row>
    <row r="1033">
      <c r="A1033" s="11" t="s">
        <v>146</v>
      </c>
    </row>
    <row r="1034">
      <c r="A1034" s="11" t="s">
        <v>523</v>
      </c>
    </row>
    <row r="1035">
      <c r="A1035" s="11" t="s">
        <v>117</v>
      </c>
    </row>
    <row r="1036">
      <c r="A1036" s="11">
        <v>81.2</v>
      </c>
    </row>
    <row r="1037">
      <c r="A1037" s="11" t="s">
        <v>16</v>
      </c>
    </row>
    <row r="1038">
      <c r="A1038" s="16">
        <v>25.0</v>
      </c>
    </row>
    <row r="1039">
      <c r="A1039" s="11" t="s">
        <v>25</v>
      </c>
    </row>
    <row r="1040">
      <c r="A1040" s="11" t="s">
        <v>26</v>
      </c>
    </row>
    <row r="1041">
      <c r="A1041" s="11" t="s">
        <v>17</v>
      </c>
    </row>
    <row r="1042">
      <c r="A1042" s="11">
        <v>88.0</v>
      </c>
    </row>
    <row r="1043">
      <c r="A1043" s="11" t="s">
        <v>18</v>
      </c>
    </row>
    <row r="1044">
      <c r="A1044" s="11" t="s">
        <v>527</v>
      </c>
    </row>
    <row r="1045">
      <c r="A1045" s="11" t="s">
        <v>248</v>
      </c>
    </row>
    <row r="1046">
      <c r="A1046" s="11" t="s">
        <v>528</v>
      </c>
    </row>
    <row r="1047">
      <c r="A1047" s="11" t="s">
        <v>98</v>
      </c>
    </row>
    <row r="1048">
      <c r="A1048" s="11">
        <v>104.0</v>
      </c>
    </row>
    <row r="1049">
      <c r="A1049" s="11" t="s">
        <v>16</v>
      </c>
    </row>
    <row r="1050">
      <c r="A1050" s="11" t="s">
        <v>151</v>
      </c>
    </row>
    <row r="1051">
      <c r="A1051" s="11" t="s">
        <v>25</v>
      </c>
    </row>
    <row r="1052">
      <c r="A1052" s="11" t="s">
        <v>26</v>
      </c>
    </row>
    <row r="1053">
      <c r="A1053" s="11" t="s">
        <v>17</v>
      </c>
    </row>
    <row r="1054">
      <c r="A1054" s="11">
        <v>89.0</v>
      </c>
    </row>
    <row r="1055">
      <c r="A1055" s="11" t="s">
        <v>18</v>
      </c>
    </row>
    <row r="1056">
      <c r="A1056" s="11" t="s">
        <v>533</v>
      </c>
    </row>
    <row r="1057">
      <c r="A1057" s="11" t="s">
        <v>131</v>
      </c>
    </row>
    <row r="1058">
      <c r="A1058" s="11" t="s">
        <v>534</v>
      </c>
    </row>
    <row r="1059">
      <c r="A1059" s="11" t="s">
        <v>62</v>
      </c>
    </row>
    <row r="1060">
      <c r="A1060" s="11">
        <v>101.0</v>
      </c>
    </row>
    <row r="1061">
      <c r="A1061" s="11" t="s">
        <v>16</v>
      </c>
    </row>
    <row r="1062">
      <c r="A1062" s="16">
        <v>1.0</v>
      </c>
    </row>
    <row r="1063">
      <c r="A1063" s="11" t="s">
        <v>25</v>
      </c>
    </row>
    <row r="1064">
      <c r="A1064" s="11" t="s">
        <v>26</v>
      </c>
    </row>
    <row r="1065">
      <c r="A1065" s="11" t="s">
        <v>17</v>
      </c>
    </row>
    <row r="1066">
      <c r="A1066" s="11">
        <v>90.0</v>
      </c>
    </row>
    <row r="1067">
      <c r="A1067" s="11" t="s">
        <v>18</v>
      </c>
    </row>
    <row r="1068">
      <c r="A1068" s="11" t="s">
        <v>538</v>
      </c>
    </row>
    <row r="1069">
      <c r="A1069" s="11" t="s">
        <v>94</v>
      </c>
    </row>
    <row r="1070">
      <c r="A1070" s="11" t="s">
        <v>540</v>
      </c>
    </row>
    <row r="1071">
      <c r="A1071" s="11" t="s">
        <v>98</v>
      </c>
    </row>
    <row r="1072">
      <c r="A1072" s="11">
        <v>144.0</v>
      </c>
    </row>
    <row r="1073">
      <c r="A1073" s="11" t="s">
        <v>16</v>
      </c>
    </row>
    <row r="1074">
      <c r="A1074" s="16">
        <v>20.0</v>
      </c>
    </row>
    <row r="1075">
      <c r="A1075" s="11" t="s">
        <v>25</v>
      </c>
    </row>
    <row r="1076">
      <c r="A1076" s="11" t="s">
        <v>26</v>
      </c>
    </row>
    <row r="1077">
      <c r="A1077" s="11" t="s">
        <v>17</v>
      </c>
    </row>
    <row r="1078">
      <c r="A1078" s="11">
        <v>91.0</v>
      </c>
    </row>
    <row r="1079">
      <c r="A1079" s="11" t="s">
        <v>18</v>
      </c>
    </row>
    <row r="1080">
      <c r="A1080" s="11" t="s">
        <v>542</v>
      </c>
    </row>
    <row r="1081">
      <c r="A1081" s="11" t="s">
        <v>88</v>
      </c>
    </row>
    <row r="1082">
      <c r="A1082" s="11" t="s">
        <v>543</v>
      </c>
    </row>
    <row r="1083">
      <c r="A1083" s="11" t="s">
        <v>23</v>
      </c>
    </row>
    <row r="1084">
      <c r="A1084" s="11">
        <v>90.6</v>
      </c>
    </row>
    <row r="1085">
      <c r="A1085" s="11" t="s">
        <v>16</v>
      </c>
    </row>
    <row r="1086">
      <c r="A1086" s="16">
        <v>9.0</v>
      </c>
    </row>
    <row r="1087">
      <c r="A1087" s="11" t="s">
        <v>25</v>
      </c>
    </row>
    <row r="1088">
      <c r="A1088" s="11" t="s">
        <v>26</v>
      </c>
    </row>
    <row r="1089">
      <c r="A1089" s="11" t="s">
        <v>17</v>
      </c>
    </row>
    <row r="1090">
      <c r="A1090" s="11">
        <v>92.0</v>
      </c>
    </row>
    <row r="1091">
      <c r="A1091" s="11" t="s">
        <v>18</v>
      </c>
    </row>
    <row r="1092">
      <c r="A1092" s="11" t="s">
        <v>549</v>
      </c>
    </row>
    <row r="1093">
      <c r="A1093" s="11" t="s">
        <v>351</v>
      </c>
    </row>
    <row r="1094">
      <c r="A1094" s="11" t="s">
        <v>550</v>
      </c>
    </row>
    <row r="1095">
      <c r="A1095" s="11" t="s">
        <v>62</v>
      </c>
    </row>
    <row r="1096">
      <c r="A1096" s="11">
        <v>135.0</v>
      </c>
    </row>
    <row r="1097">
      <c r="A1097" s="11" t="s">
        <v>16</v>
      </c>
    </row>
    <row r="1098">
      <c r="A1098" s="16">
        <v>2.0</v>
      </c>
    </row>
    <row r="1099">
      <c r="A1099" s="11" t="s">
        <v>25</v>
      </c>
    </row>
    <row r="1100">
      <c r="A1100" s="11" t="s">
        <v>26</v>
      </c>
    </row>
    <row r="1101">
      <c r="A1101" s="11" t="s">
        <v>17</v>
      </c>
    </row>
    <row r="1102">
      <c r="A1102" s="11">
        <v>93.0</v>
      </c>
    </row>
    <row r="1103">
      <c r="A1103" s="11" t="s">
        <v>555</v>
      </c>
    </row>
    <row r="1104">
      <c r="A1104" s="11" t="s">
        <v>119</v>
      </c>
    </row>
    <row r="1105">
      <c r="A1105" s="11" t="s">
        <v>556</v>
      </c>
    </row>
    <row r="1106">
      <c r="A1106" s="11" t="s">
        <v>121</v>
      </c>
    </row>
    <row r="1107">
      <c r="A1107" s="11">
        <v>136.3</v>
      </c>
    </row>
    <row r="1108">
      <c r="A1108" s="11" t="s">
        <v>16</v>
      </c>
    </row>
    <row r="1109">
      <c r="A1109" s="11" t="s">
        <v>151</v>
      </c>
    </row>
    <row r="1110">
      <c r="A1110" s="11" t="s">
        <v>25</v>
      </c>
    </row>
    <row r="1111">
      <c r="A1111" s="11" t="s">
        <v>26</v>
      </c>
    </row>
    <row r="1112">
      <c r="A1112" s="11" t="s">
        <v>17</v>
      </c>
    </row>
    <row r="1113">
      <c r="A1113" s="11">
        <v>94.0</v>
      </c>
    </row>
    <row r="1114">
      <c r="A1114" s="11" t="s">
        <v>18</v>
      </c>
    </row>
    <row r="1115">
      <c r="A1115" s="11" t="s">
        <v>558</v>
      </c>
    </row>
    <row r="1116">
      <c r="A1116" s="11" t="s">
        <v>248</v>
      </c>
    </row>
    <row r="1117">
      <c r="A1117" s="11" t="s">
        <v>560</v>
      </c>
    </row>
    <row r="1118">
      <c r="A1118" s="11" t="s">
        <v>98</v>
      </c>
    </row>
    <row r="1119">
      <c r="A1119" s="11">
        <v>63.4</v>
      </c>
    </row>
    <row r="1120">
      <c r="A1120" s="11" t="s">
        <v>16</v>
      </c>
    </row>
    <row r="1121">
      <c r="A1121" s="16">
        <v>19.0</v>
      </c>
    </row>
    <row r="1122">
      <c r="A1122" s="11" t="s">
        <v>25</v>
      </c>
    </row>
    <row r="1123">
      <c r="A1123" s="11" t="s">
        <v>26</v>
      </c>
    </row>
    <row r="1124">
      <c r="A1124" s="11" t="s">
        <v>17</v>
      </c>
    </row>
    <row r="1125">
      <c r="A1125" s="11">
        <v>95.0</v>
      </c>
    </row>
    <row r="1126">
      <c r="A1126" s="11" t="s">
        <v>18</v>
      </c>
    </row>
    <row r="1127">
      <c r="A1127" s="11" t="s">
        <v>564</v>
      </c>
    </row>
    <row r="1128">
      <c r="A1128" s="11" t="s">
        <v>253</v>
      </c>
    </row>
    <row r="1129">
      <c r="A1129" s="11" t="s">
        <v>565</v>
      </c>
    </row>
    <row r="1130">
      <c r="A1130" s="11" t="s">
        <v>121</v>
      </c>
    </row>
    <row r="1131">
      <c r="A1131" s="11">
        <v>84.2</v>
      </c>
    </row>
    <row r="1132">
      <c r="A1132" s="11" t="s">
        <v>16</v>
      </c>
    </row>
    <row r="1133">
      <c r="A1133" s="16">
        <v>3.0</v>
      </c>
    </row>
    <row r="1134">
      <c r="A1134" s="11" t="s">
        <v>25</v>
      </c>
    </row>
    <row r="1135">
      <c r="A1135" s="11" t="s">
        <v>26</v>
      </c>
    </row>
    <row r="1136">
      <c r="A1136" s="11" t="s">
        <v>17</v>
      </c>
    </row>
    <row r="1137">
      <c r="A1137" s="11">
        <v>96.0</v>
      </c>
    </row>
    <row r="1138">
      <c r="A1138" s="11" t="s">
        <v>18</v>
      </c>
    </row>
    <row r="1139">
      <c r="A1139" s="11" t="s">
        <v>570</v>
      </c>
    </row>
    <row r="1140">
      <c r="A1140" s="11" t="s">
        <v>47</v>
      </c>
    </row>
    <row r="1141">
      <c r="A1141" s="11" t="s">
        <v>571</v>
      </c>
    </row>
    <row r="1142">
      <c r="A1142" s="11" t="s">
        <v>31</v>
      </c>
    </row>
    <row r="1143">
      <c r="A1143" s="11">
        <v>111.0</v>
      </c>
    </row>
    <row r="1144">
      <c r="A1144" s="11" t="s">
        <v>16</v>
      </c>
    </row>
    <row r="1145">
      <c r="A1145" s="16">
        <v>1.0</v>
      </c>
    </row>
    <row r="1146">
      <c r="A1146" s="11" t="s">
        <v>25</v>
      </c>
    </row>
    <row r="1147">
      <c r="A1147" s="11" t="s">
        <v>26</v>
      </c>
    </row>
    <row r="1148">
      <c r="A1148" s="11" t="s">
        <v>17</v>
      </c>
    </row>
    <row r="1149">
      <c r="A1149" s="11">
        <v>97.0</v>
      </c>
    </row>
    <row r="1150">
      <c r="A1150" s="11" t="s">
        <v>18</v>
      </c>
    </row>
    <row r="1151">
      <c r="A1151" s="11" t="s">
        <v>576</v>
      </c>
    </row>
    <row r="1152">
      <c r="A1152" s="11" t="s">
        <v>94</v>
      </c>
    </row>
    <row r="1153">
      <c r="A1153" s="11" t="s">
        <v>577</v>
      </c>
    </row>
    <row r="1154">
      <c r="A1154" s="11" t="s">
        <v>98</v>
      </c>
    </row>
    <row r="1155">
      <c r="A1155" s="11">
        <v>109.0</v>
      </c>
    </row>
    <row r="1156">
      <c r="A1156" s="11" t="s">
        <v>16</v>
      </c>
    </row>
    <row r="1157">
      <c r="A1157" s="16">
        <v>7.0</v>
      </c>
    </row>
    <row r="1158">
      <c r="A1158" s="11" t="s">
        <v>25</v>
      </c>
    </row>
    <row r="1159">
      <c r="A1159" s="11" t="s">
        <v>26</v>
      </c>
    </row>
    <row r="1160">
      <c r="A1160" s="11" t="s">
        <v>17</v>
      </c>
    </row>
    <row r="1161">
      <c r="A1161" s="11">
        <v>98.0</v>
      </c>
    </row>
    <row r="1162">
      <c r="A1162" s="11" t="s">
        <v>18</v>
      </c>
    </row>
    <row r="1163">
      <c r="A1163" s="11" t="s">
        <v>580</v>
      </c>
    </row>
    <row r="1164">
      <c r="A1164" s="11" t="s">
        <v>59</v>
      </c>
    </row>
    <row r="1165">
      <c r="A1165" s="11" t="s">
        <v>584</v>
      </c>
    </row>
    <row r="1166">
      <c r="A1166" s="11" t="s">
        <v>62</v>
      </c>
    </row>
    <row r="1167">
      <c r="A1167" s="11">
        <v>115.6</v>
      </c>
    </row>
    <row r="1168">
      <c r="A1168" s="11" t="s">
        <v>16</v>
      </c>
    </row>
    <row r="1169">
      <c r="A1169" s="16">
        <v>3.0</v>
      </c>
    </row>
    <row r="1170">
      <c r="A1170" s="11" t="s">
        <v>25</v>
      </c>
    </row>
    <row r="1171">
      <c r="A1171" s="11" t="s">
        <v>26</v>
      </c>
    </row>
    <row r="1172">
      <c r="A1172" s="11" t="s">
        <v>17</v>
      </c>
    </row>
    <row r="1173">
      <c r="A1173" s="11">
        <v>99.0</v>
      </c>
    </row>
    <row r="1174">
      <c r="A1174" s="11" t="s">
        <v>18</v>
      </c>
    </row>
    <row r="1175">
      <c r="A1175" s="11" t="s">
        <v>585</v>
      </c>
    </row>
    <row r="1176">
      <c r="A1176" s="11" t="s">
        <v>319</v>
      </c>
    </row>
    <row r="1177">
      <c r="A1177" s="11" t="s">
        <v>587</v>
      </c>
    </row>
    <row r="1178">
      <c r="A1178" s="11" t="s">
        <v>121</v>
      </c>
    </row>
    <row r="1179">
      <c r="A1179" s="11">
        <v>83.2</v>
      </c>
    </row>
    <row r="1180">
      <c r="A1180" s="11" t="s">
        <v>16</v>
      </c>
    </row>
    <row r="1181">
      <c r="A1181" s="16">
        <v>22.0</v>
      </c>
    </row>
    <row r="1182">
      <c r="A1182" s="11" t="s">
        <v>25</v>
      </c>
    </row>
    <row r="1183">
      <c r="A1183" s="11" t="s">
        <v>26</v>
      </c>
    </row>
    <row r="1184">
      <c r="A1184" s="11" t="s">
        <v>17</v>
      </c>
    </row>
    <row r="1185">
      <c r="A1185" s="11">
        <v>100.0</v>
      </c>
    </row>
    <row r="1186">
      <c r="A1186" s="11" t="s">
        <v>18</v>
      </c>
    </row>
    <row r="1187">
      <c r="A1187" s="11" t="s">
        <v>591</v>
      </c>
    </row>
    <row r="1188">
      <c r="A1188" s="11" t="s">
        <v>113</v>
      </c>
    </row>
    <row r="1189">
      <c r="A1189" s="11" t="s">
        <v>592</v>
      </c>
    </row>
    <row r="1190">
      <c r="A1190" s="11" t="s">
        <v>117</v>
      </c>
    </row>
    <row r="1191">
      <c r="A1191" s="11">
        <v>35.2</v>
      </c>
    </row>
    <row r="1192">
      <c r="A1192" s="11" t="s">
        <v>16</v>
      </c>
    </row>
    <row r="1193">
      <c r="A1193" s="16">
        <v>7.0</v>
      </c>
    </row>
    <row r="1194">
      <c r="A1194" s="11" t="s">
        <v>25</v>
      </c>
    </row>
    <row r="1195">
      <c r="A1195" s="11" t="s">
        <v>26</v>
      </c>
    </row>
    <row r="1196">
      <c r="A1196" s="11" t="s">
        <v>17</v>
      </c>
    </row>
    <row r="1197">
      <c r="A1197" s="11">
        <v>101.0</v>
      </c>
    </row>
    <row r="1198">
      <c r="A1198" s="11" t="s">
        <v>18</v>
      </c>
    </row>
    <row r="1199">
      <c r="A1199" s="11" t="s">
        <v>598</v>
      </c>
    </row>
    <row r="1200">
      <c r="A1200" s="11" t="s">
        <v>372</v>
      </c>
    </row>
    <row r="1201">
      <c r="A1201" s="11" t="s">
        <v>599</v>
      </c>
    </row>
    <row r="1202">
      <c r="A1202" s="11" t="s">
        <v>335</v>
      </c>
    </row>
    <row r="1203">
      <c r="A1203" s="11">
        <v>124.8</v>
      </c>
    </row>
    <row r="1204">
      <c r="A1204" s="11" t="s">
        <v>16</v>
      </c>
    </row>
    <row r="1205">
      <c r="A1205" s="16">
        <v>7.0</v>
      </c>
    </row>
    <row r="1206">
      <c r="A1206" s="11" t="s">
        <v>25</v>
      </c>
    </row>
    <row r="1207">
      <c r="A1207" s="11" t="s">
        <v>26</v>
      </c>
    </row>
    <row r="1208">
      <c r="A1208" s="11" t="s">
        <v>17</v>
      </c>
    </row>
    <row r="1209">
      <c r="A1209" s="11">
        <v>102.0</v>
      </c>
    </row>
    <row r="1210">
      <c r="A1210" s="11" t="s">
        <v>18</v>
      </c>
    </row>
    <row r="1211">
      <c r="A1211" s="11" t="s">
        <v>605</v>
      </c>
    </row>
    <row r="1212">
      <c r="A1212" s="11" t="s">
        <v>125</v>
      </c>
    </row>
    <row r="1213">
      <c r="A1213" s="11" t="s">
        <v>607</v>
      </c>
    </row>
    <row r="1214">
      <c r="A1214" s="11" t="s">
        <v>37</v>
      </c>
    </row>
    <row r="1215">
      <c r="A1215" s="11">
        <v>124.0</v>
      </c>
    </row>
    <row r="1216">
      <c r="A1216" s="11" t="s">
        <v>16</v>
      </c>
    </row>
    <row r="1217">
      <c r="A1217" s="16">
        <v>5.0</v>
      </c>
    </row>
    <row r="1218">
      <c r="A1218" s="11" t="s">
        <v>25</v>
      </c>
    </row>
    <row r="1219">
      <c r="A1219" s="11" t="s">
        <v>26</v>
      </c>
    </row>
    <row r="1220">
      <c r="A1220" s="11" t="s">
        <v>17</v>
      </c>
    </row>
    <row r="1221">
      <c r="A1221" s="11">
        <v>103.0</v>
      </c>
    </row>
    <row r="1222">
      <c r="A1222" s="11" t="s">
        <v>18</v>
      </c>
    </row>
    <row r="1223">
      <c r="A1223" s="11" t="s">
        <v>611</v>
      </c>
    </row>
    <row r="1224">
      <c r="A1224" s="11" t="s">
        <v>259</v>
      </c>
    </row>
    <row r="1225">
      <c r="A1225" s="11" t="s">
        <v>613</v>
      </c>
    </row>
    <row r="1226">
      <c r="A1226" s="11" t="s">
        <v>121</v>
      </c>
    </row>
    <row r="1227">
      <c r="A1227" s="11">
        <v>107.4</v>
      </c>
    </row>
    <row r="1228">
      <c r="A1228" s="11" t="s">
        <v>16</v>
      </c>
    </row>
    <row r="1229">
      <c r="A1229" s="11" t="s">
        <v>151</v>
      </c>
    </row>
    <row r="1230">
      <c r="A1230" s="11" t="s">
        <v>25</v>
      </c>
    </row>
    <row r="1231">
      <c r="A1231" s="11" t="s">
        <v>26</v>
      </c>
    </row>
    <row r="1232">
      <c r="A1232" s="11" t="s">
        <v>17</v>
      </c>
    </row>
    <row r="1233">
      <c r="A1233" s="11">
        <v>104.0</v>
      </c>
    </row>
    <row r="1234">
      <c r="A1234" s="11" t="s">
        <v>18</v>
      </c>
    </row>
    <row r="1235">
      <c r="A1235" s="11" t="s">
        <v>615</v>
      </c>
    </row>
    <row r="1236">
      <c r="A1236" s="11" t="s">
        <v>333</v>
      </c>
    </row>
    <row r="1237">
      <c r="A1237" s="11" t="s">
        <v>617</v>
      </c>
    </row>
    <row r="1238">
      <c r="A1238" s="11" t="s">
        <v>335</v>
      </c>
    </row>
    <row r="1239">
      <c r="A1239" s="11">
        <v>124.0</v>
      </c>
    </row>
    <row r="1240">
      <c r="A1240" s="11" t="s">
        <v>16</v>
      </c>
    </row>
    <row r="1241">
      <c r="A1241" s="16">
        <v>2.0</v>
      </c>
    </row>
    <row r="1242">
      <c r="A1242" s="11" t="s">
        <v>25</v>
      </c>
    </row>
    <row r="1243">
      <c r="A1243" s="11" t="s">
        <v>26</v>
      </c>
    </row>
    <row r="1244">
      <c r="A1244" s="11" t="s">
        <v>17</v>
      </c>
    </row>
    <row r="1245">
      <c r="A1245" s="11">
        <v>105.0</v>
      </c>
    </row>
    <row r="1246">
      <c r="A1246" s="11" t="s">
        <v>18</v>
      </c>
    </row>
    <row r="1247">
      <c r="A1247" s="11" t="s">
        <v>621</v>
      </c>
    </row>
    <row r="1248">
      <c r="A1248" s="11" t="s">
        <v>88</v>
      </c>
    </row>
    <row r="1249">
      <c r="A1249" s="11" t="s">
        <v>622</v>
      </c>
    </row>
    <row r="1250">
      <c r="A1250" s="11" t="s">
        <v>23</v>
      </c>
    </row>
    <row r="1251">
      <c r="A1251" s="11">
        <v>108.0</v>
      </c>
    </row>
    <row r="1252">
      <c r="A1252" s="11" t="s">
        <v>16</v>
      </c>
    </row>
    <row r="1253">
      <c r="A1253" s="16">
        <v>8.0</v>
      </c>
    </row>
    <row r="1254">
      <c r="A1254" s="11" t="s">
        <v>25</v>
      </c>
    </row>
    <row r="1255">
      <c r="A1255" s="11" t="s">
        <v>26</v>
      </c>
    </row>
    <row r="1256">
      <c r="A1256" s="11" t="s">
        <v>17</v>
      </c>
    </row>
    <row r="1257">
      <c r="A1257" s="11">
        <v>106.0</v>
      </c>
    </row>
    <row r="1258">
      <c r="A1258" s="11" t="s">
        <v>18</v>
      </c>
    </row>
    <row r="1259">
      <c r="A1259" s="11" t="s">
        <v>627</v>
      </c>
    </row>
    <row r="1260">
      <c r="A1260" s="11" t="s">
        <v>266</v>
      </c>
    </row>
    <row r="1261">
      <c r="A1261" s="11" t="s">
        <v>628</v>
      </c>
    </row>
    <row r="1262">
      <c r="A1262" s="11" t="s">
        <v>44</v>
      </c>
    </row>
    <row r="1263">
      <c r="A1263" s="11">
        <v>112.2</v>
      </c>
    </row>
    <row r="1264">
      <c r="A1264" s="11" t="s">
        <v>16</v>
      </c>
    </row>
    <row r="1265">
      <c r="A1265" s="16">
        <v>1.0</v>
      </c>
    </row>
    <row r="1266">
      <c r="A1266" s="11" t="s">
        <v>25</v>
      </c>
    </row>
    <row r="1267">
      <c r="A1267" s="11" t="s">
        <v>26</v>
      </c>
    </row>
    <row r="1268">
      <c r="A1268" s="11" t="s">
        <v>17</v>
      </c>
    </row>
    <row r="1269">
      <c r="A1269" s="11">
        <v>107.0</v>
      </c>
    </row>
    <row r="1270">
      <c r="A1270" s="11" t="s">
        <v>18</v>
      </c>
    </row>
    <row r="1271">
      <c r="A1271" s="11" t="s">
        <v>632</v>
      </c>
    </row>
    <row r="1272">
      <c r="A1272" s="11" t="s">
        <v>259</v>
      </c>
    </row>
    <row r="1273">
      <c r="A1273" s="11" t="s">
        <v>634</v>
      </c>
    </row>
    <row r="1274">
      <c r="A1274" s="11" t="s">
        <v>121</v>
      </c>
    </row>
    <row r="1275">
      <c r="A1275" s="11">
        <v>113.0</v>
      </c>
    </row>
    <row r="1276">
      <c r="A1276" s="11" t="s">
        <v>16</v>
      </c>
    </row>
    <row r="1277">
      <c r="A1277" s="16">
        <v>6.0</v>
      </c>
    </row>
    <row r="1278">
      <c r="A1278" s="11" t="s">
        <v>25</v>
      </c>
    </row>
    <row r="1279">
      <c r="A1279" s="11" t="s">
        <v>26</v>
      </c>
    </row>
    <row r="1280">
      <c r="A1280" s="11" t="s">
        <v>17</v>
      </c>
    </row>
    <row r="1281">
      <c r="A1281" s="11">
        <v>108.0</v>
      </c>
    </row>
    <row r="1282">
      <c r="A1282" s="11" t="s">
        <v>18</v>
      </c>
    </row>
    <row r="1283">
      <c r="A1283" s="11" t="s">
        <v>637</v>
      </c>
    </row>
    <row r="1284">
      <c r="A1284" s="11" t="s">
        <v>319</v>
      </c>
    </row>
    <row r="1285">
      <c r="A1285" s="11" t="s">
        <v>639</v>
      </c>
    </row>
    <row r="1286">
      <c r="A1286" s="11" t="s">
        <v>121</v>
      </c>
    </row>
    <row r="1287">
      <c r="A1287" s="11">
        <v>59.2</v>
      </c>
    </row>
    <row r="1288">
      <c r="A1288" s="11" t="s">
        <v>16</v>
      </c>
    </row>
    <row r="1289">
      <c r="A1289" s="16">
        <v>17.0</v>
      </c>
    </row>
    <row r="1290">
      <c r="A1290" s="11" t="s">
        <v>25</v>
      </c>
    </row>
    <row r="1291">
      <c r="A1291" s="11" t="s">
        <v>26</v>
      </c>
    </row>
    <row r="1292">
      <c r="A1292" s="11" t="s">
        <v>17</v>
      </c>
    </row>
    <row r="1293">
      <c r="A1293" s="11">
        <v>109.0</v>
      </c>
    </row>
    <row r="1294">
      <c r="A1294" s="11" t="s">
        <v>18</v>
      </c>
    </row>
    <row r="1295">
      <c r="A1295" s="11" t="s">
        <v>644</v>
      </c>
    </row>
    <row r="1296">
      <c r="A1296" s="11" t="s">
        <v>351</v>
      </c>
    </row>
    <row r="1297">
      <c r="A1297" s="11" t="s">
        <v>645</v>
      </c>
    </row>
    <row r="1298">
      <c r="A1298" s="11" t="s">
        <v>62</v>
      </c>
    </row>
    <row r="1299">
      <c r="A1299" s="11">
        <v>111.2</v>
      </c>
    </row>
    <row r="1300">
      <c r="A1300" s="11" t="s">
        <v>16</v>
      </c>
    </row>
    <row r="1301">
      <c r="A1301" s="16">
        <v>10.0</v>
      </c>
    </row>
    <row r="1302">
      <c r="A1302" s="11" t="s">
        <v>25</v>
      </c>
    </row>
    <row r="1303">
      <c r="A1303" s="11" t="s">
        <v>26</v>
      </c>
    </row>
    <row r="1304">
      <c r="A1304" s="11" t="s">
        <v>17</v>
      </c>
    </row>
    <row r="1305">
      <c r="A1305" s="11">
        <v>110.0</v>
      </c>
    </row>
    <row r="1306">
      <c r="A1306" s="11" t="s">
        <v>649</v>
      </c>
    </row>
    <row r="1307">
      <c r="A1307" s="11" t="s">
        <v>253</v>
      </c>
    </row>
    <row r="1308">
      <c r="A1308" s="11" t="s">
        <v>651</v>
      </c>
    </row>
    <row r="1309">
      <c r="A1309" s="11" t="s">
        <v>121</v>
      </c>
    </row>
    <row r="1310">
      <c r="A1310" s="11">
        <v>96.4</v>
      </c>
    </row>
    <row r="1311">
      <c r="A1311" s="11" t="s">
        <v>16</v>
      </c>
    </row>
    <row r="1312">
      <c r="A1312" s="16">
        <v>1.0</v>
      </c>
    </row>
    <row r="1313">
      <c r="A1313" s="11" t="s">
        <v>25</v>
      </c>
    </row>
    <row r="1314">
      <c r="A1314" s="11" t="s">
        <v>26</v>
      </c>
    </row>
    <row r="1315">
      <c r="A1315" s="11" t="s">
        <v>17</v>
      </c>
    </row>
    <row r="1316">
      <c r="A1316" s="11">
        <v>111.0</v>
      </c>
    </row>
    <row r="1317">
      <c r="A1317" s="11" t="s">
        <v>18</v>
      </c>
    </row>
    <row r="1318">
      <c r="A1318" s="11" t="s">
        <v>654</v>
      </c>
    </row>
    <row r="1319">
      <c r="A1319" s="11" t="s">
        <v>88</v>
      </c>
    </row>
    <row r="1320">
      <c r="A1320" s="11" t="s">
        <v>655</v>
      </c>
    </row>
    <row r="1321">
      <c r="A1321" s="11" t="s">
        <v>23</v>
      </c>
    </row>
    <row r="1322">
      <c r="A1322" s="11">
        <v>135.0</v>
      </c>
    </row>
    <row r="1323">
      <c r="A1323" s="11" t="s">
        <v>16</v>
      </c>
    </row>
    <row r="1324">
      <c r="A1324" s="16">
        <v>3.0</v>
      </c>
    </row>
    <row r="1325">
      <c r="A1325" s="11" t="s">
        <v>25</v>
      </c>
    </row>
    <row r="1326">
      <c r="A1326" s="11" t="s">
        <v>26</v>
      </c>
    </row>
    <row r="1327">
      <c r="A1327" s="11" t="s">
        <v>17</v>
      </c>
    </row>
    <row r="1328">
      <c r="A1328" s="11">
        <v>112.0</v>
      </c>
    </row>
    <row r="1329">
      <c r="A1329" s="11" t="s">
        <v>18</v>
      </c>
    </row>
    <row r="1330">
      <c r="A1330" s="11" t="s">
        <v>659</v>
      </c>
    </row>
    <row r="1331">
      <c r="A1331" s="11" t="s">
        <v>319</v>
      </c>
    </row>
    <row r="1332">
      <c r="A1332" s="11" t="s">
        <v>660</v>
      </c>
    </row>
    <row r="1333">
      <c r="A1333" s="11" t="s">
        <v>121</v>
      </c>
    </row>
    <row r="1334">
      <c r="A1334" s="11">
        <v>113.0</v>
      </c>
    </row>
    <row r="1335">
      <c r="A1335" s="11" t="s">
        <v>16</v>
      </c>
    </row>
    <row r="1336">
      <c r="A1336" s="16">
        <v>5.0</v>
      </c>
    </row>
    <row r="1337">
      <c r="A1337" s="11" t="s">
        <v>25</v>
      </c>
    </row>
    <row r="1338">
      <c r="A1338" s="11" t="s">
        <v>26</v>
      </c>
    </row>
    <row r="1339">
      <c r="A1339" s="11" t="s">
        <v>17</v>
      </c>
    </row>
    <row r="1340">
      <c r="A1340" s="11">
        <v>113.0</v>
      </c>
    </row>
    <row r="1341">
      <c r="A1341" s="11" t="s">
        <v>18</v>
      </c>
    </row>
    <row r="1342">
      <c r="A1342" s="11" t="s">
        <v>662</v>
      </c>
    </row>
    <row r="1343">
      <c r="A1343" s="11" t="s">
        <v>266</v>
      </c>
    </row>
    <row r="1344">
      <c r="A1344" s="11" t="s">
        <v>664</v>
      </c>
    </row>
    <row r="1345">
      <c r="A1345" s="11" t="s">
        <v>44</v>
      </c>
    </row>
    <row r="1346">
      <c r="A1346" s="11">
        <v>74.8</v>
      </c>
    </row>
    <row r="1347">
      <c r="A1347" s="11" t="s">
        <v>16</v>
      </c>
    </row>
    <row r="1348">
      <c r="A1348" s="16">
        <v>1.0</v>
      </c>
    </row>
    <row r="1349">
      <c r="A1349" s="11" t="s">
        <v>25</v>
      </c>
    </row>
    <row r="1350">
      <c r="A1350" s="11" t="s">
        <v>26</v>
      </c>
    </row>
    <row r="1351">
      <c r="A1351" s="11" t="s">
        <v>17</v>
      </c>
    </row>
    <row r="1352">
      <c r="A1352" s="11">
        <v>114.0</v>
      </c>
    </row>
    <row r="1353">
      <c r="A1353" s="11" t="s">
        <v>18</v>
      </c>
    </row>
    <row r="1354">
      <c r="A1354" s="11" t="s">
        <v>665</v>
      </c>
    </row>
    <row r="1355">
      <c r="A1355" s="11" t="s">
        <v>295</v>
      </c>
    </row>
    <row r="1356">
      <c r="A1356" s="11" t="s">
        <v>666</v>
      </c>
    </row>
    <row r="1357">
      <c r="A1357" s="11" t="s">
        <v>62</v>
      </c>
    </row>
    <row r="1358">
      <c r="A1358" s="11">
        <v>112.2</v>
      </c>
    </row>
    <row r="1359">
      <c r="A1359" s="11" t="s">
        <v>16</v>
      </c>
    </row>
    <row r="1360">
      <c r="A1360" s="16">
        <v>3.0</v>
      </c>
    </row>
    <row r="1361">
      <c r="A1361" s="11" t="s">
        <v>25</v>
      </c>
    </row>
    <row r="1362">
      <c r="A1362" s="11" t="s">
        <v>26</v>
      </c>
    </row>
    <row r="1363">
      <c r="A1363" s="11" t="s">
        <v>17</v>
      </c>
    </row>
    <row r="1364">
      <c r="A1364" s="11">
        <v>115.0</v>
      </c>
    </row>
    <row r="1365">
      <c r="A1365" s="11" t="s">
        <v>18</v>
      </c>
    </row>
    <row r="1366">
      <c r="A1366" s="11" t="s">
        <v>670</v>
      </c>
    </row>
    <row r="1367">
      <c r="A1367" s="11" t="s">
        <v>295</v>
      </c>
    </row>
    <row r="1368">
      <c r="A1368" s="11" t="s">
        <v>672</v>
      </c>
    </row>
    <row r="1369">
      <c r="A1369" s="11" t="s">
        <v>62</v>
      </c>
    </row>
    <row r="1370">
      <c r="A1370" s="11">
        <v>86.4</v>
      </c>
    </row>
    <row r="1371">
      <c r="A1371" s="11" t="s">
        <v>16</v>
      </c>
    </row>
    <row r="1372">
      <c r="A1372" s="16">
        <v>8.0</v>
      </c>
    </row>
    <row r="1373">
      <c r="A1373" s="11" t="s">
        <v>25</v>
      </c>
    </row>
    <row r="1374">
      <c r="A1374" s="11" t="s">
        <v>26</v>
      </c>
    </row>
    <row r="1375">
      <c r="A1375" s="11" t="s">
        <v>17</v>
      </c>
    </row>
    <row r="1376">
      <c r="A1376" s="11">
        <v>116.0</v>
      </c>
    </row>
    <row r="1377">
      <c r="A1377" s="11" t="s">
        <v>18</v>
      </c>
    </row>
    <row r="1378">
      <c r="A1378" s="11" t="s">
        <v>678</v>
      </c>
    </row>
    <row r="1379">
      <c r="A1379" s="11" t="s">
        <v>94</v>
      </c>
    </row>
    <row r="1380">
      <c r="A1380" s="11" t="s">
        <v>679</v>
      </c>
    </row>
    <row r="1381">
      <c r="A1381" s="11" t="s">
        <v>98</v>
      </c>
    </row>
    <row r="1382">
      <c r="A1382" s="11">
        <v>66.4</v>
      </c>
    </row>
    <row r="1383">
      <c r="A1383" s="11" t="s">
        <v>16</v>
      </c>
    </row>
    <row r="1384">
      <c r="A1384" s="16">
        <v>9.0</v>
      </c>
    </row>
    <row r="1385">
      <c r="A1385" s="11" t="s">
        <v>25</v>
      </c>
    </row>
    <row r="1386">
      <c r="A1386" s="11" t="s">
        <v>26</v>
      </c>
    </row>
    <row r="1387">
      <c r="A1387" s="11" t="s">
        <v>17</v>
      </c>
    </row>
    <row r="1388">
      <c r="A1388" s="11">
        <v>117.0</v>
      </c>
    </row>
    <row r="1389">
      <c r="A1389" s="11" t="s">
        <v>18</v>
      </c>
    </row>
    <row r="1390">
      <c r="A1390" s="11" t="s">
        <v>681</v>
      </c>
    </row>
    <row r="1391">
      <c r="A1391" s="11" t="s">
        <v>47</v>
      </c>
    </row>
    <row r="1392">
      <c r="A1392" s="11" t="s">
        <v>683</v>
      </c>
    </row>
    <row r="1393">
      <c r="A1393" s="11" t="s">
        <v>31</v>
      </c>
    </row>
    <row r="1394">
      <c r="A1394" s="11">
        <v>79.3</v>
      </c>
    </row>
    <row r="1395">
      <c r="A1395" s="11" t="s">
        <v>16</v>
      </c>
    </row>
    <row r="1396">
      <c r="A1396" s="16">
        <v>1.0</v>
      </c>
    </row>
    <row r="1397">
      <c r="A1397" s="11" t="s">
        <v>25</v>
      </c>
    </row>
    <row r="1398">
      <c r="A1398" s="11" t="s">
        <v>26</v>
      </c>
    </row>
    <row r="1399">
      <c r="A1399" s="11" t="s">
        <v>17</v>
      </c>
    </row>
    <row r="1400">
      <c r="A1400" s="11">
        <v>118.0</v>
      </c>
    </row>
    <row r="1401">
      <c r="A1401" s="11" t="s">
        <v>18</v>
      </c>
    </row>
    <row r="1402">
      <c r="A1402" s="11" t="s">
        <v>686</v>
      </c>
    </row>
    <row r="1403">
      <c r="A1403" s="11" t="s">
        <v>66</v>
      </c>
    </row>
    <row r="1404">
      <c r="A1404" s="11" t="s">
        <v>687</v>
      </c>
    </row>
    <row r="1405">
      <c r="A1405" s="11" t="s">
        <v>31</v>
      </c>
    </row>
    <row r="1406">
      <c r="A1406" s="11">
        <v>126.2</v>
      </c>
    </row>
    <row r="1407">
      <c r="A1407" s="11" t="s">
        <v>16</v>
      </c>
    </row>
    <row r="1408">
      <c r="A1408" s="16">
        <v>10.0</v>
      </c>
    </row>
    <row r="1409">
      <c r="A1409" s="11" t="s">
        <v>25</v>
      </c>
    </row>
    <row r="1410">
      <c r="A1410" s="11" t="s">
        <v>26</v>
      </c>
    </row>
    <row r="1411">
      <c r="A1411" s="11" t="s">
        <v>17</v>
      </c>
    </row>
    <row r="1412">
      <c r="A1412" s="11">
        <v>119.0</v>
      </c>
    </row>
    <row r="1413">
      <c r="A1413" s="11" t="s">
        <v>18</v>
      </c>
    </row>
    <row r="1414">
      <c r="A1414" s="11" t="s">
        <v>693</v>
      </c>
    </row>
    <row r="1415">
      <c r="A1415" s="11" t="s">
        <v>295</v>
      </c>
    </row>
    <row r="1416">
      <c r="A1416" s="11" t="s">
        <v>694</v>
      </c>
    </row>
    <row r="1417">
      <c r="A1417" s="11" t="s">
        <v>62</v>
      </c>
    </row>
    <row r="1418">
      <c r="A1418" s="11" t="s">
        <v>151</v>
      </c>
    </row>
    <row r="1419">
      <c r="A1419" s="11" t="s">
        <v>16</v>
      </c>
    </row>
    <row r="1420">
      <c r="A1420" s="16">
        <v>1.0</v>
      </c>
    </row>
    <row r="1421">
      <c r="A1421" s="11" t="s">
        <v>25</v>
      </c>
    </row>
    <row r="1422">
      <c r="A1422" s="11" t="s">
        <v>26</v>
      </c>
    </row>
    <row r="1423">
      <c r="A1423" s="11" t="s">
        <v>17</v>
      </c>
    </row>
    <row r="1424">
      <c r="A1424" s="11">
        <v>120.0</v>
      </c>
    </row>
    <row r="1425">
      <c r="A1425" s="11" t="s">
        <v>18</v>
      </c>
    </row>
    <row r="1426">
      <c r="A1426" s="11" t="s">
        <v>698</v>
      </c>
    </row>
    <row r="1427">
      <c r="A1427" s="11" t="s">
        <v>142</v>
      </c>
    </row>
    <row r="1428">
      <c r="A1428" s="11" t="s">
        <v>699</v>
      </c>
    </row>
    <row r="1429">
      <c r="A1429" s="11" t="s">
        <v>31</v>
      </c>
    </row>
    <row r="1430">
      <c r="A1430" s="11">
        <v>149.3</v>
      </c>
    </row>
    <row r="1431">
      <c r="A1431" s="11" t="s">
        <v>16</v>
      </c>
    </row>
    <row r="1432">
      <c r="A1432" s="16">
        <v>5.0</v>
      </c>
    </row>
    <row r="1433">
      <c r="A1433" s="11" t="s">
        <v>25</v>
      </c>
    </row>
    <row r="1434">
      <c r="A1434" s="11" t="s">
        <v>26</v>
      </c>
    </row>
    <row r="1435">
      <c r="A1435" s="11" t="s">
        <v>17</v>
      </c>
    </row>
    <row r="1436">
      <c r="A1436" s="11">
        <v>121.0</v>
      </c>
    </row>
    <row r="1437">
      <c r="A1437" s="11" t="s">
        <v>700</v>
      </c>
    </row>
    <row r="1438">
      <c r="A1438" s="11" t="s">
        <v>166</v>
      </c>
    </row>
    <row r="1439">
      <c r="A1439" s="11" t="s">
        <v>703</v>
      </c>
    </row>
    <row r="1440">
      <c r="A1440" s="11" t="s">
        <v>44</v>
      </c>
    </row>
    <row r="1441">
      <c r="A1441" s="11">
        <v>186.0</v>
      </c>
    </row>
    <row r="1442">
      <c r="A1442" s="11" t="s">
        <v>16</v>
      </c>
    </row>
    <row r="1443">
      <c r="A1443" s="16">
        <v>4.0</v>
      </c>
    </row>
    <row r="1444">
      <c r="A1444" s="11" t="s">
        <v>25</v>
      </c>
    </row>
    <row r="1445">
      <c r="A1445" s="11" t="s">
        <v>26</v>
      </c>
    </row>
    <row r="1446">
      <c r="A1446" s="11" t="s">
        <v>17</v>
      </c>
    </row>
    <row r="1447">
      <c r="A1447" s="11">
        <v>122.0</v>
      </c>
    </row>
    <row r="1448">
      <c r="A1448" s="11" t="s">
        <v>18</v>
      </c>
    </row>
    <row r="1449">
      <c r="A1449" s="11" t="s">
        <v>707</v>
      </c>
    </row>
    <row r="1450">
      <c r="A1450" s="11" t="s">
        <v>131</v>
      </c>
    </row>
    <row r="1451">
      <c r="A1451" s="11" t="s">
        <v>708</v>
      </c>
    </row>
    <row r="1452">
      <c r="A1452" s="11" t="s">
        <v>62</v>
      </c>
    </row>
    <row r="1453">
      <c r="A1453" s="11">
        <v>159.0</v>
      </c>
    </row>
    <row r="1454">
      <c r="A1454" s="11" t="s">
        <v>16</v>
      </c>
    </row>
    <row r="1455">
      <c r="A1455" s="16">
        <v>1.0</v>
      </c>
    </row>
    <row r="1456">
      <c r="A1456" s="11" t="s">
        <v>25</v>
      </c>
    </row>
    <row r="1457">
      <c r="A1457" s="11" t="s">
        <v>26</v>
      </c>
    </row>
    <row r="1458">
      <c r="A1458" s="11" t="s">
        <v>17</v>
      </c>
    </row>
    <row r="1459">
      <c r="A1459" s="11">
        <v>123.0</v>
      </c>
    </row>
    <row r="1460">
      <c r="A1460" s="11" t="s">
        <v>18</v>
      </c>
    </row>
    <row r="1461">
      <c r="A1461" s="11" t="s">
        <v>712</v>
      </c>
    </row>
    <row r="1462">
      <c r="A1462" s="11" t="s">
        <v>20</v>
      </c>
    </row>
    <row r="1463">
      <c r="A1463" s="11" t="s">
        <v>713</v>
      </c>
    </row>
    <row r="1464">
      <c r="A1464" s="11" t="s">
        <v>23</v>
      </c>
    </row>
    <row r="1465">
      <c r="A1465" s="11">
        <v>98.8</v>
      </c>
    </row>
    <row r="1466">
      <c r="A1466" s="11" t="s">
        <v>16</v>
      </c>
    </row>
    <row r="1467">
      <c r="A1467" s="16">
        <v>3.0</v>
      </c>
    </row>
    <row r="1468">
      <c r="A1468" s="11" t="s">
        <v>25</v>
      </c>
    </row>
    <row r="1469">
      <c r="A1469" s="11" t="s">
        <v>26</v>
      </c>
    </row>
    <row r="1470">
      <c r="A1470" s="11" t="s">
        <v>17</v>
      </c>
    </row>
    <row r="1471">
      <c r="A1471" s="11">
        <v>124.0</v>
      </c>
    </row>
    <row r="1472">
      <c r="A1472" s="11" t="s">
        <v>18</v>
      </c>
    </row>
    <row r="1473">
      <c r="A1473" s="11" t="s">
        <v>715</v>
      </c>
    </row>
    <row r="1474">
      <c r="A1474" s="11" t="s">
        <v>113</v>
      </c>
    </row>
    <row r="1475">
      <c r="A1475" s="11" t="s">
        <v>718</v>
      </c>
    </row>
    <row r="1476">
      <c r="A1476" s="11" t="s">
        <v>117</v>
      </c>
    </row>
    <row r="1477">
      <c r="A1477" s="11">
        <v>138.2</v>
      </c>
    </row>
    <row r="1478">
      <c r="A1478" s="11" t="s">
        <v>16</v>
      </c>
    </row>
    <row r="1479">
      <c r="A1479" s="16">
        <v>3.0</v>
      </c>
    </row>
    <row r="1480">
      <c r="A1480" s="11" t="s">
        <v>25</v>
      </c>
    </row>
    <row r="1481">
      <c r="A1481" s="11" t="s">
        <v>26</v>
      </c>
    </row>
    <row r="1482">
      <c r="A1482" s="11" t="s">
        <v>17</v>
      </c>
    </row>
    <row r="1483">
      <c r="A1483" s="11">
        <v>125.0</v>
      </c>
    </row>
    <row r="1484">
      <c r="A1484" s="11" t="s">
        <v>720</v>
      </c>
    </row>
    <row r="1485">
      <c r="A1485" s="11" t="s">
        <v>236</v>
      </c>
    </row>
    <row r="1486">
      <c r="A1486" s="11" t="s">
        <v>724</v>
      </c>
    </row>
    <row r="1487">
      <c r="A1487" s="11" t="s">
        <v>31</v>
      </c>
    </row>
    <row r="1488">
      <c r="A1488" s="11">
        <v>155.5</v>
      </c>
    </row>
    <row r="1489">
      <c r="A1489" s="11" t="s">
        <v>16</v>
      </c>
    </row>
    <row r="1490">
      <c r="A1490" s="11" t="s">
        <v>151</v>
      </c>
    </row>
    <row r="1491">
      <c r="A1491" s="11" t="s">
        <v>25</v>
      </c>
    </row>
    <row r="1492">
      <c r="A1492" s="11" t="s">
        <v>26</v>
      </c>
    </row>
    <row r="1493">
      <c r="A1493" s="11" t="s">
        <v>17</v>
      </c>
    </row>
    <row r="1494">
      <c r="A1494" s="11">
        <v>126.0</v>
      </c>
    </row>
    <row r="1495">
      <c r="A1495" s="11" t="s">
        <v>18</v>
      </c>
    </row>
    <row r="1496">
      <c r="A1496" s="11" t="s">
        <v>728</v>
      </c>
    </row>
    <row r="1497">
      <c r="A1497" s="11" t="s">
        <v>146</v>
      </c>
    </row>
    <row r="1498">
      <c r="A1498" s="11" t="s">
        <v>729</v>
      </c>
    </row>
    <row r="1499">
      <c r="A1499" s="11" t="s">
        <v>117</v>
      </c>
    </row>
    <row r="1500">
      <c r="A1500" s="11">
        <v>170.7</v>
      </c>
    </row>
    <row r="1501">
      <c r="A1501" s="11" t="s">
        <v>16</v>
      </c>
    </row>
    <row r="1502">
      <c r="A1502" s="16">
        <v>3.0</v>
      </c>
    </row>
    <row r="1503">
      <c r="A1503" s="11" t="s">
        <v>25</v>
      </c>
    </row>
    <row r="1504">
      <c r="A1504" s="11" t="s">
        <v>26</v>
      </c>
    </row>
    <row r="1505">
      <c r="A1505" s="11" t="s">
        <v>17</v>
      </c>
    </row>
    <row r="1506">
      <c r="A1506" s="11">
        <v>127.0</v>
      </c>
    </row>
    <row r="1507">
      <c r="A1507" s="11" t="s">
        <v>18</v>
      </c>
    </row>
    <row r="1508">
      <c r="A1508" s="11" t="s">
        <v>733</v>
      </c>
    </row>
    <row r="1509">
      <c r="A1509" s="11" t="s">
        <v>351</v>
      </c>
    </row>
    <row r="1510">
      <c r="A1510" s="11" t="s">
        <v>735</v>
      </c>
    </row>
    <row r="1511">
      <c r="A1511" s="11" t="s">
        <v>62</v>
      </c>
    </row>
    <row r="1512">
      <c r="A1512" s="11">
        <v>140.6</v>
      </c>
    </row>
    <row r="1513">
      <c r="A1513" s="11" t="s">
        <v>16</v>
      </c>
    </row>
    <row r="1514">
      <c r="A1514" s="16">
        <v>2.0</v>
      </c>
    </row>
    <row r="1515">
      <c r="A1515" s="11" t="s">
        <v>25</v>
      </c>
    </row>
    <row r="1516">
      <c r="A1516" s="11" t="s">
        <v>26</v>
      </c>
    </row>
    <row r="1517">
      <c r="A1517" s="11" t="s">
        <v>17</v>
      </c>
    </row>
    <row r="1518">
      <c r="A1518" s="11">
        <v>128.0</v>
      </c>
    </row>
    <row r="1519">
      <c r="A1519" s="11" t="s">
        <v>18</v>
      </c>
    </row>
    <row r="1520">
      <c r="A1520" s="11" t="s">
        <v>736</v>
      </c>
    </row>
    <row r="1521">
      <c r="A1521" s="11" t="s">
        <v>66</v>
      </c>
    </row>
    <row r="1522">
      <c r="A1522" s="11" t="s">
        <v>738</v>
      </c>
    </row>
    <row r="1523">
      <c r="A1523" s="11" t="s">
        <v>31</v>
      </c>
    </row>
    <row r="1524">
      <c r="A1524" s="11">
        <v>138.2</v>
      </c>
    </row>
    <row r="1525">
      <c r="A1525" s="11" t="s">
        <v>16</v>
      </c>
    </row>
    <row r="1526">
      <c r="A1526" s="16">
        <v>2.0</v>
      </c>
    </row>
    <row r="1527">
      <c r="A1527" s="11" t="s">
        <v>25</v>
      </c>
    </row>
    <row r="1528">
      <c r="A1528" s="11" t="s">
        <v>26</v>
      </c>
    </row>
    <row r="1529">
      <c r="A1529" s="11" t="s">
        <v>17</v>
      </c>
    </row>
    <row r="1530">
      <c r="A1530" s="11">
        <v>129.0</v>
      </c>
    </row>
    <row r="1531">
      <c r="A1531" s="11" t="s">
        <v>18</v>
      </c>
    </row>
    <row r="1532">
      <c r="A1532" s="11" t="s">
        <v>742</v>
      </c>
    </row>
    <row r="1533">
      <c r="A1533" s="11" t="s">
        <v>266</v>
      </c>
    </row>
    <row r="1534">
      <c r="A1534" s="11" t="s">
        <v>744</v>
      </c>
    </row>
    <row r="1535">
      <c r="A1535" s="11" t="s">
        <v>44</v>
      </c>
    </row>
    <row r="1536">
      <c r="A1536" s="11">
        <v>134.8</v>
      </c>
    </row>
    <row r="1537">
      <c r="A1537" s="11" t="s">
        <v>16</v>
      </c>
    </row>
    <row r="1538">
      <c r="A1538" s="16">
        <v>8.0</v>
      </c>
    </row>
    <row r="1539">
      <c r="A1539" s="11" t="s">
        <v>25</v>
      </c>
    </row>
    <row r="1540">
      <c r="A1540" s="11" t="s">
        <v>26</v>
      </c>
    </row>
    <row r="1541">
      <c r="A1541" s="11" t="s">
        <v>17</v>
      </c>
    </row>
    <row r="1542">
      <c r="A1542" s="11">
        <v>130.0</v>
      </c>
    </row>
    <row r="1543">
      <c r="A1543" s="11" t="s">
        <v>18</v>
      </c>
    </row>
    <row r="1544">
      <c r="A1544" s="11" t="s">
        <v>746</v>
      </c>
    </row>
    <row r="1545">
      <c r="A1545" s="11" t="s">
        <v>119</v>
      </c>
    </row>
    <row r="1546">
      <c r="A1546" s="11" t="s">
        <v>747</v>
      </c>
    </row>
    <row r="1547">
      <c r="A1547" s="11" t="s">
        <v>121</v>
      </c>
    </row>
    <row r="1548">
      <c r="A1548" s="11">
        <v>68.0</v>
      </c>
    </row>
    <row r="1549">
      <c r="A1549" s="11" t="s">
        <v>16</v>
      </c>
    </row>
    <row r="1550">
      <c r="A1550" s="16">
        <v>2.0</v>
      </c>
    </row>
    <row r="1551">
      <c r="A1551" s="11" t="s">
        <v>25</v>
      </c>
    </row>
    <row r="1552">
      <c r="A1552" s="11" t="s">
        <v>26</v>
      </c>
    </row>
    <row r="1553">
      <c r="A1553" s="11" t="s">
        <v>17</v>
      </c>
    </row>
    <row r="1554">
      <c r="A1554" s="11">
        <v>131.0</v>
      </c>
    </row>
    <row r="1555">
      <c r="A1555" s="11" t="s">
        <v>18</v>
      </c>
    </row>
    <row r="1556">
      <c r="A1556" s="11" t="s">
        <v>28</v>
      </c>
    </row>
    <row r="1557">
      <c r="A1557" s="11" t="s">
        <v>29</v>
      </c>
    </row>
    <row r="1558">
      <c r="A1558" s="11" t="s">
        <v>749</v>
      </c>
    </row>
    <row r="1559">
      <c r="A1559" s="11" t="s">
        <v>31</v>
      </c>
    </row>
    <row r="1560">
      <c r="A1560" s="11">
        <v>140.3</v>
      </c>
    </row>
    <row r="1561">
      <c r="A1561" s="11" t="s">
        <v>16</v>
      </c>
    </row>
    <row r="1562">
      <c r="A1562" s="16">
        <v>2.0</v>
      </c>
    </row>
    <row r="1563">
      <c r="A1563" s="11" t="s">
        <v>25</v>
      </c>
    </row>
    <row r="1564">
      <c r="A1564" s="11" t="s">
        <v>26</v>
      </c>
    </row>
    <row r="1565">
      <c r="A1565" s="11" t="s">
        <v>17</v>
      </c>
    </row>
    <row r="1566">
      <c r="A1566" s="11">
        <v>132.0</v>
      </c>
    </row>
    <row r="1567">
      <c r="A1567" s="11" t="s">
        <v>18</v>
      </c>
    </row>
    <row r="1568">
      <c r="A1568" s="11" t="s">
        <v>753</v>
      </c>
    </row>
    <row r="1569">
      <c r="A1569" s="11" t="s">
        <v>159</v>
      </c>
    </row>
    <row r="1570">
      <c r="A1570" s="11" t="s">
        <v>754</v>
      </c>
    </row>
    <row r="1571">
      <c r="A1571" s="11" t="s">
        <v>31</v>
      </c>
    </row>
    <row r="1572">
      <c r="A1572" s="11">
        <v>144.0</v>
      </c>
    </row>
    <row r="1573">
      <c r="A1573" s="11" t="s">
        <v>16</v>
      </c>
    </row>
    <row r="1574">
      <c r="A1574" s="16">
        <v>2.0</v>
      </c>
    </row>
    <row r="1575">
      <c r="A1575" s="11" t="s">
        <v>25</v>
      </c>
    </row>
    <row r="1576">
      <c r="A1576" s="11" t="s">
        <v>26</v>
      </c>
    </row>
    <row r="1577">
      <c r="A1577" s="11" t="s">
        <v>17</v>
      </c>
    </row>
    <row r="1578">
      <c r="A1578" s="11">
        <v>133.0</v>
      </c>
    </row>
    <row r="1579">
      <c r="A1579" s="11" t="s">
        <v>18</v>
      </c>
    </row>
    <row r="1580">
      <c r="A1580" s="11" t="s">
        <v>756</v>
      </c>
    </row>
    <row r="1581">
      <c r="A1581" s="11" t="s">
        <v>236</v>
      </c>
    </row>
    <row r="1582">
      <c r="A1582" s="11" t="s">
        <v>759</v>
      </c>
    </row>
    <row r="1583">
      <c r="A1583" s="11" t="s">
        <v>31</v>
      </c>
    </row>
    <row r="1584">
      <c r="A1584" s="11">
        <v>176.7</v>
      </c>
    </row>
    <row r="1585">
      <c r="A1585" s="11" t="s">
        <v>16</v>
      </c>
    </row>
    <row r="1586">
      <c r="A1586" s="16">
        <v>3.0</v>
      </c>
    </row>
    <row r="1587">
      <c r="A1587" s="11" t="s">
        <v>25</v>
      </c>
    </row>
    <row r="1588">
      <c r="A1588" s="11" t="s">
        <v>26</v>
      </c>
    </row>
    <row r="1589">
      <c r="A1589" s="11" t="s">
        <v>17</v>
      </c>
    </row>
    <row r="1590">
      <c r="A1590" s="11">
        <v>134.0</v>
      </c>
    </row>
    <row r="1591">
      <c r="A1591" s="11" t="s">
        <v>18</v>
      </c>
    </row>
    <row r="1592">
      <c r="A1592" s="11" t="s">
        <v>761</v>
      </c>
    </row>
    <row r="1593">
      <c r="A1593" s="11" t="s">
        <v>166</v>
      </c>
    </row>
    <row r="1594">
      <c r="A1594" s="11" t="s">
        <v>763</v>
      </c>
    </row>
    <row r="1595">
      <c r="A1595" s="11" t="s">
        <v>44</v>
      </c>
    </row>
    <row r="1596">
      <c r="A1596" s="11">
        <v>140.0</v>
      </c>
    </row>
    <row r="1597">
      <c r="A1597" s="11" t="s">
        <v>16</v>
      </c>
    </row>
    <row r="1598">
      <c r="A1598" s="16">
        <v>2.0</v>
      </c>
    </row>
    <row r="1599">
      <c r="A1599" s="11" t="s">
        <v>25</v>
      </c>
    </row>
    <row r="1600">
      <c r="A1600" s="11" t="s">
        <v>26</v>
      </c>
    </row>
    <row r="1601">
      <c r="A1601" s="11" t="s">
        <v>17</v>
      </c>
    </row>
    <row r="1602">
      <c r="A1602" s="11">
        <v>135.0</v>
      </c>
    </row>
    <row r="1603">
      <c r="A1603" s="11" t="s">
        <v>18</v>
      </c>
    </row>
    <row r="1604">
      <c r="A1604" s="11" t="s">
        <v>768</v>
      </c>
    </row>
    <row r="1605">
      <c r="A1605" s="11" t="s">
        <v>20</v>
      </c>
    </row>
    <row r="1606">
      <c r="A1606" s="11" t="s">
        <v>770</v>
      </c>
    </row>
    <row r="1607">
      <c r="A1607" s="11" t="s">
        <v>23</v>
      </c>
    </row>
    <row r="1608">
      <c r="A1608" s="11">
        <v>112.0</v>
      </c>
    </row>
    <row r="1609">
      <c r="A1609" s="11" t="s">
        <v>16</v>
      </c>
    </row>
    <row r="1610">
      <c r="A1610" s="16">
        <v>14.0</v>
      </c>
    </row>
    <row r="1611">
      <c r="A1611" s="11" t="s">
        <v>25</v>
      </c>
    </row>
    <row r="1612">
      <c r="A1612" s="11" t="s">
        <v>26</v>
      </c>
    </row>
    <row r="1613">
      <c r="A1613" s="11" t="s">
        <v>17</v>
      </c>
    </row>
    <row r="1614">
      <c r="A1614" s="11">
        <v>136.0</v>
      </c>
    </row>
    <row r="1615">
      <c r="A1615" s="11" t="s">
        <v>18</v>
      </c>
    </row>
    <row r="1616">
      <c r="A1616" s="11" t="s">
        <v>774</v>
      </c>
    </row>
    <row r="1617">
      <c r="A1617" s="11" t="s">
        <v>259</v>
      </c>
    </row>
    <row r="1618">
      <c r="A1618" s="11" t="s">
        <v>775</v>
      </c>
    </row>
    <row r="1619">
      <c r="A1619" s="11" t="s">
        <v>121</v>
      </c>
    </row>
    <row r="1620">
      <c r="A1620" s="11">
        <v>116.3</v>
      </c>
    </row>
    <row r="1621">
      <c r="A1621" s="11" t="s">
        <v>16</v>
      </c>
    </row>
    <row r="1622">
      <c r="A1622" s="16">
        <v>5.0</v>
      </c>
    </row>
    <row r="1623">
      <c r="A1623" s="11" t="s">
        <v>25</v>
      </c>
    </row>
    <row r="1624">
      <c r="A1624" s="11" t="s">
        <v>26</v>
      </c>
    </row>
    <row r="1625">
      <c r="A1625" s="11" t="s">
        <v>17</v>
      </c>
    </row>
    <row r="1626">
      <c r="A1626" s="11">
        <v>137.0</v>
      </c>
    </row>
    <row r="1627">
      <c r="A1627" s="11" t="s">
        <v>18</v>
      </c>
    </row>
    <row r="1628">
      <c r="A1628" s="11" t="s">
        <v>779</v>
      </c>
    </row>
    <row r="1629">
      <c r="A1629" s="11" t="s">
        <v>42</v>
      </c>
    </row>
    <row r="1630">
      <c r="A1630" s="11" t="s">
        <v>781</v>
      </c>
    </row>
    <row r="1631">
      <c r="A1631" s="11" t="s">
        <v>44</v>
      </c>
    </row>
    <row r="1632">
      <c r="A1632" s="11">
        <v>153.0</v>
      </c>
    </row>
    <row r="1633">
      <c r="A1633" s="11" t="s">
        <v>16</v>
      </c>
    </row>
    <row r="1634">
      <c r="A1634" s="16">
        <v>11.0</v>
      </c>
    </row>
    <row r="1635">
      <c r="A1635" s="11" t="s">
        <v>25</v>
      </c>
    </row>
    <row r="1636">
      <c r="A1636" s="11" t="s">
        <v>26</v>
      </c>
    </row>
    <row r="1637">
      <c r="A1637" s="11" t="s">
        <v>17</v>
      </c>
    </row>
    <row r="1638">
      <c r="A1638" s="11">
        <v>138.0</v>
      </c>
    </row>
    <row r="1639">
      <c r="A1639" s="11" t="s">
        <v>18</v>
      </c>
    </row>
    <row r="1640">
      <c r="A1640" s="11" t="s">
        <v>145</v>
      </c>
    </row>
    <row r="1641">
      <c r="A1641" s="11" t="s">
        <v>142</v>
      </c>
    </row>
    <row r="1642">
      <c r="A1642" s="11" t="s">
        <v>783</v>
      </c>
    </row>
    <row r="1643">
      <c r="A1643" s="11" t="s">
        <v>31</v>
      </c>
    </row>
    <row r="1644">
      <c r="A1644" s="11">
        <v>128.7</v>
      </c>
    </row>
    <row r="1645">
      <c r="A1645" s="11" t="s">
        <v>16</v>
      </c>
    </row>
    <row r="1646">
      <c r="A1646" s="16">
        <v>2.0</v>
      </c>
    </row>
    <row r="1647">
      <c r="A1647" s="11" t="s">
        <v>25</v>
      </c>
    </row>
    <row r="1648">
      <c r="A1648" s="11" t="s">
        <v>26</v>
      </c>
    </row>
    <row r="1649">
      <c r="A1649" s="11" t="s">
        <v>17</v>
      </c>
    </row>
    <row r="1650">
      <c r="A1650" s="11">
        <v>139.0</v>
      </c>
    </row>
    <row r="1651">
      <c r="A1651" s="11" t="s">
        <v>18</v>
      </c>
    </row>
    <row r="1652">
      <c r="A1652" s="11" t="s">
        <v>787</v>
      </c>
    </row>
    <row r="1653">
      <c r="A1653" s="11" t="s">
        <v>119</v>
      </c>
    </row>
    <row r="1654">
      <c r="A1654" s="11" t="s">
        <v>788</v>
      </c>
    </row>
    <row r="1655">
      <c r="A1655" s="11" t="s">
        <v>121</v>
      </c>
    </row>
    <row r="1656">
      <c r="A1656" s="11">
        <v>184.0</v>
      </c>
    </row>
    <row r="1657">
      <c r="A1657" s="11" t="s">
        <v>16</v>
      </c>
    </row>
    <row r="1658">
      <c r="A1658" s="16">
        <v>4.0</v>
      </c>
    </row>
    <row r="1659">
      <c r="A1659" s="11" t="s">
        <v>25</v>
      </c>
    </row>
    <row r="1660">
      <c r="A1660" s="11" t="s">
        <v>26</v>
      </c>
    </row>
    <row r="1661">
      <c r="A1661" s="11" t="s">
        <v>17</v>
      </c>
    </row>
    <row r="1662">
      <c r="A1662" s="11">
        <v>140.0</v>
      </c>
    </row>
    <row r="1663">
      <c r="A1663" s="11" t="s">
        <v>18</v>
      </c>
    </row>
    <row r="1664">
      <c r="A1664" s="11" t="s">
        <v>791</v>
      </c>
    </row>
    <row r="1665">
      <c r="A1665" s="11" t="s">
        <v>71</v>
      </c>
    </row>
    <row r="1666">
      <c r="A1666" s="11" t="s">
        <v>792</v>
      </c>
    </row>
    <row r="1667">
      <c r="A1667" s="11" t="s">
        <v>23</v>
      </c>
    </row>
    <row r="1668">
      <c r="A1668" s="11">
        <v>146.5</v>
      </c>
    </row>
    <row r="1669">
      <c r="A1669" s="11" t="s">
        <v>16</v>
      </c>
    </row>
    <row r="1670">
      <c r="A1670" s="11" t="s">
        <v>151</v>
      </c>
    </row>
    <row r="1671">
      <c r="A1671" s="11" t="s">
        <v>25</v>
      </c>
    </row>
    <row r="1672">
      <c r="A1672" s="11" t="s">
        <v>26</v>
      </c>
    </row>
    <row r="1673">
      <c r="A1673" s="11" t="s">
        <v>17</v>
      </c>
    </row>
    <row r="1674">
      <c r="A1674" s="11">
        <v>141.0</v>
      </c>
    </row>
    <row r="1675">
      <c r="A1675" s="11" t="s">
        <v>18</v>
      </c>
    </row>
    <row r="1676">
      <c r="A1676" s="11" t="s">
        <v>794</v>
      </c>
    </row>
    <row r="1677">
      <c r="A1677" s="11" t="s">
        <v>333</v>
      </c>
    </row>
    <row r="1678">
      <c r="A1678" s="11" t="s">
        <v>796</v>
      </c>
    </row>
    <row r="1679">
      <c r="A1679" s="11" t="s">
        <v>335</v>
      </c>
    </row>
    <row r="1680">
      <c r="A1680" s="11">
        <v>148.7</v>
      </c>
    </row>
    <row r="1681">
      <c r="A1681" s="11" t="s">
        <v>16</v>
      </c>
    </row>
    <row r="1682">
      <c r="A1682" s="16">
        <v>3.0</v>
      </c>
    </row>
    <row r="1683">
      <c r="A1683" s="11" t="s">
        <v>25</v>
      </c>
    </row>
    <row r="1684">
      <c r="A1684" s="11" t="s">
        <v>26</v>
      </c>
    </row>
    <row r="1685">
      <c r="A1685" s="11" t="s">
        <v>17</v>
      </c>
    </row>
    <row r="1686">
      <c r="A1686" s="11">
        <v>142.0</v>
      </c>
    </row>
    <row r="1687">
      <c r="A1687" s="11" t="s">
        <v>18</v>
      </c>
    </row>
    <row r="1688">
      <c r="A1688" s="11" t="s">
        <v>802</v>
      </c>
    </row>
    <row r="1689">
      <c r="A1689" s="11" t="s">
        <v>88</v>
      </c>
    </row>
    <row r="1690">
      <c r="A1690" s="11" t="s">
        <v>804</v>
      </c>
    </row>
    <row r="1691">
      <c r="A1691" s="11" t="s">
        <v>23</v>
      </c>
    </row>
    <row r="1692">
      <c r="A1692" s="11">
        <v>109.4</v>
      </c>
    </row>
    <row r="1693">
      <c r="A1693" s="11" t="s">
        <v>16</v>
      </c>
    </row>
    <row r="1694">
      <c r="A1694" s="16">
        <v>8.0</v>
      </c>
    </row>
    <row r="1695">
      <c r="A1695" s="11" t="s">
        <v>25</v>
      </c>
    </row>
    <row r="1696">
      <c r="A1696" s="11" t="s">
        <v>26</v>
      </c>
    </row>
    <row r="1697">
      <c r="A1697" s="11" t="s">
        <v>17</v>
      </c>
    </row>
    <row r="1698">
      <c r="A1698" s="11">
        <v>143.0</v>
      </c>
    </row>
    <row r="1699">
      <c r="A1699" s="11" t="s">
        <v>806</v>
      </c>
    </row>
    <row r="1700">
      <c r="A1700" s="11" t="s">
        <v>42</v>
      </c>
    </row>
    <row r="1701">
      <c r="A1701" s="11" t="s">
        <v>808</v>
      </c>
    </row>
    <row r="1702">
      <c r="A1702" s="11" t="s">
        <v>44</v>
      </c>
    </row>
    <row r="1703">
      <c r="A1703" s="11">
        <v>132.8</v>
      </c>
    </row>
    <row r="1704">
      <c r="A1704" s="11" t="s">
        <v>16</v>
      </c>
    </row>
    <row r="1705">
      <c r="A1705" s="11" t="s">
        <v>151</v>
      </c>
    </row>
    <row r="1706">
      <c r="A1706" s="11" t="s">
        <v>25</v>
      </c>
    </row>
    <row r="1707">
      <c r="A1707" s="11" t="s">
        <v>26</v>
      </c>
    </row>
    <row r="1708">
      <c r="A1708" s="11" t="s">
        <v>17</v>
      </c>
    </row>
    <row r="1709">
      <c r="A1709" s="11">
        <v>144.0</v>
      </c>
    </row>
    <row r="1710">
      <c r="A1710" s="11" t="s">
        <v>811</v>
      </c>
    </row>
    <row r="1711">
      <c r="A1711" s="11" t="s">
        <v>142</v>
      </c>
    </row>
    <row r="1712">
      <c r="A1712" s="11" t="s">
        <v>812</v>
      </c>
    </row>
    <row r="1713">
      <c r="A1713" s="11" t="s">
        <v>31</v>
      </c>
    </row>
    <row r="1714">
      <c r="A1714" s="11">
        <v>82.5</v>
      </c>
    </row>
    <row r="1715">
      <c r="A1715" s="11" t="s">
        <v>16</v>
      </c>
    </row>
    <row r="1716">
      <c r="A1716" s="16">
        <v>11.0</v>
      </c>
    </row>
    <row r="1717">
      <c r="A1717" s="11" t="s">
        <v>25</v>
      </c>
    </row>
    <row r="1718">
      <c r="A1718" s="11" t="s">
        <v>26</v>
      </c>
    </row>
    <row r="1719">
      <c r="A1719" s="11" t="s">
        <v>17</v>
      </c>
    </row>
    <row r="1720">
      <c r="A1720" s="11">
        <v>145.0</v>
      </c>
    </row>
    <row r="1721">
      <c r="A1721" s="11" t="s">
        <v>18</v>
      </c>
    </row>
    <row r="1722">
      <c r="A1722" s="11" t="s">
        <v>818</v>
      </c>
    </row>
    <row r="1723">
      <c r="A1723" s="11" t="s">
        <v>59</v>
      </c>
    </row>
    <row r="1724">
      <c r="A1724" s="11" t="s">
        <v>819</v>
      </c>
    </row>
    <row r="1725">
      <c r="A1725" s="11" t="s">
        <v>62</v>
      </c>
    </row>
    <row r="1726">
      <c r="A1726" s="11">
        <v>143.7</v>
      </c>
    </row>
    <row r="1727">
      <c r="A1727" s="11" t="s">
        <v>16</v>
      </c>
    </row>
    <row r="1728">
      <c r="A1728" s="16">
        <v>6.0</v>
      </c>
    </row>
    <row r="1729">
      <c r="A1729" s="11" t="s">
        <v>25</v>
      </c>
    </row>
    <row r="1730">
      <c r="A1730" s="11" t="s">
        <v>26</v>
      </c>
    </row>
    <row r="1731">
      <c r="A1731" s="11" t="s">
        <v>17</v>
      </c>
    </row>
    <row r="1732">
      <c r="A1732" s="11">
        <v>146.0</v>
      </c>
    </row>
    <row r="1733">
      <c r="A1733" s="11" t="s">
        <v>18</v>
      </c>
    </row>
    <row r="1734">
      <c r="A1734" s="11" t="s">
        <v>821</v>
      </c>
    </row>
    <row r="1735">
      <c r="A1735" s="11" t="s">
        <v>183</v>
      </c>
    </row>
    <row r="1736">
      <c r="A1736" s="11" t="s">
        <v>822</v>
      </c>
    </row>
    <row r="1737">
      <c r="A1737" s="11" t="s">
        <v>44</v>
      </c>
    </row>
    <row r="1738">
      <c r="A1738" s="11">
        <v>118.0</v>
      </c>
    </row>
    <row r="1739">
      <c r="A1739" s="11" t="s">
        <v>16</v>
      </c>
    </row>
    <row r="1740">
      <c r="A1740" s="11" t="s">
        <v>151</v>
      </c>
    </row>
    <row r="1741">
      <c r="A1741" s="11" t="s">
        <v>25</v>
      </c>
    </row>
    <row r="1742">
      <c r="A1742" s="11" t="s">
        <v>26</v>
      </c>
    </row>
    <row r="1743">
      <c r="A1743" s="11" t="s">
        <v>17</v>
      </c>
    </row>
    <row r="1744">
      <c r="A1744" s="11">
        <v>147.0</v>
      </c>
    </row>
    <row r="1745">
      <c r="A1745" s="11" t="s">
        <v>18</v>
      </c>
    </row>
    <row r="1746">
      <c r="A1746" s="11" t="s">
        <v>827</v>
      </c>
    </row>
    <row r="1747">
      <c r="A1747" s="11" t="s">
        <v>71</v>
      </c>
    </row>
    <row r="1748">
      <c r="A1748" s="11" t="s">
        <v>828</v>
      </c>
    </row>
    <row r="1749">
      <c r="A1749" s="11" t="s">
        <v>23</v>
      </c>
    </row>
    <row r="1750">
      <c r="A1750" s="11">
        <v>180.5</v>
      </c>
    </row>
    <row r="1751">
      <c r="A1751" s="11" t="s">
        <v>16</v>
      </c>
    </row>
    <row r="1752">
      <c r="A1752" s="11" t="s">
        <v>151</v>
      </c>
    </row>
    <row r="1753">
      <c r="A1753" s="11" t="s">
        <v>25</v>
      </c>
    </row>
    <row r="1754">
      <c r="A1754" s="11" t="s">
        <v>26</v>
      </c>
    </row>
    <row r="1755">
      <c r="A1755" s="11" t="s">
        <v>17</v>
      </c>
    </row>
    <row r="1756">
      <c r="A1756" s="11">
        <v>148.0</v>
      </c>
    </row>
    <row r="1757">
      <c r="A1757" s="11" t="s">
        <v>831</v>
      </c>
    </row>
    <row r="1758">
      <c r="A1758" s="11" t="s">
        <v>206</v>
      </c>
    </row>
    <row r="1759">
      <c r="A1759" s="11" t="s">
        <v>833</v>
      </c>
    </row>
    <row r="1760">
      <c r="A1760" s="11" t="s">
        <v>37</v>
      </c>
    </row>
    <row r="1761">
      <c r="A1761" s="11">
        <v>182.7</v>
      </c>
    </row>
    <row r="1762">
      <c r="A1762" s="11" t="s">
        <v>16</v>
      </c>
    </row>
    <row r="1763">
      <c r="A1763" s="11" t="s">
        <v>151</v>
      </c>
    </row>
    <row r="1764">
      <c r="A1764" s="11" t="s">
        <v>25</v>
      </c>
    </row>
    <row r="1765">
      <c r="A1765" s="11" t="s">
        <v>26</v>
      </c>
    </row>
    <row r="1766">
      <c r="A1766" s="11" t="s">
        <v>17</v>
      </c>
    </row>
    <row r="1767">
      <c r="A1767" s="11">
        <v>149.0</v>
      </c>
    </row>
    <row r="1768">
      <c r="A1768" s="11" t="s">
        <v>18</v>
      </c>
    </row>
    <row r="1769">
      <c r="A1769" s="11" t="s">
        <v>837</v>
      </c>
    </row>
    <row r="1770">
      <c r="A1770" s="11" t="s">
        <v>159</v>
      </c>
    </row>
    <row r="1771">
      <c r="A1771" s="11" t="s">
        <v>838</v>
      </c>
    </row>
    <row r="1772">
      <c r="A1772" s="11" t="s">
        <v>31</v>
      </c>
    </row>
    <row r="1773">
      <c r="A1773" s="11">
        <v>142.0</v>
      </c>
    </row>
    <row r="1774">
      <c r="A1774" s="11" t="s">
        <v>16</v>
      </c>
    </row>
    <row r="1775">
      <c r="A1775" s="16">
        <v>2.0</v>
      </c>
    </row>
    <row r="1776">
      <c r="A1776" s="11" t="s">
        <v>25</v>
      </c>
    </row>
    <row r="1777">
      <c r="A1777" s="11" t="s">
        <v>26</v>
      </c>
    </row>
    <row r="1778">
      <c r="A1778" s="11" t="s">
        <v>17</v>
      </c>
    </row>
    <row r="1779">
      <c r="A1779" s="11">
        <v>150.0</v>
      </c>
    </row>
    <row r="1780">
      <c r="A1780" s="11" t="s">
        <v>18</v>
      </c>
    </row>
    <row r="1781">
      <c r="A1781" s="11" t="s">
        <v>841</v>
      </c>
    </row>
    <row r="1782">
      <c r="A1782" s="11" t="s">
        <v>183</v>
      </c>
    </row>
    <row r="1783">
      <c r="A1783" s="11" t="s">
        <v>842</v>
      </c>
    </row>
    <row r="1784">
      <c r="A1784" s="11" t="s">
        <v>44</v>
      </c>
    </row>
    <row r="1785">
      <c r="A1785" s="11">
        <v>156.3</v>
      </c>
    </row>
    <row r="1786">
      <c r="A1786" s="11" t="s">
        <v>16</v>
      </c>
    </row>
    <row r="1787">
      <c r="A1787" s="11" t="s">
        <v>151</v>
      </c>
    </row>
    <row r="1788">
      <c r="A1788" s="11" t="s">
        <v>25</v>
      </c>
    </row>
    <row r="1789">
      <c r="A1789" s="11" t="s">
        <v>26</v>
      </c>
    </row>
    <row r="1790">
      <c r="A1790" s="11" t="s">
        <v>17</v>
      </c>
    </row>
    <row r="1791">
      <c r="A1791" s="11">
        <v>151.0</v>
      </c>
    </row>
    <row r="1792">
      <c r="A1792" s="11" t="s">
        <v>18</v>
      </c>
    </row>
    <row r="1793">
      <c r="A1793" s="11" t="s">
        <v>846</v>
      </c>
    </row>
    <row r="1794">
      <c r="A1794" s="11" t="s">
        <v>88</v>
      </c>
    </row>
    <row r="1795">
      <c r="A1795" s="11" t="s">
        <v>847</v>
      </c>
    </row>
    <row r="1796">
      <c r="A1796" s="11" t="s">
        <v>23</v>
      </c>
    </row>
    <row r="1797">
      <c r="A1797" s="11">
        <v>147.3</v>
      </c>
    </row>
    <row r="1798">
      <c r="A1798" s="11" t="s">
        <v>16</v>
      </c>
    </row>
    <row r="1799">
      <c r="A1799" s="16">
        <v>6.0</v>
      </c>
    </row>
    <row r="1800">
      <c r="A1800" s="11" t="s">
        <v>25</v>
      </c>
    </row>
    <row r="1801">
      <c r="A1801" s="11" t="s">
        <v>26</v>
      </c>
    </row>
    <row r="1802">
      <c r="A1802" s="11" t="s">
        <v>17</v>
      </c>
    </row>
    <row r="1803">
      <c r="A1803" s="11">
        <v>152.0</v>
      </c>
    </row>
    <row r="1804">
      <c r="A1804" s="11" t="s">
        <v>18</v>
      </c>
    </row>
    <row r="1805">
      <c r="A1805" s="11" t="s">
        <v>849</v>
      </c>
    </row>
    <row r="1806">
      <c r="A1806" s="11" t="s">
        <v>88</v>
      </c>
    </row>
    <row r="1807">
      <c r="A1807" s="11" t="s">
        <v>852</v>
      </c>
    </row>
    <row r="1808">
      <c r="A1808" s="11" t="s">
        <v>23</v>
      </c>
    </row>
    <row r="1809">
      <c r="A1809" s="11" t="s">
        <v>151</v>
      </c>
    </row>
    <row r="1810">
      <c r="A1810" s="11" t="s">
        <v>16</v>
      </c>
    </row>
    <row r="1811">
      <c r="A1811" s="16">
        <v>8.0</v>
      </c>
    </row>
    <row r="1812">
      <c r="A1812" s="11" t="s">
        <v>25</v>
      </c>
    </row>
    <row r="1813">
      <c r="A1813" s="11" t="s">
        <v>26</v>
      </c>
    </row>
    <row r="1814">
      <c r="A1814" s="11" t="s">
        <v>17</v>
      </c>
    </row>
    <row r="1815">
      <c r="A1815" s="11">
        <v>153.0</v>
      </c>
    </row>
    <row r="1816">
      <c r="A1816" s="11" t="s">
        <v>855</v>
      </c>
    </row>
    <row r="1817">
      <c r="A1817" s="11" t="s">
        <v>236</v>
      </c>
    </row>
    <row r="1818">
      <c r="A1818" s="11" t="s">
        <v>857</v>
      </c>
    </row>
    <row r="1819">
      <c r="A1819" s="11" t="s">
        <v>31</v>
      </c>
    </row>
    <row r="1820">
      <c r="A1820" s="11" t="s">
        <v>151</v>
      </c>
    </row>
    <row r="1821">
      <c r="A1821" s="11" t="s">
        <v>16</v>
      </c>
    </row>
    <row r="1822">
      <c r="A1822" s="11" t="s">
        <v>151</v>
      </c>
    </row>
    <row r="1823">
      <c r="A1823" s="11" t="s">
        <v>25</v>
      </c>
    </row>
    <row r="1824">
      <c r="A1824" s="11" t="s">
        <v>26</v>
      </c>
    </row>
    <row r="1825">
      <c r="A1825" s="11" t="s">
        <v>17</v>
      </c>
    </row>
    <row r="1826">
      <c r="A1826" s="11">
        <v>154.0</v>
      </c>
    </row>
    <row r="1827">
      <c r="A1827" s="11" t="s">
        <v>18</v>
      </c>
    </row>
    <row r="1828">
      <c r="A1828" s="11" t="s">
        <v>858</v>
      </c>
    </row>
    <row r="1829">
      <c r="A1829" s="11" t="s">
        <v>166</v>
      </c>
    </row>
    <row r="1830">
      <c r="A1830" s="11" t="s">
        <v>859</v>
      </c>
    </row>
    <row r="1831">
      <c r="A1831" s="11" t="s">
        <v>44</v>
      </c>
    </row>
    <row r="1832">
      <c r="A1832" s="11">
        <v>171.0</v>
      </c>
    </row>
    <row r="1833">
      <c r="A1833" s="11" t="s">
        <v>16</v>
      </c>
    </row>
    <row r="1834">
      <c r="A1834" s="16">
        <v>1.0</v>
      </c>
    </row>
    <row r="1835">
      <c r="A1835" s="11" t="s">
        <v>25</v>
      </c>
    </row>
    <row r="1836">
      <c r="A1836" s="11" t="s">
        <v>26</v>
      </c>
    </row>
    <row r="1837">
      <c r="A1837" s="11" t="s">
        <v>17</v>
      </c>
    </row>
    <row r="1838">
      <c r="A1838" s="11">
        <v>155.0</v>
      </c>
    </row>
    <row r="1839">
      <c r="A1839" s="11" t="s">
        <v>18</v>
      </c>
    </row>
    <row r="1840">
      <c r="A1840" s="11" t="s">
        <v>864</v>
      </c>
    </row>
    <row r="1841">
      <c r="A1841" s="11" t="s">
        <v>59</v>
      </c>
    </row>
    <row r="1842">
      <c r="A1842" s="11" t="s">
        <v>866</v>
      </c>
    </row>
    <row r="1843">
      <c r="A1843" s="11" t="s">
        <v>62</v>
      </c>
    </row>
    <row r="1844">
      <c r="A1844" s="11" t="s">
        <v>151</v>
      </c>
    </row>
    <row r="1845">
      <c r="A1845" s="11" t="s">
        <v>16</v>
      </c>
    </row>
    <row r="1846">
      <c r="A1846" s="16">
        <v>3.0</v>
      </c>
    </row>
    <row r="1847">
      <c r="A1847" s="11" t="s">
        <v>25</v>
      </c>
    </row>
    <row r="1848">
      <c r="A1848" s="11" t="s">
        <v>26</v>
      </c>
    </row>
    <row r="1849">
      <c r="A1849" s="11" t="s">
        <v>17</v>
      </c>
    </row>
    <row r="1850">
      <c r="A1850" s="11">
        <v>156.0</v>
      </c>
    </row>
    <row r="1851">
      <c r="A1851" s="11" t="s">
        <v>18</v>
      </c>
    </row>
    <row r="1852">
      <c r="A1852" s="11" t="s">
        <v>867</v>
      </c>
    </row>
    <row r="1853">
      <c r="A1853" s="11" t="s">
        <v>183</v>
      </c>
    </row>
    <row r="1854">
      <c r="A1854" s="11" t="s">
        <v>869</v>
      </c>
    </row>
    <row r="1855">
      <c r="A1855" s="11" t="s">
        <v>44</v>
      </c>
    </row>
    <row r="1856">
      <c r="A1856" s="11">
        <v>129.8</v>
      </c>
    </row>
    <row r="1857">
      <c r="A1857" s="11" t="s">
        <v>16</v>
      </c>
    </row>
    <row r="1858">
      <c r="A1858" s="16">
        <v>18.0</v>
      </c>
    </row>
    <row r="1859">
      <c r="A1859" s="11" t="s">
        <v>25</v>
      </c>
    </row>
    <row r="1860">
      <c r="A1860" s="11" t="s">
        <v>26</v>
      </c>
    </row>
    <row r="1861">
      <c r="A1861" s="11" t="s">
        <v>17</v>
      </c>
    </row>
    <row r="1862">
      <c r="A1862" s="11">
        <v>157.0</v>
      </c>
    </row>
    <row r="1863">
      <c r="A1863" s="11" t="s">
        <v>18</v>
      </c>
    </row>
    <row r="1864">
      <c r="A1864" s="11" t="s">
        <v>874</v>
      </c>
    </row>
    <row r="1865">
      <c r="A1865" s="11" t="s">
        <v>66</v>
      </c>
    </row>
    <row r="1866">
      <c r="A1866" s="11" t="s">
        <v>875</v>
      </c>
    </row>
    <row r="1867">
      <c r="A1867" s="11" t="s">
        <v>31</v>
      </c>
    </row>
    <row r="1868">
      <c r="A1868" s="11">
        <v>131.7</v>
      </c>
    </row>
    <row r="1869">
      <c r="A1869" s="11" t="s">
        <v>16</v>
      </c>
    </row>
    <row r="1870">
      <c r="A1870" s="16">
        <v>1.0</v>
      </c>
    </row>
    <row r="1871">
      <c r="A1871" s="11" t="s">
        <v>25</v>
      </c>
    </row>
    <row r="1872">
      <c r="A1872" s="11" t="s">
        <v>26</v>
      </c>
    </row>
    <row r="1873">
      <c r="A1873" s="11" t="s">
        <v>17</v>
      </c>
    </row>
    <row r="1874">
      <c r="A1874" s="11">
        <v>158.0</v>
      </c>
    </row>
    <row r="1875">
      <c r="A1875" s="11" t="s">
        <v>18</v>
      </c>
    </row>
    <row r="1876">
      <c r="A1876" s="11" t="s">
        <v>877</v>
      </c>
    </row>
    <row r="1877">
      <c r="A1877" s="11" t="s">
        <v>206</v>
      </c>
    </row>
    <row r="1878">
      <c r="A1878" s="11" t="s">
        <v>878</v>
      </c>
    </row>
    <row r="1879">
      <c r="A1879" s="11" t="s">
        <v>37</v>
      </c>
    </row>
    <row r="1880">
      <c r="A1880" s="11" t="s">
        <v>151</v>
      </c>
    </row>
    <row r="1881">
      <c r="A1881" s="11" t="s">
        <v>16</v>
      </c>
    </row>
    <row r="1882">
      <c r="A1882" s="16">
        <v>1.0</v>
      </c>
    </row>
    <row r="1883">
      <c r="A1883" s="11" t="s">
        <v>25</v>
      </c>
    </row>
    <row r="1884">
      <c r="A1884" s="11" t="s">
        <v>26</v>
      </c>
    </row>
    <row r="1885">
      <c r="A1885" s="11" t="s">
        <v>17</v>
      </c>
    </row>
    <row r="1886">
      <c r="A1886" s="11">
        <v>159.0</v>
      </c>
    </row>
    <row r="1887">
      <c r="A1887" s="11" t="s">
        <v>18</v>
      </c>
    </row>
    <row r="1888">
      <c r="A1888" s="11" t="s">
        <v>882</v>
      </c>
    </row>
    <row r="1889">
      <c r="A1889" s="11" t="s">
        <v>131</v>
      </c>
    </row>
    <row r="1890">
      <c r="A1890" s="11" t="s">
        <v>883</v>
      </c>
    </row>
    <row r="1891">
      <c r="A1891" s="11" t="s">
        <v>62</v>
      </c>
    </row>
    <row r="1892">
      <c r="A1892" s="11">
        <v>181.5</v>
      </c>
    </row>
    <row r="1893">
      <c r="A1893" s="11" t="s">
        <v>16</v>
      </c>
    </row>
    <row r="1894">
      <c r="A1894" s="16">
        <v>1.0</v>
      </c>
    </row>
    <row r="1895">
      <c r="A1895" s="11" t="s">
        <v>25</v>
      </c>
    </row>
    <row r="1896">
      <c r="A1896" s="11" t="s">
        <v>26</v>
      </c>
    </row>
    <row r="1897">
      <c r="A1897" s="11" t="s">
        <v>17</v>
      </c>
    </row>
    <row r="1898">
      <c r="A1898" s="11">
        <v>160.0</v>
      </c>
    </row>
    <row r="1899">
      <c r="A1899" s="11" t="s">
        <v>18</v>
      </c>
    </row>
    <row r="1900">
      <c r="A1900" s="11" t="s">
        <v>887</v>
      </c>
    </row>
    <row r="1901">
      <c r="A1901" s="11" t="s">
        <v>248</v>
      </c>
    </row>
    <row r="1902">
      <c r="A1902" s="11" t="s">
        <v>889</v>
      </c>
    </row>
    <row r="1903">
      <c r="A1903" s="11" t="s">
        <v>98</v>
      </c>
    </row>
    <row r="1904">
      <c r="A1904" s="11">
        <v>149.0</v>
      </c>
    </row>
    <row r="1905">
      <c r="A1905" s="11" t="s">
        <v>16</v>
      </c>
    </row>
    <row r="1906">
      <c r="A1906" s="16">
        <v>1.0</v>
      </c>
    </row>
    <row r="1907">
      <c r="A1907" s="11" t="s">
        <v>25</v>
      </c>
    </row>
    <row r="1908">
      <c r="A1908" s="11" t="s">
        <v>26</v>
      </c>
    </row>
    <row r="1909">
      <c r="A1909" s="11" t="s">
        <v>17</v>
      </c>
    </row>
    <row r="1910">
      <c r="A1910" s="11">
        <v>161.0</v>
      </c>
    </row>
    <row r="1911">
      <c r="A1911" s="11" t="s">
        <v>18</v>
      </c>
    </row>
    <row r="1912">
      <c r="A1912" s="11" t="s">
        <v>892</v>
      </c>
    </row>
    <row r="1913">
      <c r="A1913" s="11" t="s">
        <v>259</v>
      </c>
    </row>
    <row r="1914">
      <c r="A1914" s="11" t="s">
        <v>893</v>
      </c>
    </row>
    <row r="1915">
      <c r="A1915" s="11" t="s">
        <v>121</v>
      </c>
    </row>
    <row r="1916">
      <c r="A1916" s="11">
        <v>176.0</v>
      </c>
    </row>
    <row r="1917">
      <c r="A1917" s="11" t="s">
        <v>16</v>
      </c>
    </row>
    <row r="1918">
      <c r="A1918" s="16">
        <v>1.0</v>
      </c>
    </row>
    <row r="1919">
      <c r="A1919" s="11" t="s">
        <v>25</v>
      </c>
    </row>
    <row r="1920">
      <c r="A1920" s="11" t="s">
        <v>26</v>
      </c>
    </row>
    <row r="1921">
      <c r="A1921" s="11" t="s">
        <v>17</v>
      </c>
    </row>
    <row r="1922">
      <c r="A1922" s="11">
        <v>162.0</v>
      </c>
    </row>
    <row r="1923">
      <c r="A1923" s="11" t="s">
        <v>18</v>
      </c>
    </row>
    <row r="1924">
      <c r="A1924" s="11" t="s">
        <v>898</v>
      </c>
    </row>
    <row r="1925">
      <c r="A1925" s="11" t="s">
        <v>113</v>
      </c>
    </row>
    <row r="1926">
      <c r="A1926" s="11" t="s">
        <v>900</v>
      </c>
    </row>
    <row r="1927">
      <c r="A1927" s="11" t="s">
        <v>117</v>
      </c>
    </row>
    <row r="1928">
      <c r="A1928" s="11">
        <v>167.0</v>
      </c>
    </row>
    <row r="1929">
      <c r="A1929" s="11" t="s">
        <v>16</v>
      </c>
    </row>
    <row r="1930">
      <c r="A1930" s="16">
        <v>4.0</v>
      </c>
    </row>
    <row r="1931">
      <c r="A1931" s="11" t="s">
        <v>25</v>
      </c>
    </row>
    <row r="1932">
      <c r="A1932" s="11" t="s">
        <v>26</v>
      </c>
    </row>
    <row r="1933">
      <c r="A1933" s="11" t="s">
        <v>17</v>
      </c>
    </row>
    <row r="1934">
      <c r="A1934" s="11">
        <v>163.0</v>
      </c>
    </row>
    <row r="1935">
      <c r="A1935" s="11" t="s">
        <v>18</v>
      </c>
    </row>
    <row r="1936">
      <c r="A1936" s="11" t="s">
        <v>902</v>
      </c>
    </row>
    <row r="1937">
      <c r="A1937" s="11" t="s">
        <v>166</v>
      </c>
    </row>
    <row r="1938">
      <c r="A1938" s="11" t="s">
        <v>903</v>
      </c>
    </row>
    <row r="1939">
      <c r="A1939" s="11" t="s">
        <v>44</v>
      </c>
    </row>
    <row r="1940">
      <c r="A1940" s="11">
        <v>135.5</v>
      </c>
    </row>
    <row r="1941">
      <c r="A1941" s="11" t="s">
        <v>16</v>
      </c>
    </row>
    <row r="1942">
      <c r="A1942" s="16">
        <v>2.0</v>
      </c>
    </row>
    <row r="1943">
      <c r="A1943" s="11" t="s">
        <v>25</v>
      </c>
    </row>
    <row r="1944">
      <c r="A1944" s="11" t="s">
        <v>26</v>
      </c>
    </row>
    <row r="1945">
      <c r="A1945" s="11" t="s">
        <v>17</v>
      </c>
    </row>
    <row r="1946">
      <c r="A1946" s="11">
        <v>164.0</v>
      </c>
    </row>
    <row r="1947">
      <c r="A1947" s="11" t="s">
        <v>18</v>
      </c>
    </row>
    <row r="1948">
      <c r="A1948" s="11" t="s">
        <v>907</v>
      </c>
    </row>
    <row r="1949">
      <c r="A1949" s="11" t="s">
        <v>78</v>
      </c>
    </row>
    <row r="1950">
      <c r="A1950" s="11" t="s">
        <v>910</v>
      </c>
    </row>
    <row r="1951">
      <c r="A1951" s="11" t="s">
        <v>37</v>
      </c>
    </row>
    <row r="1952">
      <c r="A1952" s="11">
        <v>157.0</v>
      </c>
    </row>
    <row r="1953">
      <c r="A1953" s="11" t="s">
        <v>16</v>
      </c>
    </row>
    <row r="1954">
      <c r="A1954" s="16">
        <v>1.0</v>
      </c>
    </row>
    <row r="1955">
      <c r="A1955" s="11" t="s">
        <v>25</v>
      </c>
    </row>
    <row r="1956">
      <c r="A1956" s="11" t="s">
        <v>26</v>
      </c>
    </row>
    <row r="1957">
      <c r="A1957" s="11" t="s">
        <v>17</v>
      </c>
    </row>
    <row r="1958">
      <c r="A1958" s="11">
        <v>165.0</v>
      </c>
    </row>
    <row r="1959">
      <c r="A1959" s="11" t="s">
        <v>18</v>
      </c>
    </row>
    <row r="1960">
      <c r="A1960" s="11" t="s">
        <v>911</v>
      </c>
    </row>
    <row r="1961">
      <c r="A1961" s="11" t="s">
        <v>78</v>
      </c>
    </row>
    <row r="1962">
      <c r="A1962" s="11" t="s">
        <v>912</v>
      </c>
    </row>
    <row r="1963">
      <c r="A1963" s="11" t="s">
        <v>37</v>
      </c>
    </row>
    <row r="1964">
      <c r="A1964" s="11">
        <v>163.0</v>
      </c>
    </row>
    <row r="1965">
      <c r="A1965" s="11" t="s">
        <v>16</v>
      </c>
    </row>
    <row r="1966">
      <c r="A1966" s="11" t="s">
        <v>151</v>
      </c>
    </row>
    <row r="1967">
      <c r="A1967" s="11" t="s">
        <v>25</v>
      </c>
    </row>
    <row r="1968">
      <c r="A1968" s="11" t="s">
        <v>26</v>
      </c>
    </row>
    <row r="1969">
      <c r="A1969" s="11" t="s">
        <v>17</v>
      </c>
    </row>
    <row r="1970">
      <c r="A1970" s="11">
        <v>166.0</v>
      </c>
    </row>
    <row r="1971">
      <c r="A1971" s="11" t="s">
        <v>916</v>
      </c>
    </row>
    <row r="1972">
      <c r="A1972" s="11" t="s">
        <v>78</v>
      </c>
    </row>
    <row r="1973">
      <c r="A1973" s="11" t="s">
        <v>918</v>
      </c>
    </row>
    <row r="1974">
      <c r="A1974" s="11" t="s">
        <v>37</v>
      </c>
    </row>
    <row r="1975">
      <c r="A1975" s="11" t="s">
        <v>151</v>
      </c>
    </row>
    <row r="1976">
      <c r="A1976" s="11" t="s">
        <v>16</v>
      </c>
    </row>
    <row r="1977">
      <c r="A1977" s="11" t="s">
        <v>151</v>
      </c>
    </row>
    <row r="1978">
      <c r="A1978" s="11" t="s">
        <v>25</v>
      </c>
    </row>
    <row r="1979">
      <c r="A1979" s="11" t="s">
        <v>26</v>
      </c>
    </row>
    <row r="1980">
      <c r="A1980" s="11" t="s">
        <v>17</v>
      </c>
    </row>
    <row r="1981">
      <c r="A1981" s="11">
        <v>167.0</v>
      </c>
    </row>
    <row r="1982">
      <c r="A1982" s="11" t="s">
        <v>18</v>
      </c>
    </row>
    <row r="1983">
      <c r="A1983" s="11" t="s">
        <v>919</v>
      </c>
    </row>
    <row r="1984">
      <c r="A1984" s="11" t="s">
        <v>236</v>
      </c>
    </row>
    <row r="1985">
      <c r="A1985" s="11" t="s">
        <v>920</v>
      </c>
    </row>
    <row r="1986">
      <c r="A1986" s="11" t="s">
        <v>31</v>
      </c>
    </row>
    <row r="1987">
      <c r="A1987" s="11">
        <v>164.0</v>
      </c>
    </row>
    <row r="1988">
      <c r="A1988" s="11" t="s">
        <v>16</v>
      </c>
    </row>
    <row r="1989">
      <c r="A1989" s="16">
        <v>12.0</v>
      </c>
    </row>
    <row r="1990">
      <c r="A1990" s="11" t="s">
        <v>25</v>
      </c>
    </row>
    <row r="1991">
      <c r="A1991" s="11" t="s">
        <v>26</v>
      </c>
    </row>
    <row r="1992">
      <c r="A1992" s="11" t="s">
        <v>17</v>
      </c>
    </row>
    <row r="1993">
      <c r="A1993" s="11">
        <v>168.0</v>
      </c>
    </row>
    <row r="1994">
      <c r="A1994" s="11" t="s">
        <v>18</v>
      </c>
    </row>
    <row r="1995">
      <c r="A1995" s="11" t="s">
        <v>926</v>
      </c>
    </row>
    <row r="1996">
      <c r="A1996" s="11" t="s">
        <v>206</v>
      </c>
    </row>
    <row r="1997">
      <c r="A1997" s="11" t="s">
        <v>927</v>
      </c>
    </row>
    <row r="1998">
      <c r="A1998" s="11" t="s">
        <v>37</v>
      </c>
    </row>
    <row r="1999">
      <c r="A1999" s="11">
        <v>182.0</v>
      </c>
    </row>
    <row r="2000">
      <c r="A2000" s="11" t="s">
        <v>16</v>
      </c>
    </row>
    <row r="2001">
      <c r="A2001" s="16">
        <v>5.0</v>
      </c>
    </row>
    <row r="2002">
      <c r="A2002" s="11" t="s">
        <v>25</v>
      </c>
    </row>
    <row r="2003">
      <c r="A2003" s="11" t="s">
        <v>26</v>
      </c>
    </row>
    <row r="2004">
      <c r="A2004" s="11" t="s">
        <v>17</v>
      </c>
    </row>
    <row r="2005">
      <c r="A2005" s="11">
        <v>169.0</v>
      </c>
    </row>
    <row r="2006">
      <c r="A2006" s="11" t="s">
        <v>18</v>
      </c>
    </row>
    <row r="2007">
      <c r="A2007" s="11" t="s">
        <v>929</v>
      </c>
    </row>
    <row r="2008">
      <c r="A2008" s="11" t="s">
        <v>131</v>
      </c>
    </row>
    <row r="2009">
      <c r="A2009" s="11" t="s">
        <v>930</v>
      </c>
    </row>
    <row r="2010">
      <c r="A2010" s="11" t="s">
        <v>62</v>
      </c>
    </row>
    <row r="2011">
      <c r="A2011" s="11" t="s">
        <v>151</v>
      </c>
    </row>
    <row r="2012">
      <c r="A2012" s="11" t="s">
        <v>16</v>
      </c>
    </row>
    <row r="2013">
      <c r="A2013" s="16">
        <v>1.0</v>
      </c>
    </row>
    <row r="2014">
      <c r="A2014" s="11" t="s">
        <v>25</v>
      </c>
    </row>
    <row r="2015">
      <c r="A2015" s="11" t="s">
        <v>26</v>
      </c>
    </row>
    <row r="2016">
      <c r="A2016" s="11" t="s">
        <v>17</v>
      </c>
    </row>
    <row r="2017">
      <c r="A2017" s="11">
        <v>170.0</v>
      </c>
    </row>
    <row r="2018">
      <c r="A2018" s="11" t="s">
        <v>18</v>
      </c>
    </row>
    <row r="2019">
      <c r="A2019" s="11" t="s">
        <v>936</v>
      </c>
    </row>
    <row r="2020">
      <c r="A2020" s="11" t="s">
        <v>66</v>
      </c>
    </row>
    <row r="2021">
      <c r="A2021" s="11" t="s">
        <v>937</v>
      </c>
    </row>
    <row r="2022">
      <c r="A2022" s="11" t="s">
        <v>31</v>
      </c>
    </row>
    <row r="2023">
      <c r="A2023" s="11">
        <v>174.0</v>
      </c>
    </row>
    <row r="2024">
      <c r="A2024" s="11" t="s">
        <v>16</v>
      </c>
    </row>
    <row r="2025">
      <c r="A2025" s="11" t="s">
        <v>151</v>
      </c>
    </row>
    <row r="2026">
      <c r="A2026" s="11" t="s">
        <v>25</v>
      </c>
    </row>
    <row r="2027">
      <c r="A2027" s="11" t="s">
        <v>26</v>
      </c>
    </row>
    <row r="2028">
      <c r="A2028" s="11" t="s">
        <v>17</v>
      </c>
    </row>
    <row r="2029">
      <c r="A2029" s="11">
        <v>171.0</v>
      </c>
    </row>
    <row r="2030">
      <c r="A2030" s="11" t="s">
        <v>18</v>
      </c>
    </row>
    <row r="2031">
      <c r="A2031" s="11" t="s">
        <v>940</v>
      </c>
    </row>
    <row r="2032">
      <c r="A2032" s="11" t="s">
        <v>142</v>
      </c>
    </row>
    <row r="2033">
      <c r="A2033" s="11" t="s">
        <v>942</v>
      </c>
    </row>
    <row r="2034">
      <c r="A2034" s="11" t="s">
        <v>31</v>
      </c>
    </row>
    <row r="2035">
      <c r="A2035" s="11" t="s">
        <v>151</v>
      </c>
    </row>
    <row r="2036">
      <c r="A2036" s="11" t="s">
        <v>16</v>
      </c>
    </row>
    <row r="2037">
      <c r="A2037" s="16">
        <v>1.0</v>
      </c>
    </row>
    <row r="2038">
      <c r="A2038" s="11" t="s">
        <v>25</v>
      </c>
    </row>
    <row r="2039">
      <c r="A2039" s="11" t="s">
        <v>26</v>
      </c>
    </row>
    <row r="2040">
      <c r="A2040" s="11" t="s">
        <v>17</v>
      </c>
    </row>
    <row r="2041">
      <c r="A2041" s="11">
        <v>172.0</v>
      </c>
    </row>
    <row r="2042">
      <c r="A2042" s="11" t="s">
        <v>18</v>
      </c>
    </row>
    <row r="2043">
      <c r="A2043" s="11" t="s">
        <v>945</v>
      </c>
    </row>
    <row r="2044">
      <c r="A2044" s="11" t="s">
        <v>372</v>
      </c>
    </row>
    <row r="2045">
      <c r="A2045" s="11" t="s">
        <v>946</v>
      </c>
    </row>
    <row r="2046">
      <c r="A2046" s="11" t="s">
        <v>335</v>
      </c>
    </row>
    <row r="2047">
      <c r="A2047" s="11">
        <v>206.0</v>
      </c>
    </row>
    <row r="2048">
      <c r="A2048" s="11" t="s">
        <v>16</v>
      </c>
    </row>
    <row r="2049">
      <c r="A2049" s="16">
        <v>1.0</v>
      </c>
    </row>
    <row r="2050">
      <c r="A2050" s="11" t="s">
        <v>25</v>
      </c>
    </row>
    <row r="2051">
      <c r="A2051" s="11" t="s">
        <v>26</v>
      </c>
    </row>
    <row r="2052">
      <c r="A2052" s="11" t="s">
        <v>17</v>
      </c>
    </row>
    <row r="2053">
      <c r="A2053" s="11">
        <v>173.0</v>
      </c>
    </row>
    <row r="2054">
      <c r="A2054" s="11" t="s">
        <v>18</v>
      </c>
    </row>
    <row r="2055">
      <c r="A2055" s="11" t="s">
        <v>950</v>
      </c>
    </row>
    <row r="2056">
      <c r="A2056" s="11" t="s">
        <v>66</v>
      </c>
    </row>
    <row r="2057">
      <c r="A2057" s="11" t="s">
        <v>951</v>
      </c>
    </row>
    <row r="2058">
      <c r="A2058" s="11" t="s">
        <v>31</v>
      </c>
    </row>
    <row r="2059">
      <c r="A2059" s="11" t="s">
        <v>151</v>
      </c>
    </row>
    <row r="2060">
      <c r="A2060" s="11" t="s">
        <v>16</v>
      </c>
    </row>
    <row r="2061">
      <c r="A2061" s="11" t="s">
        <v>151</v>
      </c>
    </row>
    <row r="2062">
      <c r="A2062" s="11" t="s">
        <v>25</v>
      </c>
    </row>
    <row r="2063">
      <c r="A2063" s="11" t="s">
        <v>26</v>
      </c>
    </row>
    <row r="2064">
      <c r="A2064" s="11" t="s">
        <v>17</v>
      </c>
    </row>
    <row r="2065">
      <c r="A2065" s="11">
        <v>174.0</v>
      </c>
    </row>
    <row r="2066">
      <c r="A2066" s="11" t="s">
        <v>954</v>
      </c>
    </row>
    <row r="2067">
      <c r="A2067" s="11" t="s">
        <v>42</v>
      </c>
    </row>
    <row r="2068">
      <c r="A2068" s="11" t="s">
        <v>955</v>
      </c>
    </row>
    <row r="2069">
      <c r="A2069" s="11" t="s">
        <v>44</v>
      </c>
    </row>
    <row r="2070">
      <c r="A2070" s="11">
        <v>180.0</v>
      </c>
    </row>
    <row r="2071">
      <c r="A2071" s="11" t="s">
        <v>16</v>
      </c>
    </row>
    <row r="2072">
      <c r="A2072" s="11" t="s">
        <v>151</v>
      </c>
    </row>
    <row r="2073">
      <c r="A2073" s="11" t="s">
        <v>25</v>
      </c>
    </row>
    <row r="2074">
      <c r="A2074" s="11" t="s">
        <v>26</v>
      </c>
    </row>
    <row r="2075">
      <c r="A2075" s="11" t="s">
        <v>17</v>
      </c>
    </row>
    <row r="2076">
      <c r="A2076" s="11">
        <v>175.0</v>
      </c>
    </row>
    <row r="2077">
      <c r="A2077" s="11" t="s">
        <v>18</v>
      </c>
    </row>
    <row r="2078">
      <c r="A2078" s="11" t="s">
        <v>959</v>
      </c>
    </row>
    <row r="2079">
      <c r="A2079" s="11" t="s">
        <v>113</v>
      </c>
    </row>
    <row r="2080">
      <c r="A2080" s="11" t="s">
        <v>962</v>
      </c>
    </row>
    <row r="2081">
      <c r="A2081" s="11" t="s">
        <v>117</v>
      </c>
    </row>
    <row r="2082">
      <c r="A2082" s="11" t="s">
        <v>151</v>
      </c>
    </row>
    <row r="2083">
      <c r="A2083" s="11" t="s">
        <v>16</v>
      </c>
    </row>
    <row r="2084">
      <c r="A2084" s="11" t="s">
        <v>151</v>
      </c>
    </row>
    <row r="2085">
      <c r="A2085" s="11" t="s">
        <v>25</v>
      </c>
    </row>
    <row r="2086">
      <c r="A2086" s="11" t="s">
        <v>26</v>
      </c>
    </row>
    <row r="2087">
      <c r="A2087" s="11" t="s">
        <v>17</v>
      </c>
    </row>
    <row r="2088">
      <c r="A2088" s="11">
        <v>176.0</v>
      </c>
    </row>
    <row r="2089">
      <c r="A2089" s="11" t="s">
        <v>964</v>
      </c>
    </row>
    <row r="2090">
      <c r="A2090" s="11" t="s">
        <v>295</v>
      </c>
    </row>
    <row r="2091">
      <c r="A2091" s="11" t="s">
        <v>965</v>
      </c>
    </row>
    <row r="2092">
      <c r="A2092" s="11" t="s">
        <v>62</v>
      </c>
    </row>
    <row r="2093">
      <c r="A2093" s="11" t="s">
        <v>151</v>
      </c>
    </row>
    <row r="2094">
      <c r="A2094" s="11" t="s">
        <v>16</v>
      </c>
    </row>
    <row r="2095">
      <c r="A2095" s="11" t="s">
        <v>151</v>
      </c>
    </row>
    <row r="2096">
      <c r="A2096" s="11" t="s">
        <v>25</v>
      </c>
    </row>
    <row r="2097">
      <c r="A2097" s="11" t="s">
        <v>26</v>
      </c>
    </row>
    <row r="2098">
      <c r="A2098" s="11" t="s">
        <v>17</v>
      </c>
    </row>
    <row r="2099">
      <c r="A2099" s="11">
        <v>177.0</v>
      </c>
    </row>
    <row r="2100">
      <c r="A2100" s="11" t="s">
        <v>18</v>
      </c>
    </row>
    <row r="2101">
      <c r="A2101" s="11" t="s">
        <v>971</v>
      </c>
    </row>
    <row r="2102">
      <c r="A2102" s="11" t="s">
        <v>20</v>
      </c>
    </row>
    <row r="2103">
      <c r="A2103" s="11" t="s">
        <v>972</v>
      </c>
    </row>
    <row r="2104">
      <c r="A2104" s="11" t="s">
        <v>23</v>
      </c>
    </row>
    <row r="2105">
      <c r="A2105" s="11" t="s">
        <v>151</v>
      </c>
    </row>
    <row r="2106">
      <c r="A2106" s="11" t="s">
        <v>16</v>
      </c>
    </row>
    <row r="2107">
      <c r="A2107" s="16">
        <v>1.0</v>
      </c>
    </row>
    <row r="2108">
      <c r="A2108" s="11" t="s">
        <v>25</v>
      </c>
    </row>
    <row r="2109">
      <c r="A2109" s="11" t="s">
        <v>26</v>
      </c>
    </row>
    <row r="2110">
      <c r="A2110" s="11" t="s">
        <v>17</v>
      </c>
    </row>
    <row r="2111">
      <c r="A2111" s="11">
        <v>178.0</v>
      </c>
    </row>
    <row r="2112">
      <c r="A2112" s="11" t="s">
        <v>18</v>
      </c>
    </row>
    <row r="2113">
      <c r="A2113" s="11" t="s">
        <v>973</v>
      </c>
    </row>
    <row r="2114">
      <c r="A2114" s="11" t="s">
        <v>42</v>
      </c>
    </row>
    <row r="2115">
      <c r="A2115" s="11" t="s">
        <v>974</v>
      </c>
    </row>
    <row r="2116">
      <c r="A2116" s="11" t="s">
        <v>44</v>
      </c>
    </row>
    <row r="2117">
      <c r="A2117" s="11">
        <v>157.5</v>
      </c>
    </row>
    <row r="2118">
      <c r="A2118" s="11" t="s">
        <v>16</v>
      </c>
    </row>
    <row r="2119">
      <c r="A2119" s="11" t="s">
        <v>151</v>
      </c>
    </row>
    <row r="2120">
      <c r="A2120" s="11" t="s">
        <v>25</v>
      </c>
    </row>
    <row r="2121">
      <c r="A2121" s="11" t="s">
        <v>26</v>
      </c>
    </row>
    <row r="2122">
      <c r="A2122" s="11" t="s">
        <v>17</v>
      </c>
    </row>
    <row r="2123">
      <c r="A2123" s="11">
        <v>179.0</v>
      </c>
    </row>
    <row r="2124">
      <c r="A2124" s="11" t="s">
        <v>980</v>
      </c>
    </row>
    <row r="2125">
      <c r="A2125" s="11" t="s">
        <v>206</v>
      </c>
    </row>
    <row r="2126">
      <c r="A2126" s="11" t="s">
        <v>981</v>
      </c>
    </row>
    <row r="2127">
      <c r="A2127" s="11" t="s">
        <v>37</v>
      </c>
    </row>
    <row r="2128">
      <c r="A2128" s="11" t="s">
        <v>151</v>
      </c>
    </row>
    <row r="2129">
      <c r="A2129" s="11" t="s">
        <v>16</v>
      </c>
    </row>
    <row r="2130">
      <c r="A2130" s="11" t="s">
        <v>151</v>
      </c>
    </row>
    <row r="2131">
      <c r="A2131" s="11" t="s">
        <v>25</v>
      </c>
    </row>
    <row r="2132">
      <c r="A2132" s="11" t="s">
        <v>26</v>
      </c>
    </row>
    <row r="2133">
      <c r="A2133" s="11" t="s">
        <v>17</v>
      </c>
    </row>
    <row r="2134">
      <c r="A2134" s="11">
        <v>180.0</v>
      </c>
    </row>
    <row r="2135">
      <c r="A2135" s="11" t="s">
        <v>18</v>
      </c>
    </row>
    <row r="2136">
      <c r="A2136" s="11" t="s">
        <v>982</v>
      </c>
    </row>
    <row r="2137">
      <c r="A2137" s="11" t="s">
        <v>333</v>
      </c>
    </row>
    <row r="2138">
      <c r="A2138" s="11" t="s">
        <v>983</v>
      </c>
    </row>
    <row r="2139">
      <c r="A2139" s="11" t="s">
        <v>335</v>
      </c>
    </row>
    <row r="2140">
      <c r="A2140" s="11">
        <v>153.7</v>
      </c>
    </row>
    <row r="2141">
      <c r="A2141" s="11" t="s">
        <v>16</v>
      </c>
    </row>
    <row r="2142">
      <c r="A2142" s="16">
        <v>21.0</v>
      </c>
    </row>
    <row r="2143">
      <c r="A2143" s="11" t="s">
        <v>25</v>
      </c>
    </row>
    <row r="2144">
      <c r="A2144" s="11" t="s">
        <v>26</v>
      </c>
    </row>
    <row r="2145">
      <c r="A2145" s="11" t="s">
        <v>17</v>
      </c>
    </row>
    <row r="2146">
      <c r="A2146" s="11">
        <v>181.0</v>
      </c>
    </row>
    <row r="2147">
      <c r="A2147" s="11" t="s">
        <v>987</v>
      </c>
    </row>
    <row r="2148">
      <c r="A2148" s="11" t="s">
        <v>319</v>
      </c>
    </row>
    <row r="2149">
      <c r="A2149" s="11" t="s">
        <v>989</v>
      </c>
    </row>
    <row r="2150">
      <c r="A2150" s="11" t="s">
        <v>121</v>
      </c>
    </row>
    <row r="2151">
      <c r="A2151" s="11" t="s">
        <v>151</v>
      </c>
    </row>
    <row r="2152">
      <c r="A2152" s="11" t="s">
        <v>16</v>
      </c>
    </row>
    <row r="2153">
      <c r="A2153" s="11" t="s">
        <v>151</v>
      </c>
    </row>
    <row r="2154">
      <c r="A2154" s="11" t="s">
        <v>25</v>
      </c>
    </row>
    <row r="2155">
      <c r="A2155" s="11" t="s">
        <v>26</v>
      </c>
    </row>
    <row r="2156">
      <c r="A2156" s="11" t="s">
        <v>17</v>
      </c>
    </row>
    <row r="2157">
      <c r="A2157" s="11">
        <v>182.0</v>
      </c>
    </row>
    <row r="2158">
      <c r="A2158" s="11" t="s">
        <v>18</v>
      </c>
    </row>
    <row r="2159">
      <c r="A2159" s="11" t="s">
        <v>990</v>
      </c>
    </row>
    <row r="2160">
      <c r="A2160" s="11" t="s">
        <v>35</v>
      </c>
    </row>
    <row r="2161">
      <c r="A2161" s="11" t="s">
        <v>991</v>
      </c>
    </row>
    <row r="2162">
      <c r="A2162" s="11" t="s">
        <v>37</v>
      </c>
    </row>
    <row r="2163">
      <c r="A2163" s="11">
        <v>130.5</v>
      </c>
    </row>
    <row r="2164">
      <c r="A2164" s="11" t="s">
        <v>16</v>
      </c>
    </row>
    <row r="2165">
      <c r="A2165" s="16">
        <v>1.0</v>
      </c>
    </row>
    <row r="2166">
      <c r="A2166" s="11" t="s">
        <v>25</v>
      </c>
    </row>
    <row r="2167">
      <c r="A2167" s="11" t="s">
        <v>26</v>
      </c>
    </row>
    <row r="2168">
      <c r="A2168" s="11" t="s">
        <v>17</v>
      </c>
    </row>
    <row r="2169">
      <c r="A2169" s="11">
        <v>183.0</v>
      </c>
    </row>
    <row r="2170">
      <c r="A2170" s="11" t="s">
        <v>18</v>
      </c>
    </row>
    <row r="2171">
      <c r="A2171" s="11" t="s">
        <v>997</v>
      </c>
    </row>
    <row r="2172">
      <c r="A2172" s="11" t="s">
        <v>351</v>
      </c>
    </row>
    <row r="2173">
      <c r="A2173" s="11" t="s">
        <v>998</v>
      </c>
    </row>
    <row r="2174">
      <c r="A2174" s="11" t="s">
        <v>62</v>
      </c>
    </row>
    <row r="2175">
      <c r="A2175" s="11" t="s">
        <v>151</v>
      </c>
    </row>
    <row r="2176">
      <c r="A2176" s="11" t="s">
        <v>16</v>
      </c>
    </row>
    <row r="2177">
      <c r="A2177" s="16">
        <v>12.0</v>
      </c>
    </row>
    <row r="2178">
      <c r="A2178" s="11" t="s">
        <v>25</v>
      </c>
    </row>
    <row r="2179">
      <c r="A2179" s="11" t="s">
        <v>26</v>
      </c>
    </row>
    <row r="2180">
      <c r="A2180" s="11" t="s">
        <v>17</v>
      </c>
    </row>
    <row r="2181">
      <c r="A2181" s="11">
        <v>184.0</v>
      </c>
    </row>
    <row r="2182">
      <c r="A2182" s="11" t="s">
        <v>999</v>
      </c>
    </row>
    <row r="2183">
      <c r="A2183" s="11" t="s">
        <v>295</v>
      </c>
    </row>
    <row r="2184">
      <c r="A2184" s="11" t="s">
        <v>1002</v>
      </c>
    </row>
    <row r="2185">
      <c r="A2185" s="11" t="s">
        <v>62</v>
      </c>
    </row>
    <row r="2186">
      <c r="A2186" s="11">
        <v>177.0</v>
      </c>
    </row>
    <row r="2187">
      <c r="A2187" s="11" t="s">
        <v>16</v>
      </c>
    </row>
    <row r="2188">
      <c r="A2188" s="11" t="s">
        <v>151</v>
      </c>
    </row>
    <row r="2189">
      <c r="A2189" s="11" t="s">
        <v>25</v>
      </c>
    </row>
    <row r="2190">
      <c r="A2190" s="11" t="s">
        <v>26</v>
      </c>
    </row>
    <row r="2191">
      <c r="A2191" s="11" t="s">
        <v>17</v>
      </c>
    </row>
    <row r="2192">
      <c r="A2192" s="11">
        <v>185.0</v>
      </c>
    </row>
    <row r="2193">
      <c r="A2193" s="11" t="s">
        <v>18</v>
      </c>
    </row>
    <row r="2194">
      <c r="A2194" s="11" t="s">
        <v>1005</v>
      </c>
    </row>
    <row r="2195">
      <c r="A2195" s="11" t="s">
        <v>266</v>
      </c>
    </row>
    <row r="2196">
      <c r="A2196" s="11" t="s">
        <v>1006</v>
      </c>
    </row>
    <row r="2197">
      <c r="A2197" s="11" t="s">
        <v>44</v>
      </c>
    </row>
    <row r="2198">
      <c r="A2198" s="11" t="s">
        <v>151</v>
      </c>
    </row>
    <row r="2199">
      <c r="A2199" s="11" t="s">
        <v>16</v>
      </c>
    </row>
    <row r="2200">
      <c r="A2200" s="16">
        <v>3.0</v>
      </c>
    </row>
    <row r="2201">
      <c r="A2201" s="11" t="s">
        <v>25</v>
      </c>
    </row>
    <row r="2202">
      <c r="A2202" s="11" t="s">
        <v>26</v>
      </c>
    </row>
    <row r="2203">
      <c r="A2203" s="11" t="s">
        <v>17</v>
      </c>
    </row>
    <row r="2204">
      <c r="A2204" s="11">
        <v>186.0</v>
      </c>
    </row>
    <row r="2205">
      <c r="A2205" s="11" t="s">
        <v>18</v>
      </c>
    </row>
    <row r="2206">
      <c r="A2206" s="11" t="s">
        <v>1011</v>
      </c>
    </row>
    <row r="2207">
      <c r="A2207" s="11" t="s">
        <v>119</v>
      </c>
    </row>
    <row r="2208">
      <c r="A2208" s="11" t="s">
        <v>1013</v>
      </c>
    </row>
    <row r="2209">
      <c r="A2209" s="11" t="s">
        <v>121</v>
      </c>
    </row>
    <row r="2210">
      <c r="A2210" s="11" t="s">
        <v>151</v>
      </c>
    </row>
    <row r="2211">
      <c r="A2211" s="11" t="s">
        <v>16</v>
      </c>
    </row>
    <row r="2212">
      <c r="A2212" s="16">
        <v>1.0</v>
      </c>
    </row>
    <row r="2213">
      <c r="A2213" s="11" t="s">
        <v>25</v>
      </c>
    </row>
    <row r="2214">
      <c r="A2214" s="11" t="s">
        <v>26</v>
      </c>
    </row>
    <row r="2215">
      <c r="A2215" s="11" t="s">
        <v>17</v>
      </c>
    </row>
    <row r="2216">
      <c r="A2216" s="11">
        <v>187.0</v>
      </c>
    </row>
    <row r="2217">
      <c r="A2217" s="11" t="s">
        <v>18</v>
      </c>
    </row>
    <row r="2218">
      <c r="A2218" s="11" t="s">
        <v>1015</v>
      </c>
    </row>
    <row r="2219">
      <c r="A2219" s="11" t="s">
        <v>295</v>
      </c>
    </row>
    <row r="2220">
      <c r="A2220" s="11" t="s">
        <v>1016</v>
      </c>
    </row>
    <row r="2221">
      <c r="A2221" s="11" t="s">
        <v>62</v>
      </c>
    </row>
    <row r="2222">
      <c r="A2222" s="11" t="s">
        <v>151</v>
      </c>
    </row>
    <row r="2223">
      <c r="A2223" s="11" t="s">
        <v>16</v>
      </c>
    </row>
    <row r="2224">
      <c r="A2224" s="16">
        <v>10.0</v>
      </c>
    </row>
    <row r="2225">
      <c r="A2225" s="11" t="s">
        <v>25</v>
      </c>
    </row>
    <row r="2226">
      <c r="A2226" s="11" t="s">
        <v>26</v>
      </c>
    </row>
    <row r="2227">
      <c r="A2227" s="11" t="s">
        <v>17</v>
      </c>
    </row>
    <row r="2228">
      <c r="A2228" s="11">
        <v>188.0</v>
      </c>
    </row>
    <row r="2229">
      <c r="A2229" s="11" t="s">
        <v>18</v>
      </c>
    </row>
    <row r="2230">
      <c r="A2230" s="11" t="s">
        <v>1020</v>
      </c>
    </row>
    <row r="2231">
      <c r="A2231" s="11" t="s">
        <v>71</v>
      </c>
    </row>
    <row r="2232">
      <c r="A2232" s="11" t="s">
        <v>1021</v>
      </c>
    </row>
    <row r="2233">
      <c r="A2233" s="11" t="s">
        <v>23</v>
      </c>
    </row>
    <row r="2234">
      <c r="A2234" s="11" t="s">
        <v>151</v>
      </c>
    </row>
    <row r="2235">
      <c r="A2235" s="11" t="s">
        <v>16</v>
      </c>
    </row>
    <row r="2236">
      <c r="A2236" s="11" t="s">
        <v>151</v>
      </c>
    </row>
    <row r="2237">
      <c r="A2237" s="11" t="s">
        <v>25</v>
      </c>
    </row>
    <row r="2238">
      <c r="A2238" s="11" t="s">
        <v>26</v>
      </c>
    </row>
    <row r="2239">
      <c r="A2239" s="11" t="s">
        <v>17</v>
      </c>
    </row>
    <row r="2240">
      <c r="A2240" s="11">
        <v>189.0</v>
      </c>
    </row>
    <row r="2241">
      <c r="A2241" s="11" t="s">
        <v>1024</v>
      </c>
    </row>
    <row r="2242">
      <c r="A2242" s="11" t="s">
        <v>259</v>
      </c>
    </row>
    <row r="2243">
      <c r="A2243" s="11" t="s">
        <v>1025</v>
      </c>
    </row>
    <row r="2244">
      <c r="A2244" s="11" t="s">
        <v>121</v>
      </c>
    </row>
    <row r="2245">
      <c r="A2245" s="11" t="s">
        <v>151</v>
      </c>
    </row>
    <row r="2246">
      <c r="A2246" s="11" t="s">
        <v>16</v>
      </c>
    </row>
    <row r="2247">
      <c r="A2247" s="11" t="s">
        <v>151</v>
      </c>
    </row>
    <row r="2248">
      <c r="A2248" s="11" t="s">
        <v>25</v>
      </c>
    </row>
    <row r="2249">
      <c r="A2249" s="11" t="s">
        <v>26</v>
      </c>
    </row>
    <row r="2250">
      <c r="A2250" s="11" t="s">
        <v>17</v>
      </c>
    </row>
    <row r="2251">
      <c r="A2251" s="11">
        <v>190.0</v>
      </c>
    </row>
    <row r="2252">
      <c r="A2252" s="11" t="s">
        <v>18</v>
      </c>
    </row>
    <row r="2253">
      <c r="A2253" s="11" t="s">
        <v>1028</v>
      </c>
    </row>
    <row r="2254">
      <c r="A2254" s="11" t="s">
        <v>125</v>
      </c>
    </row>
    <row r="2255">
      <c r="A2255" s="11" t="s">
        <v>1029</v>
      </c>
    </row>
    <row r="2256">
      <c r="A2256" s="11" t="s">
        <v>37</v>
      </c>
    </row>
    <row r="2257">
      <c r="A2257" s="11">
        <v>135.7</v>
      </c>
    </row>
    <row r="2258">
      <c r="A2258" s="11" t="s">
        <v>16</v>
      </c>
    </row>
    <row r="2259">
      <c r="A2259" s="16">
        <v>2.0</v>
      </c>
    </row>
    <row r="2260">
      <c r="A2260" s="11" t="s">
        <v>25</v>
      </c>
    </row>
    <row r="2261">
      <c r="A2261" s="11" t="s">
        <v>26</v>
      </c>
    </row>
    <row r="2262">
      <c r="A2262" s="11" t="s">
        <v>17</v>
      </c>
    </row>
    <row r="2263">
      <c r="A2263" s="11">
        <v>191.0</v>
      </c>
    </row>
    <row r="2264">
      <c r="A2264" s="11" t="s">
        <v>18</v>
      </c>
    </row>
    <row r="2265">
      <c r="A2265" s="11" t="s">
        <v>1032</v>
      </c>
    </row>
    <row r="2266">
      <c r="A2266" s="11" t="s">
        <v>71</v>
      </c>
    </row>
    <row r="2267">
      <c r="A2267" s="11" t="s">
        <v>1034</v>
      </c>
    </row>
    <row r="2268">
      <c r="A2268" s="11" t="s">
        <v>23</v>
      </c>
    </row>
    <row r="2269">
      <c r="A2269" s="11" t="s">
        <v>151</v>
      </c>
    </row>
    <row r="2270">
      <c r="A2270" s="11" t="s">
        <v>16</v>
      </c>
    </row>
    <row r="2271">
      <c r="A2271" s="16">
        <v>1.0</v>
      </c>
    </row>
    <row r="2272">
      <c r="A2272" s="11" t="s">
        <v>25</v>
      </c>
    </row>
    <row r="2273">
      <c r="A2273" s="11" t="s">
        <v>26</v>
      </c>
    </row>
    <row r="2274">
      <c r="A2274" s="11" t="s">
        <v>17</v>
      </c>
    </row>
    <row r="2275">
      <c r="A2275" s="11">
        <v>192.0</v>
      </c>
    </row>
    <row r="2276">
      <c r="A2276" s="11" t="s">
        <v>18</v>
      </c>
    </row>
    <row r="2277">
      <c r="A2277" s="11" t="s">
        <v>1039</v>
      </c>
    </row>
    <row r="2278">
      <c r="A2278" s="11" t="s">
        <v>113</v>
      </c>
    </row>
    <row r="2279">
      <c r="A2279" s="11" t="s">
        <v>1040</v>
      </c>
    </row>
    <row r="2280">
      <c r="A2280" s="11" t="s">
        <v>117</v>
      </c>
    </row>
    <row r="2281">
      <c r="A2281" s="11">
        <v>112.6</v>
      </c>
    </row>
    <row r="2282">
      <c r="A2282" s="11" t="s">
        <v>16</v>
      </c>
    </row>
    <row r="2283">
      <c r="A2283" s="11" t="s">
        <v>151</v>
      </c>
    </row>
    <row r="2284">
      <c r="A2284" s="11" t="s">
        <v>25</v>
      </c>
    </row>
    <row r="2285">
      <c r="A2285" s="11" t="s">
        <v>26</v>
      </c>
    </row>
    <row r="2286">
      <c r="A2286" s="11" t="s">
        <v>17</v>
      </c>
    </row>
    <row r="2287">
      <c r="A2287" s="11">
        <v>193.0</v>
      </c>
    </row>
    <row r="2288">
      <c r="A2288" s="11" t="s">
        <v>18</v>
      </c>
    </row>
    <row r="2289">
      <c r="A2289" s="11" t="s">
        <v>1043</v>
      </c>
    </row>
    <row r="2290">
      <c r="A2290" s="11" t="s">
        <v>166</v>
      </c>
    </row>
    <row r="2291">
      <c r="A2291" s="11" t="s">
        <v>1045</v>
      </c>
    </row>
    <row r="2292">
      <c r="A2292" s="11" t="s">
        <v>44</v>
      </c>
    </row>
    <row r="2293">
      <c r="A2293" s="11" t="s">
        <v>151</v>
      </c>
    </row>
    <row r="2294">
      <c r="A2294" s="11" t="s">
        <v>16</v>
      </c>
    </row>
    <row r="2295">
      <c r="A2295" s="16">
        <v>1.0</v>
      </c>
    </row>
    <row r="2296">
      <c r="A2296" s="11" t="s">
        <v>25</v>
      </c>
    </row>
    <row r="2297">
      <c r="A2297" s="11" t="s">
        <v>26</v>
      </c>
    </row>
    <row r="2298">
      <c r="A2298" s="11" t="s">
        <v>17</v>
      </c>
    </row>
    <row r="2299">
      <c r="A2299" s="11">
        <v>194.0</v>
      </c>
    </row>
    <row r="2300">
      <c r="A2300" s="11" t="s">
        <v>1047</v>
      </c>
    </row>
    <row r="2301">
      <c r="A2301" s="11" t="s">
        <v>47</v>
      </c>
    </row>
    <row r="2302">
      <c r="A2302" s="11" t="s">
        <v>1048</v>
      </c>
    </row>
    <row r="2303">
      <c r="A2303" s="11" t="s">
        <v>31</v>
      </c>
    </row>
    <row r="2304">
      <c r="A2304" s="11">
        <v>98.4</v>
      </c>
    </row>
    <row r="2305">
      <c r="A2305" s="11" t="s">
        <v>16</v>
      </c>
    </row>
    <row r="2306">
      <c r="A2306" s="11" t="s">
        <v>151</v>
      </c>
    </row>
    <row r="2307">
      <c r="A2307" s="11" t="s">
        <v>25</v>
      </c>
    </row>
    <row r="2308">
      <c r="A2308" s="11" t="s">
        <v>26</v>
      </c>
    </row>
    <row r="2309">
      <c r="A2309" s="11" t="s">
        <v>17</v>
      </c>
    </row>
    <row r="2310">
      <c r="A2310" s="11">
        <v>195.0</v>
      </c>
    </row>
    <row r="2311">
      <c r="A2311" s="11" t="s">
        <v>1051</v>
      </c>
    </row>
    <row r="2312">
      <c r="A2312" s="11" t="s">
        <v>66</v>
      </c>
    </row>
    <row r="2313">
      <c r="A2313" s="11" t="s">
        <v>1053</v>
      </c>
    </row>
    <row r="2314">
      <c r="A2314" s="11" t="s">
        <v>31</v>
      </c>
    </row>
    <row r="2315">
      <c r="A2315" s="11">
        <v>106.4</v>
      </c>
    </row>
    <row r="2316">
      <c r="A2316" s="11" t="s">
        <v>16</v>
      </c>
    </row>
    <row r="2317">
      <c r="A2317" s="11" t="s">
        <v>151</v>
      </c>
    </row>
    <row r="2318">
      <c r="A2318" s="11" t="s">
        <v>25</v>
      </c>
    </row>
    <row r="2319">
      <c r="A2319" s="11" t="s">
        <v>26</v>
      </c>
    </row>
    <row r="2320">
      <c r="A2320" s="11" t="s">
        <v>17</v>
      </c>
    </row>
    <row r="2321">
      <c r="A2321" s="11">
        <v>196.0</v>
      </c>
    </row>
    <row r="2322">
      <c r="A2322" s="11" t="s">
        <v>1055</v>
      </c>
    </row>
    <row r="2323">
      <c r="A2323" s="11" t="s">
        <v>166</v>
      </c>
    </row>
    <row r="2324">
      <c r="A2324" s="11" t="s">
        <v>1056</v>
      </c>
    </row>
    <row r="2325">
      <c r="A2325" s="11" t="s">
        <v>44</v>
      </c>
    </row>
    <row r="2326">
      <c r="A2326" s="11">
        <v>102.0</v>
      </c>
    </row>
    <row r="2327">
      <c r="A2327" s="11" t="s">
        <v>16</v>
      </c>
    </row>
    <row r="2328">
      <c r="A2328" s="11" t="s">
        <v>151</v>
      </c>
    </row>
    <row r="2329">
      <c r="A2329" s="11" t="s">
        <v>25</v>
      </c>
    </row>
    <row r="2330">
      <c r="A2330" s="11" t="s">
        <v>26</v>
      </c>
    </row>
    <row r="2331">
      <c r="A2331" s="11" t="s">
        <v>17</v>
      </c>
    </row>
    <row r="2332">
      <c r="A2332" s="11">
        <v>197.0</v>
      </c>
    </row>
    <row r="2333">
      <c r="A2333" s="11" t="s">
        <v>1059</v>
      </c>
    </row>
    <row r="2334">
      <c r="A2334" s="11" t="s">
        <v>319</v>
      </c>
    </row>
    <row r="2335">
      <c r="A2335" s="11" t="s">
        <v>1061</v>
      </c>
    </row>
    <row r="2336">
      <c r="A2336" s="11" t="s">
        <v>121</v>
      </c>
    </row>
    <row r="2337">
      <c r="A2337" s="11">
        <v>92.0</v>
      </c>
    </row>
    <row r="2338">
      <c r="A2338" s="11" t="s">
        <v>16</v>
      </c>
    </row>
    <row r="2339">
      <c r="A2339" s="11" t="s">
        <v>151</v>
      </c>
    </row>
    <row r="2340">
      <c r="A2340" s="11" t="s">
        <v>25</v>
      </c>
    </row>
    <row r="2341">
      <c r="A2341" s="11" t="s">
        <v>26</v>
      </c>
    </row>
    <row r="2342">
      <c r="A2342" s="11" t="s">
        <v>17</v>
      </c>
    </row>
    <row r="2343">
      <c r="A2343" s="11">
        <v>198.0</v>
      </c>
    </row>
    <row r="2344">
      <c r="A2344" s="11" t="s">
        <v>1066</v>
      </c>
    </row>
    <row r="2345">
      <c r="A2345" s="11" t="s">
        <v>119</v>
      </c>
    </row>
    <row r="2346">
      <c r="A2346" s="11" t="s">
        <v>1067</v>
      </c>
    </row>
    <row r="2347">
      <c r="A2347" s="11" t="s">
        <v>121</v>
      </c>
    </row>
    <row r="2348">
      <c r="A2348" s="11">
        <v>126.6</v>
      </c>
    </row>
    <row r="2349">
      <c r="A2349" s="11" t="s">
        <v>16</v>
      </c>
    </row>
    <row r="2350">
      <c r="A2350" s="11" t="s">
        <v>151</v>
      </c>
    </row>
    <row r="2351">
      <c r="A2351" s="11" t="s">
        <v>25</v>
      </c>
    </row>
    <row r="2352">
      <c r="A2352" s="11" t="s">
        <v>26</v>
      </c>
    </row>
    <row r="2353">
      <c r="A2353" s="11" t="s">
        <v>17</v>
      </c>
    </row>
    <row r="2354">
      <c r="A2354" s="11">
        <v>199.0</v>
      </c>
    </row>
    <row r="2355">
      <c r="A2355" s="11" t="s">
        <v>1070</v>
      </c>
    </row>
    <row r="2356">
      <c r="A2356" s="11" t="s">
        <v>125</v>
      </c>
    </row>
    <row r="2357">
      <c r="A2357" s="11" t="s">
        <v>1071</v>
      </c>
    </row>
    <row r="2358">
      <c r="A2358" s="11" t="s">
        <v>37</v>
      </c>
    </row>
    <row r="2359">
      <c r="A2359" s="11">
        <v>140.7</v>
      </c>
    </row>
    <row r="2360">
      <c r="A2360" s="11" t="s">
        <v>16</v>
      </c>
    </row>
    <row r="2361">
      <c r="A2361" s="11" t="s">
        <v>151</v>
      </c>
    </row>
    <row r="2362">
      <c r="A2362" s="11" t="s">
        <v>25</v>
      </c>
    </row>
    <row r="2363">
      <c r="A2363" s="11" t="s">
        <v>26</v>
      </c>
    </row>
    <row r="2364">
      <c r="A2364" s="11" t="s">
        <v>17</v>
      </c>
    </row>
    <row r="2365">
      <c r="A2365" s="11">
        <v>200.0</v>
      </c>
    </row>
    <row r="2366">
      <c r="A2366" s="11" t="s">
        <v>18</v>
      </c>
    </row>
    <row r="2367">
      <c r="A2367" s="11" t="s">
        <v>1074</v>
      </c>
    </row>
    <row r="2368">
      <c r="A2368" s="11" t="s">
        <v>131</v>
      </c>
    </row>
    <row r="2369">
      <c r="A2369" s="11" t="s">
        <v>1075</v>
      </c>
    </row>
    <row r="2370">
      <c r="A2370" s="11" t="s">
        <v>62</v>
      </c>
    </row>
    <row r="2371">
      <c r="A2371" s="11">
        <v>142.4</v>
      </c>
    </row>
    <row r="2372">
      <c r="A2372" s="11" t="s">
        <v>16</v>
      </c>
    </row>
    <row r="2373">
      <c r="A2373" s="11" t="s">
        <v>151</v>
      </c>
    </row>
    <row r="2374">
      <c r="A2374" s="11" t="s">
        <v>25</v>
      </c>
    </row>
    <row r="2375">
      <c r="A2375" s="11" t="s">
        <v>26</v>
      </c>
    </row>
    <row r="2376">
      <c r="A2376" s="11" t="s">
        <v>17</v>
      </c>
    </row>
    <row r="2377">
      <c r="A2377" s="11">
        <v>201.0</v>
      </c>
    </row>
    <row r="2378">
      <c r="A2378" s="11" t="s">
        <v>1079</v>
      </c>
    </row>
    <row r="2379">
      <c r="A2379" s="11" t="s">
        <v>372</v>
      </c>
    </row>
    <row r="2380">
      <c r="A2380" s="11" t="s">
        <v>1081</v>
      </c>
    </row>
    <row r="2381">
      <c r="A2381" s="11" t="s">
        <v>335</v>
      </c>
    </row>
    <row r="2382">
      <c r="A2382" s="11">
        <v>139.3</v>
      </c>
    </row>
    <row r="2383">
      <c r="A2383" s="11" t="s">
        <v>16</v>
      </c>
    </row>
    <row r="2384">
      <c r="A2384" s="11" t="s">
        <v>151</v>
      </c>
    </row>
    <row r="2385">
      <c r="A2385" s="11" t="s">
        <v>25</v>
      </c>
    </row>
    <row r="2386">
      <c r="A2386" s="11" t="s">
        <v>26</v>
      </c>
    </row>
    <row r="2387">
      <c r="A2387" s="11" t="s">
        <v>17</v>
      </c>
    </row>
    <row r="2388">
      <c r="A2388" s="11">
        <v>202.0</v>
      </c>
    </row>
    <row r="2389">
      <c r="A2389" s="11" t="s">
        <v>18</v>
      </c>
    </row>
    <row r="2390">
      <c r="A2390" s="11" t="s">
        <v>1083</v>
      </c>
    </row>
    <row r="2391">
      <c r="A2391" s="11" t="s">
        <v>66</v>
      </c>
    </row>
    <row r="2392">
      <c r="A2392" s="11" t="s">
        <v>1084</v>
      </c>
    </row>
    <row r="2393">
      <c r="A2393" s="11" t="s">
        <v>31</v>
      </c>
    </row>
    <row r="2394">
      <c r="A2394" s="11">
        <v>119.6</v>
      </c>
    </row>
    <row r="2395">
      <c r="A2395" s="11" t="s">
        <v>16</v>
      </c>
    </row>
    <row r="2396">
      <c r="A2396" s="11" t="s">
        <v>151</v>
      </c>
    </row>
    <row r="2397">
      <c r="A2397" s="11" t="s">
        <v>25</v>
      </c>
    </row>
    <row r="2398">
      <c r="A2398" s="11" t="s">
        <v>26</v>
      </c>
    </row>
    <row r="2399">
      <c r="A2399" s="11" t="s">
        <v>17</v>
      </c>
    </row>
    <row r="2400">
      <c r="A2400" s="11">
        <v>203.0</v>
      </c>
    </row>
    <row r="2401">
      <c r="A2401" s="11" t="s">
        <v>1088</v>
      </c>
    </row>
    <row r="2402">
      <c r="A2402" s="11" t="s">
        <v>125</v>
      </c>
    </row>
    <row r="2403">
      <c r="A2403" s="11" t="s">
        <v>1089</v>
      </c>
    </row>
    <row r="2404">
      <c r="A2404" s="11" t="s">
        <v>37</v>
      </c>
    </row>
    <row r="2405">
      <c r="A2405" s="11">
        <v>169.5</v>
      </c>
    </row>
    <row r="2406">
      <c r="A2406" s="11" t="s">
        <v>16</v>
      </c>
    </row>
    <row r="2407">
      <c r="A2407" s="11" t="s">
        <v>151</v>
      </c>
    </row>
    <row r="2408">
      <c r="A2408" s="11" t="s">
        <v>25</v>
      </c>
    </row>
    <row r="2409">
      <c r="A2409" s="11" t="s">
        <v>26</v>
      </c>
    </row>
    <row r="2410">
      <c r="A2410" s="11" t="s">
        <v>17</v>
      </c>
    </row>
    <row r="2411">
      <c r="A2411" s="11">
        <v>204.0</v>
      </c>
    </row>
    <row r="2412">
      <c r="A2412" s="11" t="s">
        <v>18</v>
      </c>
    </row>
    <row r="2413">
      <c r="A2413" s="11" t="s">
        <v>1091</v>
      </c>
    </row>
    <row r="2414">
      <c r="A2414" s="11" t="s">
        <v>47</v>
      </c>
    </row>
    <row r="2415">
      <c r="A2415" s="11" t="s">
        <v>1092</v>
      </c>
    </row>
    <row r="2416">
      <c r="A2416" s="11" t="s">
        <v>31</v>
      </c>
    </row>
    <row r="2417">
      <c r="A2417" s="11">
        <v>163.8</v>
      </c>
    </row>
    <row r="2418">
      <c r="A2418" s="11" t="s">
        <v>16</v>
      </c>
    </row>
    <row r="2419">
      <c r="A2419" s="11" t="s">
        <v>151</v>
      </c>
    </row>
    <row r="2420">
      <c r="A2420" s="11" t="s">
        <v>25</v>
      </c>
    </row>
    <row r="2421">
      <c r="A2421" s="11" t="s">
        <v>26</v>
      </c>
    </row>
    <row r="2422">
      <c r="A2422" s="11" t="s">
        <v>17</v>
      </c>
    </row>
    <row r="2423">
      <c r="A2423" s="11">
        <v>205.0</v>
      </c>
    </row>
    <row r="2424">
      <c r="A2424" s="11" t="s">
        <v>18</v>
      </c>
    </row>
    <row r="2425">
      <c r="A2425" s="11" t="s">
        <v>1098</v>
      </c>
    </row>
    <row r="2426">
      <c r="A2426" s="11" t="s">
        <v>259</v>
      </c>
    </row>
    <row r="2427">
      <c r="A2427" s="11" t="s">
        <v>1099</v>
      </c>
    </row>
    <row r="2428">
      <c r="A2428" s="11" t="s">
        <v>121</v>
      </c>
    </row>
    <row r="2429">
      <c r="A2429" s="11">
        <v>162.8</v>
      </c>
    </row>
    <row r="2430">
      <c r="A2430" s="11" t="s">
        <v>16</v>
      </c>
    </row>
    <row r="2431">
      <c r="A2431" s="11" t="s">
        <v>151</v>
      </c>
    </row>
    <row r="2432">
      <c r="A2432" s="11" t="s">
        <v>25</v>
      </c>
    </row>
    <row r="2433">
      <c r="A2433" s="11" t="s">
        <v>26</v>
      </c>
    </row>
    <row r="2434">
      <c r="A2434" s="11" t="s">
        <v>17</v>
      </c>
    </row>
    <row r="2435">
      <c r="A2435" s="11">
        <v>206.0</v>
      </c>
    </row>
    <row r="2436">
      <c r="A2436" s="11" t="s">
        <v>18</v>
      </c>
    </row>
    <row r="2437">
      <c r="A2437" s="11" t="s">
        <v>1101</v>
      </c>
    </row>
    <row r="2438">
      <c r="A2438" s="11" t="s">
        <v>351</v>
      </c>
    </row>
    <row r="2439">
      <c r="A2439" s="11" t="s">
        <v>1103</v>
      </c>
    </row>
    <row r="2440">
      <c r="A2440" s="11" t="s">
        <v>62</v>
      </c>
    </row>
    <row r="2441">
      <c r="A2441" s="11">
        <v>149.8</v>
      </c>
    </row>
    <row r="2442">
      <c r="A2442" s="11" t="s">
        <v>16</v>
      </c>
    </row>
    <row r="2443">
      <c r="A2443" s="11" t="s">
        <v>151</v>
      </c>
    </row>
    <row r="2444">
      <c r="A2444" s="11" t="s">
        <v>25</v>
      </c>
    </row>
    <row r="2445">
      <c r="A2445" s="11" t="s">
        <v>26</v>
      </c>
    </row>
    <row r="2446">
      <c r="A2446" s="11" t="s">
        <v>17</v>
      </c>
    </row>
    <row r="2447">
      <c r="A2447" s="11">
        <v>207.0</v>
      </c>
    </row>
    <row r="2448">
      <c r="A2448" s="11" t="s">
        <v>18</v>
      </c>
    </row>
    <row r="2449">
      <c r="A2449" s="11" t="s">
        <v>1108</v>
      </c>
    </row>
    <row r="2450">
      <c r="A2450" s="11" t="s">
        <v>53</v>
      </c>
    </row>
    <row r="2451">
      <c r="A2451" s="11" t="s">
        <v>1109</v>
      </c>
    </row>
    <row r="2452">
      <c r="A2452" s="11" t="s">
        <v>23</v>
      </c>
    </row>
    <row r="2453">
      <c r="A2453" s="11">
        <v>161.7</v>
      </c>
    </row>
    <row r="2454">
      <c r="A2454" s="11" t="s">
        <v>16</v>
      </c>
    </row>
    <row r="2455">
      <c r="A2455" s="11" t="s">
        <v>151</v>
      </c>
    </row>
    <row r="2456">
      <c r="A2456" s="11" t="s">
        <v>25</v>
      </c>
    </row>
    <row r="2457">
      <c r="A2457" s="11" t="s">
        <v>26</v>
      </c>
    </row>
    <row r="2458">
      <c r="A2458" s="11" t="s">
        <v>17</v>
      </c>
    </row>
    <row r="2459">
      <c r="A2459" s="11">
        <v>208.0</v>
      </c>
    </row>
    <row r="2460">
      <c r="A2460" s="11" t="s">
        <v>18</v>
      </c>
    </row>
    <row r="2461">
      <c r="A2461" s="11" t="s">
        <v>1111</v>
      </c>
    </row>
    <row r="2462">
      <c r="A2462" s="11" t="s">
        <v>42</v>
      </c>
    </row>
    <row r="2463">
      <c r="A2463" s="11" t="s">
        <v>1113</v>
      </c>
    </row>
    <row r="2464">
      <c r="A2464" s="11" t="s">
        <v>44</v>
      </c>
    </row>
    <row r="2465">
      <c r="A2465" s="11" t="s">
        <v>151</v>
      </c>
    </row>
    <row r="2466">
      <c r="A2466" s="11" t="s">
        <v>16</v>
      </c>
    </row>
    <row r="2467">
      <c r="A2467" s="11" t="s">
        <v>151</v>
      </c>
    </row>
    <row r="2468">
      <c r="A2468" s="11" t="s">
        <v>25</v>
      </c>
    </row>
    <row r="2469">
      <c r="A2469" s="11" t="s">
        <v>26</v>
      </c>
    </row>
    <row r="2470">
      <c r="A2470" s="11" t="s">
        <v>17</v>
      </c>
    </row>
    <row r="2471">
      <c r="A2471" s="11">
        <v>209.0</v>
      </c>
    </row>
    <row r="2472">
      <c r="A2472" s="11" t="s">
        <v>18</v>
      </c>
    </row>
    <row r="2473">
      <c r="A2473" s="11" t="s">
        <v>1116</v>
      </c>
    </row>
    <row r="2474">
      <c r="A2474" s="11" t="s">
        <v>166</v>
      </c>
    </row>
    <row r="2475">
      <c r="A2475" s="11" t="s">
        <v>1118</v>
      </c>
    </row>
    <row r="2476">
      <c r="A2476" s="11" t="s">
        <v>44</v>
      </c>
    </row>
    <row r="2477">
      <c r="A2477" s="11">
        <v>142.4</v>
      </c>
    </row>
    <row r="2478">
      <c r="A2478" s="11" t="s">
        <v>16</v>
      </c>
    </row>
    <row r="2479">
      <c r="A2479" s="11" t="s">
        <v>151</v>
      </c>
    </row>
    <row r="2480">
      <c r="A2480" s="11" t="s">
        <v>25</v>
      </c>
    </row>
    <row r="2481">
      <c r="A2481" s="11" t="s">
        <v>26</v>
      </c>
    </row>
    <row r="2482">
      <c r="A2482" s="11" t="s">
        <v>17</v>
      </c>
    </row>
    <row r="2483">
      <c r="A2483" s="11">
        <v>210.0</v>
      </c>
    </row>
    <row r="2484">
      <c r="A2484" s="11" t="s">
        <v>18</v>
      </c>
    </row>
    <row r="2485">
      <c r="A2485" s="11" t="s">
        <v>1122</v>
      </c>
    </row>
    <row r="2486">
      <c r="A2486" s="11" t="s">
        <v>253</v>
      </c>
    </row>
    <row r="2487">
      <c r="A2487" s="11" t="s">
        <v>1123</v>
      </c>
    </row>
    <row r="2488">
      <c r="A2488" s="11" t="s">
        <v>121</v>
      </c>
    </row>
    <row r="2489">
      <c r="A2489" s="11">
        <v>165.0</v>
      </c>
    </row>
    <row r="2490">
      <c r="A2490" s="11" t="s">
        <v>16</v>
      </c>
    </row>
    <row r="2491">
      <c r="A2491" s="11" t="s">
        <v>151</v>
      </c>
    </row>
    <row r="2492">
      <c r="A2492" s="11" t="s">
        <v>25</v>
      </c>
    </row>
    <row r="2493">
      <c r="A2493" s="11" t="s">
        <v>26</v>
      </c>
    </row>
    <row r="2494">
      <c r="A2494" s="11" t="s">
        <v>17</v>
      </c>
    </row>
    <row r="2495">
      <c r="A2495" s="11">
        <v>211.0</v>
      </c>
    </row>
    <row r="2496">
      <c r="A2496" s="11" t="s">
        <v>18</v>
      </c>
    </row>
    <row r="2497">
      <c r="A2497" s="11" t="s">
        <v>1125</v>
      </c>
    </row>
    <row r="2498">
      <c r="A2498" s="11" t="s">
        <v>372</v>
      </c>
    </row>
    <row r="2499">
      <c r="A2499" s="11" t="s">
        <v>1126</v>
      </c>
    </row>
    <row r="2500">
      <c r="A2500" s="11" t="s">
        <v>335</v>
      </c>
    </row>
    <row r="2501">
      <c r="A2501" s="11" t="s">
        <v>151</v>
      </c>
    </row>
    <row r="2502">
      <c r="A2502" s="11" t="s">
        <v>16</v>
      </c>
    </row>
    <row r="2503">
      <c r="A2503" s="11" t="s">
        <v>151</v>
      </c>
    </row>
    <row r="2504">
      <c r="A2504" s="11" t="s">
        <v>25</v>
      </c>
    </row>
    <row r="2505">
      <c r="A2505" s="11" t="s">
        <v>26</v>
      </c>
    </row>
    <row r="2506">
      <c r="A2506" s="11" t="s">
        <v>17</v>
      </c>
    </row>
    <row r="2507">
      <c r="A2507" s="11">
        <v>212.0</v>
      </c>
    </row>
    <row r="2508">
      <c r="A2508" s="11" t="s">
        <v>1131</v>
      </c>
    </row>
    <row r="2509">
      <c r="A2509" s="11" t="s">
        <v>131</v>
      </c>
    </row>
    <row r="2510">
      <c r="A2510" s="11" t="s">
        <v>1132</v>
      </c>
    </row>
    <row r="2511">
      <c r="A2511" s="11" t="s">
        <v>62</v>
      </c>
    </row>
    <row r="2512">
      <c r="A2512" s="11">
        <v>143.0</v>
      </c>
    </row>
    <row r="2513">
      <c r="A2513" s="11" t="s">
        <v>16</v>
      </c>
    </row>
    <row r="2514">
      <c r="A2514" s="11" t="s">
        <v>151</v>
      </c>
    </row>
    <row r="2515">
      <c r="A2515" s="11" t="s">
        <v>25</v>
      </c>
    </row>
    <row r="2516">
      <c r="A2516" s="11" t="s">
        <v>26</v>
      </c>
    </row>
    <row r="2517">
      <c r="A2517" s="11" t="s">
        <v>17</v>
      </c>
    </row>
    <row r="2518">
      <c r="A2518" s="11">
        <v>213.0</v>
      </c>
    </row>
    <row r="2519">
      <c r="A2519" s="11" t="s">
        <v>1135</v>
      </c>
    </row>
    <row r="2520">
      <c r="A2520" s="11" t="s">
        <v>159</v>
      </c>
    </row>
    <row r="2521">
      <c r="A2521" s="11" t="s">
        <v>1137</v>
      </c>
    </row>
    <row r="2522">
      <c r="A2522" s="11" t="s">
        <v>31</v>
      </c>
    </row>
    <row r="2523">
      <c r="A2523" s="11">
        <v>131.3</v>
      </c>
    </row>
    <row r="2524">
      <c r="A2524" s="11" t="s">
        <v>16</v>
      </c>
    </row>
    <row r="2525">
      <c r="A2525" s="11" t="s">
        <v>151</v>
      </c>
    </row>
    <row r="2526">
      <c r="A2526" s="11" t="s">
        <v>25</v>
      </c>
    </row>
    <row r="2527">
      <c r="A2527" s="11" t="s">
        <v>26</v>
      </c>
    </row>
    <row r="2528">
      <c r="A2528" s="11" t="s">
        <v>17</v>
      </c>
    </row>
    <row r="2529">
      <c r="A2529" s="11">
        <v>214.0</v>
      </c>
    </row>
    <row r="2530">
      <c r="A2530" s="11" t="s">
        <v>1140</v>
      </c>
    </row>
    <row r="2531">
      <c r="A2531" s="11" t="s">
        <v>253</v>
      </c>
    </row>
    <row r="2532">
      <c r="A2532" s="11" t="s">
        <v>1141</v>
      </c>
    </row>
    <row r="2533">
      <c r="A2533" s="11" t="s">
        <v>121</v>
      </c>
    </row>
    <row r="2534">
      <c r="A2534" s="11" t="s">
        <v>151</v>
      </c>
    </row>
    <row r="2535">
      <c r="A2535" s="11" t="s">
        <v>16</v>
      </c>
    </row>
    <row r="2536">
      <c r="A2536" s="11" t="s">
        <v>151</v>
      </c>
    </row>
    <row r="2537">
      <c r="A2537" s="11" t="s">
        <v>25</v>
      </c>
    </row>
    <row r="2538">
      <c r="A2538" s="11" t="s">
        <v>26</v>
      </c>
    </row>
    <row r="2539">
      <c r="A2539" s="11" t="s">
        <v>17</v>
      </c>
    </row>
    <row r="2540">
      <c r="A2540" s="11">
        <v>215.0</v>
      </c>
    </row>
    <row r="2541">
      <c r="A2541" s="11" t="s">
        <v>1144</v>
      </c>
    </row>
    <row r="2542">
      <c r="A2542" s="11" t="s">
        <v>142</v>
      </c>
    </row>
    <row r="2543">
      <c r="A2543" s="11" t="s">
        <v>1146</v>
      </c>
    </row>
    <row r="2544">
      <c r="A2544" s="11" t="s">
        <v>31</v>
      </c>
    </row>
    <row r="2545">
      <c r="A2545" s="11">
        <v>166.0</v>
      </c>
    </row>
    <row r="2546">
      <c r="A2546" s="11" t="s">
        <v>16</v>
      </c>
    </row>
    <row r="2547">
      <c r="A2547" s="11" t="s">
        <v>151</v>
      </c>
    </row>
    <row r="2548">
      <c r="A2548" s="11" t="s">
        <v>25</v>
      </c>
    </row>
    <row r="2549">
      <c r="A2549" s="11" t="s">
        <v>26</v>
      </c>
    </row>
    <row r="2550">
      <c r="A2550" s="11" t="s">
        <v>17</v>
      </c>
    </row>
    <row r="2551">
      <c r="A2551" s="11">
        <v>216.0</v>
      </c>
    </row>
    <row r="2552">
      <c r="A2552" s="11" t="s">
        <v>1149</v>
      </c>
    </row>
    <row r="2553">
      <c r="A2553" s="11" t="s">
        <v>351</v>
      </c>
    </row>
    <row r="2554">
      <c r="A2554" s="11" t="s">
        <v>1150</v>
      </c>
    </row>
    <row r="2555">
      <c r="A2555" s="11" t="s">
        <v>62</v>
      </c>
    </row>
    <row r="2556">
      <c r="A2556" s="11">
        <v>163.0</v>
      </c>
    </row>
    <row r="2557">
      <c r="A2557" s="11" t="s">
        <v>16</v>
      </c>
    </row>
    <row r="2558">
      <c r="A2558" s="11" t="s">
        <v>151</v>
      </c>
    </row>
    <row r="2559">
      <c r="A2559" s="11" t="s">
        <v>25</v>
      </c>
    </row>
    <row r="2560">
      <c r="A2560" s="11" t="s">
        <v>26</v>
      </c>
    </row>
    <row r="2561">
      <c r="A2561" s="11" t="s">
        <v>17</v>
      </c>
    </row>
    <row r="2562">
      <c r="A2562" s="11">
        <v>217.0</v>
      </c>
    </row>
    <row r="2563">
      <c r="A2563" s="11" t="s">
        <v>18</v>
      </c>
    </row>
    <row r="2564">
      <c r="A2564" s="11" t="s">
        <v>1152</v>
      </c>
    </row>
    <row r="2565">
      <c r="A2565" s="11" t="s">
        <v>47</v>
      </c>
    </row>
    <row r="2566">
      <c r="A2566" s="11" t="s">
        <v>1153</v>
      </c>
    </row>
    <row r="2567">
      <c r="A2567" s="11" t="s">
        <v>31</v>
      </c>
    </row>
    <row r="2568">
      <c r="A2568" s="11" t="s">
        <v>151</v>
      </c>
    </row>
    <row r="2569">
      <c r="A2569" s="11" t="s">
        <v>16</v>
      </c>
    </row>
    <row r="2570">
      <c r="A2570" s="11" t="s">
        <v>151</v>
      </c>
    </row>
    <row r="2571">
      <c r="A2571" s="11" t="s">
        <v>25</v>
      </c>
    </row>
    <row r="2572">
      <c r="A2572" s="11" t="s">
        <v>26</v>
      </c>
    </row>
    <row r="2573">
      <c r="A2573" s="11" t="s">
        <v>17</v>
      </c>
    </row>
    <row r="2574">
      <c r="A2574" s="11">
        <v>218.0</v>
      </c>
    </row>
    <row r="2575">
      <c r="A2575" s="11" t="s">
        <v>18</v>
      </c>
    </row>
    <row r="2576">
      <c r="A2576" s="11" t="s">
        <v>1156</v>
      </c>
    </row>
    <row r="2577">
      <c r="A2577" s="11" t="s">
        <v>53</v>
      </c>
    </row>
    <row r="2578">
      <c r="A2578" s="11" t="s">
        <v>1157</v>
      </c>
    </row>
    <row r="2579">
      <c r="A2579" s="11" t="s">
        <v>23</v>
      </c>
    </row>
    <row r="2580">
      <c r="A2580" s="11" t="s">
        <v>151</v>
      </c>
    </row>
    <row r="2581">
      <c r="A2581" s="11" t="s">
        <v>16</v>
      </c>
    </row>
    <row r="2582">
      <c r="A2582" s="16">
        <v>1.0</v>
      </c>
    </row>
    <row r="2583">
      <c r="A2583" s="11" t="s">
        <v>25</v>
      </c>
    </row>
    <row r="2584">
      <c r="A2584" s="11" t="s">
        <v>26</v>
      </c>
    </row>
    <row r="2585">
      <c r="A2585" s="11" t="s">
        <v>17</v>
      </c>
    </row>
    <row r="2586">
      <c r="A2586" s="11">
        <v>219.0</v>
      </c>
    </row>
    <row r="2587">
      <c r="A2587" s="11" t="s">
        <v>18</v>
      </c>
    </row>
    <row r="2588">
      <c r="A2588" s="11" t="s">
        <v>1158</v>
      </c>
    </row>
    <row r="2589">
      <c r="A2589" s="11" t="s">
        <v>146</v>
      </c>
    </row>
    <row r="2590">
      <c r="A2590" s="11" t="s">
        <v>1160</v>
      </c>
    </row>
    <row r="2591">
      <c r="A2591" s="11" t="s">
        <v>117</v>
      </c>
    </row>
    <row r="2592">
      <c r="A2592" s="11">
        <v>167.0</v>
      </c>
    </row>
    <row r="2593">
      <c r="A2593" s="11" t="s">
        <v>16</v>
      </c>
    </row>
    <row r="2594">
      <c r="A2594" s="16">
        <v>14.0</v>
      </c>
    </row>
    <row r="2595">
      <c r="A2595" s="11" t="s">
        <v>25</v>
      </c>
    </row>
    <row r="2596">
      <c r="A2596" s="11" t="s">
        <v>26</v>
      </c>
    </row>
    <row r="2597">
      <c r="A2597" s="11" t="s">
        <v>17</v>
      </c>
    </row>
    <row r="2598">
      <c r="A2598" s="11">
        <v>220.0</v>
      </c>
    </row>
    <row r="2599">
      <c r="A2599" s="11" t="s">
        <v>18</v>
      </c>
    </row>
    <row r="2600">
      <c r="A2600" s="11" t="s">
        <v>1165</v>
      </c>
    </row>
    <row r="2601">
      <c r="A2601" s="11" t="s">
        <v>146</v>
      </c>
    </row>
    <row r="2602">
      <c r="A2602" s="11" t="s">
        <v>1166</v>
      </c>
    </row>
    <row r="2603">
      <c r="A2603" s="11" t="s">
        <v>117</v>
      </c>
    </row>
    <row r="2604">
      <c r="A2604" s="11">
        <v>143.5</v>
      </c>
    </row>
    <row r="2605">
      <c r="A2605" s="11" t="s">
        <v>16</v>
      </c>
    </row>
    <row r="2606">
      <c r="A2606" s="11" t="s">
        <v>151</v>
      </c>
    </row>
    <row r="2607">
      <c r="A2607" s="11" t="s">
        <v>25</v>
      </c>
    </row>
    <row r="2608">
      <c r="A2608" s="11" t="s">
        <v>26</v>
      </c>
    </row>
    <row r="2609">
      <c r="A2609" s="11" t="s">
        <v>17</v>
      </c>
    </row>
    <row r="2610">
      <c r="A2610" s="11">
        <v>221.0</v>
      </c>
    </row>
    <row r="2611">
      <c r="A2611" s="11" t="s">
        <v>18</v>
      </c>
    </row>
    <row r="2612">
      <c r="A2612" s="11" t="s">
        <v>1169</v>
      </c>
    </row>
    <row r="2613">
      <c r="A2613" s="11" t="s">
        <v>333</v>
      </c>
    </row>
    <row r="2614">
      <c r="A2614" s="11" t="s">
        <v>1171</v>
      </c>
    </row>
    <row r="2615">
      <c r="A2615" s="11" t="s">
        <v>335</v>
      </c>
    </row>
    <row r="2616">
      <c r="A2616" s="11">
        <v>192.0</v>
      </c>
    </row>
    <row r="2617">
      <c r="A2617" s="11" t="s">
        <v>16</v>
      </c>
    </row>
    <row r="2618">
      <c r="A2618" s="16">
        <v>1.0</v>
      </c>
    </row>
    <row r="2619">
      <c r="A2619" s="11" t="s">
        <v>25</v>
      </c>
    </row>
    <row r="2620">
      <c r="A2620" s="11" t="s">
        <v>26</v>
      </c>
    </row>
    <row r="2621">
      <c r="A2621" s="11" t="s">
        <v>17</v>
      </c>
    </row>
    <row r="2622">
      <c r="A2622" s="11">
        <v>222.0</v>
      </c>
    </row>
    <row r="2623">
      <c r="A2623" s="11" t="s">
        <v>18</v>
      </c>
    </row>
    <row r="2624">
      <c r="A2624" s="11" t="s">
        <v>1172</v>
      </c>
    </row>
    <row r="2625">
      <c r="A2625" s="11" t="s">
        <v>333</v>
      </c>
    </row>
    <row r="2626">
      <c r="A2626" s="11" t="s">
        <v>1174</v>
      </c>
    </row>
    <row r="2627">
      <c r="A2627" s="11" t="s">
        <v>335</v>
      </c>
    </row>
    <row r="2628">
      <c r="A2628" s="11" t="s">
        <v>151</v>
      </c>
    </row>
    <row r="2629">
      <c r="A2629" s="11" t="s">
        <v>16</v>
      </c>
    </row>
    <row r="2630">
      <c r="A2630" s="11" t="s">
        <v>151</v>
      </c>
    </row>
    <row r="2631">
      <c r="A2631" s="11" t="s">
        <v>25</v>
      </c>
    </row>
    <row r="2632">
      <c r="A2632" s="11" t="s">
        <v>26</v>
      </c>
    </row>
    <row r="2633">
      <c r="A2633" s="11" t="s">
        <v>17</v>
      </c>
    </row>
    <row r="2634">
      <c r="A2634" s="11">
        <v>223.0</v>
      </c>
    </row>
    <row r="2635">
      <c r="A2635" s="11" t="s">
        <v>18</v>
      </c>
    </row>
    <row r="2636">
      <c r="A2636" s="11" t="s">
        <v>1177</v>
      </c>
    </row>
    <row r="2637">
      <c r="A2637" s="11" t="s">
        <v>259</v>
      </c>
    </row>
    <row r="2638">
      <c r="A2638" s="11" t="s">
        <v>1179</v>
      </c>
    </row>
    <row r="2639">
      <c r="A2639" s="11" t="s">
        <v>121</v>
      </c>
    </row>
    <row r="2640">
      <c r="A2640" s="11">
        <v>164.0</v>
      </c>
    </row>
    <row r="2641">
      <c r="A2641" s="11" t="s">
        <v>16</v>
      </c>
    </row>
    <row r="2642">
      <c r="A2642" s="16">
        <v>1.0</v>
      </c>
    </row>
    <row r="2643">
      <c r="A2643" s="11" t="s">
        <v>25</v>
      </c>
    </row>
    <row r="2644">
      <c r="A2644" s="11" t="s">
        <v>26</v>
      </c>
    </row>
    <row r="2645">
      <c r="A2645" s="11" t="s">
        <v>17</v>
      </c>
    </row>
    <row r="2646">
      <c r="A2646" s="11">
        <v>224.0</v>
      </c>
    </row>
    <row r="2647">
      <c r="A2647" s="11" t="s">
        <v>18</v>
      </c>
    </row>
    <row r="2648">
      <c r="A2648" s="11" t="s">
        <v>1181</v>
      </c>
    </row>
    <row r="2649">
      <c r="A2649" s="11" t="s">
        <v>29</v>
      </c>
    </row>
    <row r="2650">
      <c r="A2650" s="11" t="s">
        <v>1183</v>
      </c>
    </row>
    <row r="2651">
      <c r="A2651" s="11" t="s">
        <v>31</v>
      </c>
    </row>
    <row r="2652">
      <c r="A2652" s="11" t="s">
        <v>151</v>
      </c>
    </row>
    <row r="2653">
      <c r="A2653" s="11" t="s">
        <v>16</v>
      </c>
    </row>
    <row r="2654">
      <c r="A2654" s="11" t="s">
        <v>151</v>
      </c>
    </row>
    <row r="2655">
      <c r="A2655" s="11" t="s">
        <v>25</v>
      </c>
    </row>
    <row r="2656">
      <c r="A2656" s="11" t="s">
        <v>26</v>
      </c>
    </row>
    <row r="2657">
      <c r="A2657" s="11" t="s">
        <v>17</v>
      </c>
    </row>
    <row r="2658">
      <c r="A2658" s="11">
        <v>225.0</v>
      </c>
    </row>
    <row r="2659">
      <c r="A2659" s="11" t="s">
        <v>1185</v>
      </c>
    </row>
    <row r="2660">
      <c r="A2660" s="11" t="s">
        <v>71</v>
      </c>
    </row>
    <row r="2661">
      <c r="A2661" s="11" t="s">
        <v>1187</v>
      </c>
    </row>
    <row r="2662">
      <c r="A2662" s="11" t="s">
        <v>23</v>
      </c>
    </row>
    <row r="2663">
      <c r="A2663" s="11" t="s">
        <v>151</v>
      </c>
    </row>
    <row r="2664">
      <c r="A2664" s="11" t="s">
        <v>16</v>
      </c>
    </row>
    <row r="2665">
      <c r="A2665" s="11" t="s">
        <v>151</v>
      </c>
    </row>
    <row r="2666">
      <c r="A2666" s="11" t="s">
        <v>25</v>
      </c>
    </row>
    <row r="2667">
      <c r="A2667" s="11" t="s">
        <v>26</v>
      </c>
    </row>
    <row r="2668">
      <c r="A2668" s="11" t="s">
        <v>17</v>
      </c>
    </row>
    <row r="2669">
      <c r="A2669" s="11">
        <v>226.0</v>
      </c>
    </row>
    <row r="2670">
      <c r="A2670" s="11" t="s">
        <v>1192</v>
      </c>
    </row>
    <row r="2671">
      <c r="A2671" s="11" t="s">
        <v>372</v>
      </c>
    </row>
    <row r="2672">
      <c r="A2672" s="11" t="s">
        <v>1193</v>
      </c>
    </row>
    <row r="2673">
      <c r="A2673" s="11" t="s">
        <v>335</v>
      </c>
    </row>
    <row r="2674">
      <c r="A2674" s="11" t="s">
        <v>151</v>
      </c>
    </row>
    <row r="2675">
      <c r="A2675" s="11" t="s">
        <v>16</v>
      </c>
    </row>
    <row r="2676">
      <c r="A2676" s="11" t="s">
        <v>151</v>
      </c>
    </row>
    <row r="2677">
      <c r="A2677" s="11" t="s">
        <v>25</v>
      </c>
    </row>
    <row r="2678">
      <c r="A2678" s="11" t="s">
        <v>26</v>
      </c>
    </row>
    <row r="2679">
      <c r="A2679" s="11" t="s">
        <v>17</v>
      </c>
    </row>
    <row r="2680">
      <c r="A2680" s="11">
        <v>227.0</v>
      </c>
    </row>
    <row r="2681">
      <c r="A2681" s="11" t="s">
        <v>18</v>
      </c>
    </row>
    <row r="2682">
      <c r="A2682" s="11" t="s">
        <v>1195</v>
      </c>
    </row>
    <row r="2683">
      <c r="A2683" s="11" t="s">
        <v>35</v>
      </c>
    </row>
    <row r="2684">
      <c r="A2684" s="11" t="s">
        <v>1196</v>
      </c>
    </row>
    <row r="2685">
      <c r="A2685" s="11" t="s">
        <v>37</v>
      </c>
    </row>
    <row r="2686">
      <c r="A2686" s="11" t="s">
        <v>151</v>
      </c>
    </row>
    <row r="2687">
      <c r="A2687" s="11" t="s">
        <v>16</v>
      </c>
    </row>
    <row r="2688">
      <c r="A2688" s="16">
        <v>1.0</v>
      </c>
    </row>
    <row r="2689">
      <c r="A2689" s="11" t="s">
        <v>25</v>
      </c>
    </row>
    <row r="2690">
      <c r="A2690" s="11" t="s">
        <v>26</v>
      </c>
    </row>
    <row r="2691">
      <c r="A2691" s="11" t="s">
        <v>17</v>
      </c>
    </row>
    <row r="2692">
      <c r="A2692" s="11">
        <v>228.0</v>
      </c>
    </row>
    <row r="2693">
      <c r="A2693" s="11" t="s">
        <v>18</v>
      </c>
    </row>
    <row r="2694">
      <c r="A2694" s="11" t="s">
        <v>1200</v>
      </c>
    </row>
    <row r="2695">
      <c r="A2695" s="11" t="s">
        <v>183</v>
      </c>
    </row>
    <row r="2696">
      <c r="A2696" s="11" t="s">
        <v>1201</v>
      </c>
    </row>
    <row r="2697">
      <c r="A2697" s="11" t="s">
        <v>44</v>
      </c>
    </row>
    <row r="2698">
      <c r="A2698" s="11" t="s">
        <v>151</v>
      </c>
    </row>
    <row r="2699">
      <c r="A2699" s="11" t="s">
        <v>16</v>
      </c>
    </row>
    <row r="2700">
      <c r="A2700" s="16">
        <v>1.0</v>
      </c>
    </row>
    <row r="2701">
      <c r="A2701" s="11" t="s">
        <v>25</v>
      </c>
    </row>
    <row r="2702">
      <c r="A2702" s="11" t="s">
        <v>26</v>
      </c>
    </row>
    <row r="2703">
      <c r="A2703" s="11" t="s">
        <v>17</v>
      </c>
    </row>
    <row r="2704">
      <c r="A2704" s="11">
        <v>229.0</v>
      </c>
    </row>
    <row r="2705">
      <c r="A2705" s="11" t="s">
        <v>1203</v>
      </c>
    </row>
    <row r="2706">
      <c r="A2706" s="11" t="s">
        <v>29</v>
      </c>
    </row>
    <row r="2707">
      <c r="A2707" s="11" t="s">
        <v>1205</v>
      </c>
    </row>
    <row r="2708">
      <c r="A2708" s="11" t="s">
        <v>31</v>
      </c>
    </row>
    <row r="2709">
      <c r="A2709" s="11" t="s">
        <v>151</v>
      </c>
    </row>
    <row r="2710">
      <c r="A2710" s="11" t="s">
        <v>16</v>
      </c>
    </row>
    <row r="2711">
      <c r="A2711" s="11" t="s">
        <v>151</v>
      </c>
    </row>
    <row r="2712">
      <c r="A2712" s="11" t="s">
        <v>25</v>
      </c>
    </row>
    <row r="2713">
      <c r="A2713" s="11" t="s">
        <v>26</v>
      </c>
    </row>
    <row r="2714">
      <c r="A2714" s="11" t="s">
        <v>17</v>
      </c>
    </row>
    <row r="2715">
      <c r="A2715" s="11">
        <v>230.0</v>
      </c>
    </row>
    <row r="2716">
      <c r="A2716" s="11" t="s">
        <v>18</v>
      </c>
    </row>
    <row r="2717">
      <c r="A2717" s="11" t="s">
        <v>1208</v>
      </c>
    </row>
    <row r="2718">
      <c r="A2718" s="11" t="s">
        <v>159</v>
      </c>
    </row>
    <row r="2719">
      <c r="A2719" s="11" t="s">
        <v>1209</v>
      </c>
    </row>
    <row r="2720">
      <c r="A2720" s="11" t="s">
        <v>31</v>
      </c>
    </row>
    <row r="2721">
      <c r="A2721" s="11">
        <v>152.0</v>
      </c>
    </row>
    <row r="2722">
      <c r="A2722" s="11" t="s">
        <v>16</v>
      </c>
    </row>
    <row r="2723">
      <c r="A2723" s="11" t="s">
        <v>151</v>
      </c>
    </row>
    <row r="2724">
      <c r="A2724" s="11" t="s">
        <v>25</v>
      </c>
    </row>
    <row r="2725">
      <c r="A2725" s="11" t="s">
        <v>26</v>
      </c>
    </row>
    <row r="2726">
      <c r="A2726" s="11" t="s">
        <v>17</v>
      </c>
    </row>
    <row r="2727">
      <c r="A2727" s="11">
        <v>231.0</v>
      </c>
    </row>
    <row r="2728">
      <c r="A2728" s="11" t="s">
        <v>1210</v>
      </c>
    </row>
    <row r="2729">
      <c r="A2729" s="11" t="s">
        <v>71</v>
      </c>
    </row>
    <row r="2730">
      <c r="A2730" s="11" t="s">
        <v>1212</v>
      </c>
    </row>
    <row r="2731">
      <c r="A2731" s="11" t="s">
        <v>23</v>
      </c>
    </row>
    <row r="2732">
      <c r="A2732" s="11" t="s">
        <v>151</v>
      </c>
    </row>
    <row r="2733">
      <c r="A2733" s="11" t="s">
        <v>16</v>
      </c>
    </row>
    <row r="2734">
      <c r="A2734" s="11" t="s">
        <v>151</v>
      </c>
    </row>
    <row r="2735">
      <c r="A2735" s="11" t="s">
        <v>25</v>
      </c>
    </row>
    <row r="2736">
      <c r="A2736" s="11" t="s">
        <v>26</v>
      </c>
    </row>
    <row r="2737">
      <c r="A2737" s="11" t="s">
        <v>17</v>
      </c>
    </row>
    <row r="2738">
      <c r="A2738" s="11">
        <v>232.0</v>
      </c>
    </row>
    <row r="2739">
      <c r="A2739" s="11" t="s">
        <v>1216</v>
      </c>
    </row>
    <row r="2740">
      <c r="A2740" s="11" t="s">
        <v>88</v>
      </c>
    </row>
    <row r="2741">
      <c r="A2741" s="11" t="s">
        <v>1217</v>
      </c>
    </row>
    <row r="2742">
      <c r="A2742" s="11" t="s">
        <v>23</v>
      </c>
    </row>
    <row r="2743">
      <c r="A2743" s="11">
        <v>123.8</v>
      </c>
    </row>
    <row r="2744">
      <c r="A2744" s="11" t="s">
        <v>16</v>
      </c>
    </row>
    <row r="2745">
      <c r="A2745" s="11" t="s">
        <v>151</v>
      </c>
    </row>
    <row r="2746">
      <c r="A2746" s="11" t="s">
        <v>25</v>
      </c>
    </row>
    <row r="2747">
      <c r="A2747" s="11" t="s">
        <v>26</v>
      </c>
    </row>
    <row r="2748">
      <c r="A2748" s="11" t="s">
        <v>17</v>
      </c>
    </row>
    <row r="2749">
      <c r="A2749" s="11">
        <v>233.0</v>
      </c>
    </row>
    <row r="2750">
      <c r="A2750" s="11" t="s">
        <v>18</v>
      </c>
    </row>
    <row r="2751">
      <c r="A2751" s="11" t="s">
        <v>1218</v>
      </c>
    </row>
    <row r="2752">
      <c r="A2752" s="11" t="s">
        <v>53</v>
      </c>
    </row>
    <row r="2753">
      <c r="A2753" s="11" t="s">
        <v>1222</v>
      </c>
    </row>
    <row r="2754">
      <c r="A2754" s="11" t="s">
        <v>23</v>
      </c>
    </row>
    <row r="2755">
      <c r="A2755" s="11" t="s">
        <v>151</v>
      </c>
    </row>
    <row r="2756">
      <c r="A2756" s="11" t="s">
        <v>16</v>
      </c>
    </row>
    <row r="2757">
      <c r="A2757" s="16">
        <v>1.0</v>
      </c>
    </row>
    <row r="2758">
      <c r="A2758" s="11" t="s">
        <v>25</v>
      </c>
    </row>
    <row r="2759">
      <c r="A2759" s="11" t="s">
        <v>26</v>
      </c>
    </row>
    <row r="2760">
      <c r="A2760" s="11" t="s">
        <v>17</v>
      </c>
    </row>
    <row r="2761">
      <c r="A2761" s="11">
        <v>234.0</v>
      </c>
    </row>
    <row r="2762">
      <c r="A2762" s="11" t="s">
        <v>1225</v>
      </c>
    </row>
    <row r="2763">
      <c r="A2763" s="11" t="s">
        <v>20</v>
      </c>
    </row>
    <row r="2764">
      <c r="A2764" s="11" t="s">
        <v>1226</v>
      </c>
    </row>
    <row r="2765">
      <c r="A2765" s="11" t="s">
        <v>23</v>
      </c>
    </row>
    <row r="2766">
      <c r="A2766" s="11">
        <v>148.0</v>
      </c>
    </row>
    <row r="2767">
      <c r="A2767" s="11" t="s">
        <v>16</v>
      </c>
    </row>
    <row r="2768">
      <c r="A2768" s="11" t="s">
        <v>151</v>
      </c>
    </row>
    <row r="2769">
      <c r="A2769" s="11" t="s">
        <v>25</v>
      </c>
    </row>
    <row r="2770">
      <c r="A2770" s="11" t="s">
        <v>26</v>
      </c>
    </row>
    <row r="2771">
      <c r="A2771" s="11" t="s">
        <v>17</v>
      </c>
    </row>
    <row r="2772">
      <c r="A2772" s="11">
        <v>235.0</v>
      </c>
    </row>
    <row r="2773">
      <c r="A2773" s="11" t="s">
        <v>18</v>
      </c>
    </row>
    <row r="2774">
      <c r="A2774" s="11" t="s">
        <v>1228</v>
      </c>
    </row>
    <row r="2775">
      <c r="A2775" s="11" t="s">
        <v>20</v>
      </c>
    </row>
    <row r="2776">
      <c r="A2776" s="11" t="s">
        <v>1229</v>
      </c>
    </row>
    <row r="2777">
      <c r="A2777" s="11" t="s">
        <v>23</v>
      </c>
    </row>
    <row r="2778">
      <c r="A2778" s="11">
        <v>148.6</v>
      </c>
    </row>
    <row r="2779">
      <c r="A2779" s="11" t="s">
        <v>16</v>
      </c>
    </row>
    <row r="2780">
      <c r="A2780" s="11" t="s">
        <v>151</v>
      </c>
    </row>
    <row r="2781">
      <c r="A2781" s="11" t="s">
        <v>25</v>
      </c>
    </row>
    <row r="2782">
      <c r="A2782" s="11" t="s">
        <v>26</v>
      </c>
    </row>
    <row r="2783">
      <c r="A2783" s="11" t="s">
        <v>17</v>
      </c>
    </row>
    <row r="2784">
      <c r="A2784" s="11">
        <v>236.0</v>
      </c>
    </row>
    <row r="2785">
      <c r="A2785" s="11" t="s">
        <v>18</v>
      </c>
    </row>
    <row r="2786">
      <c r="A2786" s="11" t="s">
        <v>1233</v>
      </c>
    </row>
    <row r="2787">
      <c r="A2787" s="11" t="s">
        <v>88</v>
      </c>
    </row>
    <row r="2788">
      <c r="A2788" s="11" t="s">
        <v>1234</v>
      </c>
    </row>
    <row r="2789">
      <c r="A2789" s="11" t="s">
        <v>23</v>
      </c>
    </row>
    <row r="2790">
      <c r="A2790" s="11">
        <v>196.5</v>
      </c>
    </row>
    <row r="2791">
      <c r="A2791" s="11" t="s">
        <v>16</v>
      </c>
    </row>
    <row r="2792">
      <c r="A2792" s="11" t="s">
        <v>151</v>
      </c>
    </row>
    <row r="2793">
      <c r="A2793" s="11" t="s">
        <v>25</v>
      </c>
    </row>
    <row r="2794">
      <c r="A2794" s="11" t="s">
        <v>26</v>
      </c>
    </row>
    <row r="2795">
      <c r="A2795" s="11" t="s">
        <v>17</v>
      </c>
    </row>
    <row r="2796">
      <c r="A2796" s="11">
        <v>237.0</v>
      </c>
    </row>
    <row r="2797">
      <c r="A2797" s="11" t="s">
        <v>1236</v>
      </c>
    </row>
    <row r="2798">
      <c r="A2798" s="11" t="s">
        <v>29</v>
      </c>
    </row>
    <row r="2799">
      <c r="A2799" s="11" t="s">
        <v>1237</v>
      </c>
    </row>
    <row r="2800">
      <c r="A2800" s="11" t="s">
        <v>31</v>
      </c>
    </row>
    <row r="2801">
      <c r="A2801" s="11">
        <v>138.4</v>
      </c>
    </row>
    <row r="2802">
      <c r="A2802" s="11" t="s">
        <v>16</v>
      </c>
    </row>
    <row r="2803">
      <c r="A2803" s="11" t="s">
        <v>151</v>
      </c>
    </row>
    <row r="2804">
      <c r="A2804" s="11" t="s">
        <v>25</v>
      </c>
    </row>
    <row r="2805">
      <c r="A2805" s="11" t="s">
        <v>26</v>
      </c>
    </row>
    <row r="2806">
      <c r="A2806" s="11" t="s">
        <v>17</v>
      </c>
    </row>
    <row r="2807">
      <c r="A2807" s="11">
        <v>238.0</v>
      </c>
    </row>
    <row r="2808">
      <c r="A2808" s="11" t="s">
        <v>1241</v>
      </c>
    </row>
    <row r="2809">
      <c r="A2809" s="11" t="s">
        <v>236</v>
      </c>
    </row>
    <row r="2810">
      <c r="A2810" s="11" t="s">
        <v>1242</v>
      </c>
    </row>
    <row r="2811">
      <c r="A2811" s="11" t="s">
        <v>31</v>
      </c>
    </row>
    <row r="2812">
      <c r="A2812" s="11">
        <v>166.0</v>
      </c>
    </row>
    <row r="2813">
      <c r="A2813" s="11" t="s">
        <v>16</v>
      </c>
    </row>
    <row r="2814">
      <c r="A2814" s="11" t="s">
        <v>151</v>
      </c>
    </row>
    <row r="2815">
      <c r="A2815" s="11" t="s">
        <v>25</v>
      </c>
    </row>
    <row r="2816">
      <c r="A2816" s="11" t="s">
        <v>26</v>
      </c>
    </row>
    <row r="2817">
      <c r="A2817" s="11" t="s">
        <v>17</v>
      </c>
    </row>
    <row r="2818">
      <c r="A2818" s="11">
        <v>239.0</v>
      </c>
    </row>
    <row r="2819">
      <c r="A2819" s="11" t="s">
        <v>18</v>
      </c>
    </row>
    <row r="2820">
      <c r="A2820" s="11" t="s">
        <v>1244</v>
      </c>
    </row>
    <row r="2821">
      <c r="A2821" s="11" t="s">
        <v>131</v>
      </c>
    </row>
    <row r="2822">
      <c r="A2822" s="11" t="s">
        <v>1245</v>
      </c>
    </row>
    <row r="2823">
      <c r="A2823" s="11" t="s">
        <v>62</v>
      </c>
    </row>
    <row r="2824">
      <c r="A2824" s="11" t="s">
        <v>151</v>
      </c>
    </row>
    <row r="2825">
      <c r="A2825" s="11" t="s">
        <v>16</v>
      </c>
    </row>
    <row r="2826">
      <c r="A2826" s="16">
        <v>1.0</v>
      </c>
    </row>
    <row r="2827">
      <c r="A2827" s="11" t="s">
        <v>25</v>
      </c>
    </row>
    <row r="2828">
      <c r="A2828" s="11" t="s">
        <v>26</v>
      </c>
    </row>
    <row r="2829">
      <c r="A2829" s="11" t="s">
        <v>17</v>
      </c>
    </row>
    <row r="2830">
      <c r="A2830" s="11">
        <v>240.0</v>
      </c>
    </row>
    <row r="2831">
      <c r="A2831" s="11" t="s">
        <v>18</v>
      </c>
    </row>
    <row r="2832">
      <c r="A2832" s="11" t="s">
        <v>1249</v>
      </c>
    </row>
    <row r="2833">
      <c r="A2833" s="11" t="s">
        <v>59</v>
      </c>
    </row>
    <row r="2834">
      <c r="A2834" s="11" t="s">
        <v>1252</v>
      </c>
    </row>
    <row r="2835">
      <c r="A2835" s="11" t="s">
        <v>62</v>
      </c>
    </row>
    <row r="2836">
      <c r="A2836" s="11" t="s">
        <v>151</v>
      </c>
    </row>
    <row r="2837">
      <c r="A2837" s="11" t="s">
        <v>16</v>
      </c>
    </row>
    <row r="2838">
      <c r="A2838" s="11" t="s">
        <v>151</v>
      </c>
    </row>
    <row r="2839">
      <c r="A2839" s="11" t="s">
        <v>25</v>
      </c>
    </row>
    <row r="2840">
      <c r="A2840" s="11" t="s">
        <v>26</v>
      </c>
    </row>
    <row r="2841">
      <c r="A2841" s="11" t="s">
        <v>17</v>
      </c>
    </row>
    <row r="2842">
      <c r="A2842" s="11">
        <v>241.0</v>
      </c>
    </row>
    <row r="2843">
      <c r="A2843" s="11" t="s">
        <v>18</v>
      </c>
    </row>
    <row r="2844">
      <c r="A2844" s="11" t="s">
        <v>1253</v>
      </c>
    </row>
    <row r="2845">
      <c r="A2845" s="11" t="s">
        <v>159</v>
      </c>
    </row>
    <row r="2846">
      <c r="A2846" s="11" t="s">
        <v>1254</v>
      </c>
    </row>
    <row r="2847">
      <c r="A2847" s="11" t="s">
        <v>31</v>
      </c>
    </row>
    <row r="2848">
      <c r="A2848" s="11" t="s">
        <v>151</v>
      </c>
    </row>
    <row r="2849">
      <c r="A2849" s="11" t="s">
        <v>16</v>
      </c>
    </row>
    <row r="2850">
      <c r="A2850" s="11" t="s">
        <v>151</v>
      </c>
    </row>
    <row r="2851">
      <c r="A2851" s="11" t="s">
        <v>25</v>
      </c>
    </row>
    <row r="2852">
      <c r="A2852" s="11" t="s">
        <v>26</v>
      </c>
    </row>
    <row r="2853">
      <c r="A2853" s="11" t="s">
        <v>17</v>
      </c>
    </row>
    <row r="2854">
      <c r="A2854" s="11">
        <v>242.0</v>
      </c>
    </row>
    <row r="2855">
      <c r="A2855" s="11" t="s">
        <v>18</v>
      </c>
    </row>
    <row r="2856">
      <c r="A2856" s="11" t="s">
        <v>1259</v>
      </c>
    </row>
    <row r="2857">
      <c r="A2857" s="11" t="s">
        <v>166</v>
      </c>
    </row>
    <row r="2858">
      <c r="A2858" s="11" t="s">
        <v>1260</v>
      </c>
    </row>
    <row r="2859">
      <c r="A2859" s="11" t="s">
        <v>44</v>
      </c>
    </row>
    <row r="2860">
      <c r="A2860" s="11">
        <v>144.0</v>
      </c>
    </row>
    <row r="2861">
      <c r="A2861" s="11" t="s">
        <v>16</v>
      </c>
    </row>
    <row r="2862">
      <c r="A2862" s="16">
        <v>1.0</v>
      </c>
    </row>
    <row r="2863">
      <c r="A2863" s="11" t="s">
        <v>25</v>
      </c>
    </row>
    <row r="2864">
      <c r="A2864" s="11" t="s">
        <v>26</v>
      </c>
    </row>
    <row r="2865">
      <c r="A2865" s="11" t="s">
        <v>17</v>
      </c>
    </row>
    <row r="2866">
      <c r="A2866" s="11">
        <v>243.0</v>
      </c>
    </row>
    <row r="2867">
      <c r="A2867" s="11" t="s">
        <v>1262</v>
      </c>
    </row>
    <row r="2868">
      <c r="A2868" s="11" t="s">
        <v>88</v>
      </c>
    </row>
    <row r="2869">
      <c r="A2869" s="11" t="s">
        <v>1263</v>
      </c>
    </row>
    <row r="2870">
      <c r="A2870" s="11" t="s">
        <v>23</v>
      </c>
    </row>
    <row r="2871">
      <c r="A2871" s="11" t="s">
        <v>151</v>
      </c>
    </row>
    <row r="2872">
      <c r="A2872" s="11" t="s">
        <v>16</v>
      </c>
    </row>
    <row r="2873">
      <c r="A2873" s="11" t="s">
        <v>151</v>
      </c>
    </row>
    <row r="2874">
      <c r="A2874" s="11" t="s">
        <v>25</v>
      </c>
    </row>
    <row r="2875">
      <c r="A2875" s="11" t="s">
        <v>26</v>
      </c>
    </row>
    <row r="2876">
      <c r="A2876" s="11" t="s">
        <v>17</v>
      </c>
    </row>
    <row r="2877">
      <c r="A2877" s="11">
        <v>244.0</v>
      </c>
    </row>
    <row r="2878">
      <c r="A2878" s="11" t="s">
        <v>18</v>
      </c>
    </row>
    <row r="2879">
      <c r="A2879" s="11" t="s">
        <v>1266</v>
      </c>
    </row>
    <row r="2880">
      <c r="A2880" s="11" t="s">
        <v>94</v>
      </c>
    </row>
    <row r="2881">
      <c r="A2881" s="11" t="s">
        <v>1268</v>
      </c>
    </row>
    <row r="2882">
      <c r="A2882" s="11" t="s">
        <v>98</v>
      </c>
    </row>
    <row r="2883">
      <c r="A2883" s="11">
        <v>188.0</v>
      </c>
    </row>
    <row r="2884">
      <c r="A2884" s="11" t="s">
        <v>16</v>
      </c>
    </row>
    <row r="2885">
      <c r="A2885" s="11" t="s">
        <v>151</v>
      </c>
    </row>
    <row r="2886">
      <c r="A2886" s="11" t="s">
        <v>25</v>
      </c>
    </row>
    <row r="2887">
      <c r="A2887" s="11" t="s">
        <v>26</v>
      </c>
    </row>
    <row r="2888">
      <c r="A2888" s="11" t="s">
        <v>17</v>
      </c>
    </row>
    <row r="2889">
      <c r="A2889" s="11">
        <v>245.0</v>
      </c>
    </row>
    <row r="2890">
      <c r="A2890" s="11" t="s">
        <v>1269</v>
      </c>
    </row>
    <row r="2891">
      <c r="A2891" s="11" t="s">
        <v>78</v>
      </c>
    </row>
    <row r="2892">
      <c r="A2892" s="11" t="s">
        <v>1270</v>
      </c>
    </row>
    <row r="2893">
      <c r="A2893" s="11" t="s">
        <v>37</v>
      </c>
    </row>
    <row r="2894">
      <c r="A2894" s="11" t="s">
        <v>151</v>
      </c>
    </row>
    <row r="2895">
      <c r="A2895" s="11" t="s">
        <v>16</v>
      </c>
    </row>
    <row r="2896">
      <c r="A2896" s="11" t="s">
        <v>151</v>
      </c>
    </row>
    <row r="2897">
      <c r="A2897" s="11" t="s">
        <v>25</v>
      </c>
    </row>
    <row r="2898">
      <c r="A2898" s="11" t="s">
        <v>26</v>
      </c>
    </row>
    <row r="2899">
      <c r="A2899" s="11" t="s">
        <v>17</v>
      </c>
    </row>
    <row r="2900">
      <c r="A2900" s="11">
        <v>246.0</v>
      </c>
    </row>
    <row r="2901">
      <c r="A2901" s="11" t="s">
        <v>18</v>
      </c>
    </row>
    <row r="2902">
      <c r="A2902" s="11" t="s">
        <v>1276</v>
      </c>
    </row>
    <row r="2903">
      <c r="A2903" s="11" t="s">
        <v>319</v>
      </c>
    </row>
    <row r="2904">
      <c r="A2904" s="11" t="s">
        <v>1278</v>
      </c>
    </row>
    <row r="2905">
      <c r="A2905" s="11" t="s">
        <v>121</v>
      </c>
    </row>
    <row r="2906">
      <c r="A2906" s="11" t="s">
        <v>151</v>
      </c>
    </row>
    <row r="2907">
      <c r="A2907" s="11" t="s">
        <v>16</v>
      </c>
    </row>
    <row r="2908">
      <c r="A2908" s="16">
        <v>6.0</v>
      </c>
    </row>
    <row r="2909">
      <c r="A2909" s="11" t="s">
        <v>25</v>
      </c>
    </row>
    <row r="2910">
      <c r="A2910" s="11" t="s">
        <v>26</v>
      </c>
    </row>
    <row r="2911">
      <c r="A2911" s="11" t="s">
        <v>17</v>
      </c>
    </row>
    <row r="2912">
      <c r="A2912" s="11">
        <v>247.0</v>
      </c>
    </row>
    <row r="2913">
      <c r="A2913" s="11" t="s">
        <v>18</v>
      </c>
    </row>
    <row r="2914">
      <c r="A2914" s="11" t="s">
        <v>1279</v>
      </c>
    </row>
    <row r="2915">
      <c r="A2915" s="11" t="s">
        <v>71</v>
      </c>
    </row>
    <row r="2916">
      <c r="A2916" s="11" t="s">
        <v>1280</v>
      </c>
    </row>
    <row r="2917">
      <c r="A2917" s="11" t="s">
        <v>23</v>
      </c>
    </row>
    <row r="2918">
      <c r="A2918" s="11" t="s">
        <v>151</v>
      </c>
    </row>
    <row r="2919">
      <c r="A2919" s="11" t="s">
        <v>16</v>
      </c>
    </row>
    <row r="2920">
      <c r="A2920" s="16">
        <v>4.0</v>
      </c>
    </row>
    <row r="2921">
      <c r="A2921" s="11" t="s">
        <v>25</v>
      </c>
    </row>
    <row r="2922">
      <c r="A2922" s="11" t="s">
        <v>26</v>
      </c>
    </row>
    <row r="2923">
      <c r="A2923" s="11" t="s">
        <v>17</v>
      </c>
    </row>
    <row r="2924">
      <c r="A2924" s="11">
        <v>248.0</v>
      </c>
    </row>
    <row r="2925">
      <c r="A2925" s="11" t="s">
        <v>1285</v>
      </c>
    </row>
    <row r="2926">
      <c r="A2926" s="11" t="s">
        <v>94</v>
      </c>
    </row>
    <row r="2927">
      <c r="A2927" s="11" t="s">
        <v>1286</v>
      </c>
    </row>
    <row r="2928">
      <c r="A2928" s="11" t="s">
        <v>98</v>
      </c>
    </row>
    <row r="2929">
      <c r="A2929" s="11">
        <v>193.0</v>
      </c>
    </row>
    <row r="2930">
      <c r="A2930" s="11" t="s">
        <v>16</v>
      </c>
    </row>
    <row r="2931">
      <c r="A2931" s="11" t="s">
        <v>151</v>
      </c>
    </row>
    <row r="2932">
      <c r="A2932" s="11" t="s">
        <v>25</v>
      </c>
    </row>
    <row r="2933">
      <c r="A2933" s="11" t="s">
        <v>26</v>
      </c>
    </row>
    <row r="2934">
      <c r="A2934" s="11" t="s">
        <v>17</v>
      </c>
    </row>
    <row r="2935">
      <c r="A2935" s="11">
        <v>249.0</v>
      </c>
    </row>
    <row r="2936">
      <c r="A2936" s="11" t="s">
        <v>18</v>
      </c>
    </row>
    <row r="2937">
      <c r="A2937" s="11" t="s">
        <v>1288</v>
      </c>
    </row>
    <row r="2938">
      <c r="A2938" s="11" t="s">
        <v>266</v>
      </c>
    </row>
    <row r="2939">
      <c r="A2939" s="11" t="s">
        <v>1291</v>
      </c>
    </row>
    <row r="2940">
      <c r="A2940" s="11" t="s">
        <v>44</v>
      </c>
    </row>
    <row r="2941">
      <c r="A2941" s="11" t="s">
        <v>151</v>
      </c>
    </row>
    <row r="2942">
      <c r="A2942" s="11" t="s">
        <v>16</v>
      </c>
    </row>
    <row r="2943">
      <c r="A2943" s="16">
        <v>1.0</v>
      </c>
    </row>
    <row r="2944">
      <c r="A2944" s="11" t="s">
        <v>25</v>
      </c>
    </row>
    <row r="2945">
      <c r="A2945" s="11" t="s">
        <v>26</v>
      </c>
    </row>
    <row r="2946">
      <c r="A2946" s="11" t="s">
        <v>17</v>
      </c>
    </row>
    <row r="2947">
      <c r="A2947" s="11">
        <v>250.0</v>
      </c>
    </row>
    <row r="2948">
      <c r="A2948" s="11" t="s">
        <v>18</v>
      </c>
    </row>
    <row r="2949">
      <c r="A2949" s="11" t="s">
        <v>1293</v>
      </c>
    </row>
    <row r="2950">
      <c r="A2950" s="11" t="s">
        <v>66</v>
      </c>
    </row>
    <row r="2951">
      <c r="A2951" s="11" t="s">
        <v>1294</v>
      </c>
    </row>
    <row r="2952">
      <c r="A2952" s="11" t="s">
        <v>31</v>
      </c>
    </row>
    <row r="2953">
      <c r="A2953" s="11">
        <v>173.0</v>
      </c>
    </row>
    <row r="2954">
      <c r="A2954" s="11" t="s">
        <v>16</v>
      </c>
    </row>
    <row r="2955">
      <c r="A2955" s="16">
        <v>7.0</v>
      </c>
    </row>
    <row r="2956">
      <c r="A2956" s="11" t="s">
        <v>25</v>
      </c>
    </row>
    <row r="2957">
      <c r="A2957" s="11" t="s">
        <v>26</v>
      </c>
    </row>
    <row r="2958">
      <c r="A2958" s="11" t="s">
        <v>17</v>
      </c>
    </row>
    <row r="2959">
      <c r="A2959" s="11">
        <v>251.0</v>
      </c>
    </row>
    <row r="2960">
      <c r="A2960" s="11" t="s">
        <v>18</v>
      </c>
    </row>
    <row r="2961">
      <c r="A2961" s="11" t="s">
        <v>1300</v>
      </c>
    </row>
    <row r="2962">
      <c r="A2962" s="11" t="s">
        <v>94</v>
      </c>
    </row>
    <row r="2963">
      <c r="A2963" s="11" t="s">
        <v>1302</v>
      </c>
    </row>
    <row r="2964">
      <c r="A2964" s="11" t="s">
        <v>98</v>
      </c>
    </row>
    <row r="2965">
      <c r="A2965" s="11" t="s">
        <v>151</v>
      </c>
    </row>
    <row r="2966">
      <c r="A2966" s="11" t="s">
        <v>16</v>
      </c>
    </row>
    <row r="2967">
      <c r="A2967" s="11" t="s">
        <v>151</v>
      </c>
    </row>
    <row r="2968">
      <c r="A2968" s="11" t="s">
        <v>25</v>
      </c>
    </row>
    <row r="2969">
      <c r="A2969" s="11" t="s">
        <v>26</v>
      </c>
    </row>
    <row r="2970">
      <c r="A2970" s="11" t="s">
        <v>17</v>
      </c>
    </row>
    <row r="2971">
      <c r="A2971" s="11">
        <v>252.0</v>
      </c>
    </row>
    <row r="2972">
      <c r="A2972" s="11" t="s">
        <v>18</v>
      </c>
    </row>
    <row r="2973">
      <c r="A2973" s="11" t="s">
        <v>1305</v>
      </c>
    </row>
    <row r="2974">
      <c r="A2974" s="11" t="s">
        <v>71</v>
      </c>
    </row>
    <row r="2975">
      <c r="A2975" s="11" t="s">
        <v>1307</v>
      </c>
    </row>
    <row r="2976">
      <c r="A2976" s="11" t="s">
        <v>23</v>
      </c>
    </row>
    <row r="2977">
      <c r="A2977" s="11" t="s">
        <v>151</v>
      </c>
    </row>
    <row r="2978">
      <c r="A2978" s="11" t="s">
        <v>16</v>
      </c>
    </row>
    <row r="2979">
      <c r="A2979" s="16">
        <v>1.0</v>
      </c>
    </row>
    <row r="2980">
      <c r="A2980" s="11" t="s">
        <v>25</v>
      </c>
    </row>
    <row r="2981">
      <c r="A2981" s="11" t="s">
        <v>26</v>
      </c>
    </row>
    <row r="2982">
      <c r="A2982" s="11" t="s">
        <v>17</v>
      </c>
    </row>
    <row r="2983">
      <c r="A2983" s="11">
        <v>253.0</v>
      </c>
    </row>
    <row r="2984">
      <c r="A2984" s="11" t="s">
        <v>18</v>
      </c>
    </row>
    <row r="2985">
      <c r="A2985" s="11" t="s">
        <v>1309</v>
      </c>
    </row>
    <row r="2986">
      <c r="A2986" s="11" t="s">
        <v>319</v>
      </c>
    </row>
    <row r="2987">
      <c r="A2987" s="11" t="s">
        <v>1310</v>
      </c>
    </row>
    <row r="2988">
      <c r="A2988" s="11" t="s">
        <v>121</v>
      </c>
    </row>
    <row r="2989">
      <c r="A2989" s="11" t="s">
        <v>151</v>
      </c>
    </row>
    <row r="2990">
      <c r="A2990" s="11" t="s">
        <v>16</v>
      </c>
    </row>
    <row r="2991">
      <c r="A2991" s="16">
        <v>1.0</v>
      </c>
    </row>
    <row r="2992">
      <c r="A2992" s="11" t="s">
        <v>25</v>
      </c>
    </row>
    <row r="2993">
      <c r="A2993" s="11" t="s">
        <v>26</v>
      </c>
    </row>
    <row r="2994">
      <c r="A2994" s="11" t="s">
        <v>17</v>
      </c>
    </row>
    <row r="2995">
      <c r="A2995" s="11">
        <v>254.0</v>
      </c>
    </row>
    <row r="2996">
      <c r="A2996" s="11" t="s">
        <v>18</v>
      </c>
    </row>
    <row r="2997">
      <c r="A2997" s="11" t="s">
        <v>1316</v>
      </c>
    </row>
    <row r="2998">
      <c r="A2998" s="11" t="s">
        <v>125</v>
      </c>
    </row>
    <row r="2999">
      <c r="A2999" s="11" t="s">
        <v>1317</v>
      </c>
    </row>
    <row r="3000">
      <c r="A3000" s="11" t="s">
        <v>37</v>
      </c>
    </row>
    <row r="3001">
      <c r="A3001" s="11">
        <v>165.0</v>
      </c>
    </row>
    <row r="3002">
      <c r="A3002" s="11" t="s">
        <v>16</v>
      </c>
    </row>
    <row r="3003">
      <c r="A3003" s="16">
        <v>1.0</v>
      </c>
    </row>
    <row r="3004">
      <c r="A3004" s="11" t="s">
        <v>25</v>
      </c>
    </row>
    <row r="3005">
      <c r="A3005" s="11" t="s">
        <v>26</v>
      </c>
    </row>
    <row r="3006">
      <c r="A3006" s="11" t="s">
        <v>17</v>
      </c>
    </row>
    <row r="3007">
      <c r="A3007" s="11">
        <v>255.0</v>
      </c>
    </row>
    <row r="3008">
      <c r="A3008" s="11" t="s">
        <v>1321</v>
      </c>
    </row>
    <row r="3009">
      <c r="A3009" s="11" t="s">
        <v>125</v>
      </c>
    </row>
    <row r="3010">
      <c r="A3010" s="11" t="s">
        <v>1323</v>
      </c>
    </row>
    <row r="3011">
      <c r="A3011" s="11" t="s">
        <v>37</v>
      </c>
    </row>
    <row r="3012">
      <c r="A3012" s="11">
        <v>156.0</v>
      </c>
    </row>
    <row r="3013">
      <c r="A3013" s="11" t="s">
        <v>16</v>
      </c>
    </row>
    <row r="3014">
      <c r="A3014" s="11" t="s">
        <v>151</v>
      </c>
    </row>
    <row r="3015">
      <c r="A3015" s="11" t="s">
        <v>25</v>
      </c>
    </row>
    <row r="3016">
      <c r="A3016" s="11" t="s">
        <v>26</v>
      </c>
    </row>
    <row r="3017">
      <c r="A3017" s="11" t="s">
        <v>17</v>
      </c>
    </row>
    <row r="3018">
      <c r="A3018" s="11">
        <v>256.0</v>
      </c>
    </row>
    <row r="3019">
      <c r="A3019" s="11" t="s">
        <v>18</v>
      </c>
    </row>
    <row r="3020">
      <c r="A3020" s="11" t="s">
        <v>1327</v>
      </c>
    </row>
    <row r="3021">
      <c r="A3021" s="11" t="s">
        <v>248</v>
      </c>
    </row>
    <row r="3022">
      <c r="A3022" s="11" t="s">
        <v>1329</v>
      </c>
    </row>
    <row r="3023">
      <c r="A3023" s="11" t="s">
        <v>98</v>
      </c>
    </row>
    <row r="3024">
      <c r="A3024" s="11">
        <v>183.0</v>
      </c>
    </row>
    <row r="3025">
      <c r="A3025" s="11" t="s">
        <v>16</v>
      </c>
    </row>
    <row r="3026">
      <c r="A3026" s="16">
        <v>1.0</v>
      </c>
    </row>
    <row r="3027">
      <c r="A3027" s="11" t="s">
        <v>25</v>
      </c>
    </row>
    <row r="3028">
      <c r="A3028" s="11" t="s">
        <v>26</v>
      </c>
    </row>
    <row r="3029">
      <c r="A3029" s="11" t="s">
        <v>17</v>
      </c>
    </row>
    <row r="3030">
      <c r="A3030" s="11">
        <v>257.0</v>
      </c>
    </row>
    <row r="3031">
      <c r="A3031" s="11" t="s">
        <v>18</v>
      </c>
    </row>
    <row r="3032">
      <c r="A3032" s="11" t="s">
        <v>1331</v>
      </c>
    </row>
    <row r="3033">
      <c r="A3033" s="11" t="s">
        <v>78</v>
      </c>
    </row>
    <row r="3034">
      <c r="A3034" s="11" t="s">
        <v>1333</v>
      </c>
    </row>
    <row r="3035">
      <c r="A3035" s="11" t="s">
        <v>37</v>
      </c>
    </row>
    <row r="3036">
      <c r="A3036" s="11" t="s">
        <v>151</v>
      </c>
    </row>
    <row r="3037">
      <c r="A3037" s="11" t="s">
        <v>16</v>
      </c>
    </row>
    <row r="3038">
      <c r="A3038" s="11" t="s">
        <v>151</v>
      </c>
    </row>
    <row r="3039">
      <c r="A3039" s="11" t="s">
        <v>25</v>
      </c>
    </row>
    <row r="3040">
      <c r="A3040" s="11" t="s">
        <v>26</v>
      </c>
    </row>
    <row r="3041">
      <c r="A3041" s="11" t="s">
        <v>17</v>
      </c>
    </row>
    <row r="3042">
      <c r="A3042" s="11">
        <v>258.0</v>
      </c>
    </row>
    <row r="3043">
      <c r="A3043" s="11" t="s">
        <v>18</v>
      </c>
    </row>
    <row r="3044">
      <c r="A3044" s="11" t="s">
        <v>1336</v>
      </c>
    </row>
    <row r="3045">
      <c r="A3045" s="11" t="s">
        <v>142</v>
      </c>
    </row>
    <row r="3046">
      <c r="A3046" s="11" t="s">
        <v>1338</v>
      </c>
    </row>
    <row r="3047">
      <c r="A3047" s="11" t="s">
        <v>31</v>
      </c>
    </row>
    <row r="3048">
      <c r="A3048" s="11" t="s">
        <v>151</v>
      </c>
    </row>
    <row r="3049">
      <c r="A3049" s="11" t="s">
        <v>16</v>
      </c>
    </row>
    <row r="3050">
      <c r="A3050" s="11" t="s">
        <v>151</v>
      </c>
    </row>
    <row r="3051">
      <c r="A3051" s="11" t="s">
        <v>25</v>
      </c>
    </row>
    <row r="3052">
      <c r="A3052" s="11" t="s">
        <v>26</v>
      </c>
    </row>
    <row r="3053">
      <c r="A3053" s="11" t="s">
        <v>17</v>
      </c>
    </row>
    <row r="3054">
      <c r="A3054" s="11">
        <v>259.0</v>
      </c>
    </row>
    <row r="3055">
      <c r="A3055" s="11" t="s">
        <v>18</v>
      </c>
    </row>
    <row r="3056">
      <c r="A3056" s="11" t="s">
        <v>1343</v>
      </c>
    </row>
    <row r="3057">
      <c r="A3057" s="11" t="s">
        <v>78</v>
      </c>
    </row>
    <row r="3058">
      <c r="A3058" s="11" t="s">
        <v>1344</v>
      </c>
    </row>
    <row r="3059">
      <c r="A3059" s="11" t="s">
        <v>37</v>
      </c>
    </row>
    <row r="3060">
      <c r="A3060" s="11" t="s">
        <v>151</v>
      </c>
    </row>
    <row r="3061">
      <c r="A3061" s="11" t="s">
        <v>16</v>
      </c>
    </row>
    <row r="3062">
      <c r="A3062" s="16">
        <v>1.0</v>
      </c>
    </row>
    <row r="3063">
      <c r="A3063" s="11" t="s">
        <v>25</v>
      </c>
    </row>
    <row r="3064">
      <c r="A3064" s="11" t="s">
        <v>26</v>
      </c>
    </row>
    <row r="3065">
      <c r="A3065" s="11" t="s">
        <v>17</v>
      </c>
    </row>
    <row r="3066">
      <c r="A3066" s="11">
        <v>260.0</v>
      </c>
    </row>
    <row r="3067">
      <c r="A3067" s="11" t="s">
        <v>1351</v>
      </c>
    </row>
    <row r="3068">
      <c r="A3068" s="11" t="s">
        <v>333</v>
      </c>
    </row>
    <row r="3069">
      <c r="A3069" s="11" t="s">
        <v>1353</v>
      </c>
    </row>
    <row r="3070">
      <c r="A3070" s="11" t="s">
        <v>335</v>
      </c>
    </row>
    <row r="3071">
      <c r="A3071" s="11" t="s">
        <v>151</v>
      </c>
    </row>
    <row r="3072">
      <c r="A3072" s="11" t="s">
        <v>16</v>
      </c>
    </row>
    <row r="3073">
      <c r="A3073" s="11" t="s">
        <v>151</v>
      </c>
    </row>
    <row r="3074">
      <c r="A3074" s="11" t="s">
        <v>25</v>
      </c>
    </row>
    <row r="3075">
      <c r="A3075" s="11" t="s">
        <v>26</v>
      </c>
    </row>
    <row r="3076">
      <c r="A3076" s="11" t="s">
        <v>17</v>
      </c>
    </row>
    <row r="3077">
      <c r="A3077" s="11">
        <v>261.0</v>
      </c>
    </row>
    <row r="3078">
      <c r="A3078" s="11" t="s">
        <v>18</v>
      </c>
    </row>
    <row r="3079">
      <c r="A3079" s="11" t="s">
        <v>1358</v>
      </c>
    </row>
    <row r="3080">
      <c r="A3080" s="11" t="s">
        <v>42</v>
      </c>
    </row>
    <row r="3081">
      <c r="A3081" s="11" t="s">
        <v>1360</v>
      </c>
    </row>
    <row r="3082">
      <c r="A3082" s="11" t="s">
        <v>44</v>
      </c>
    </row>
    <row r="3083">
      <c r="A3083" s="11">
        <v>174.0</v>
      </c>
    </row>
    <row r="3084">
      <c r="A3084" s="11" t="s">
        <v>16</v>
      </c>
    </row>
    <row r="3085">
      <c r="A3085" s="16">
        <v>4.0</v>
      </c>
    </row>
    <row r="3086">
      <c r="A3086" s="11" t="s">
        <v>25</v>
      </c>
    </row>
    <row r="3087">
      <c r="A3087" s="11" t="s">
        <v>26</v>
      </c>
    </row>
    <row r="3088">
      <c r="A3088" s="11" t="s">
        <v>17</v>
      </c>
    </row>
    <row r="3089">
      <c r="A3089" s="11">
        <v>262.0</v>
      </c>
    </row>
    <row r="3090">
      <c r="A3090" s="11" t="s">
        <v>18</v>
      </c>
    </row>
    <row r="3091">
      <c r="A3091" s="11" t="s">
        <v>1362</v>
      </c>
    </row>
    <row r="3092">
      <c r="A3092" s="11" t="s">
        <v>248</v>
      </c>
    </row>
    <row r="3093">
      <c r="A3093" s="11" t="s">
        <v>1364</v>
      </c>
    </row>
    <row r="3094">
      <c r="A3094" s="11" t="s">
        <v>98</v>
      </c>
    </row>
    <row r="3095">
      <c r="A3095" s="11" t="s">
        <v>151</v>
      </c>
    </row>
    <row r="3096">
      <c r="A3096" s="11" t="s">
        <v>16</v>
      </c>
    </row>
    <row r="3097">
      <c r="A3097" s="16">
        <v>2.0</v>
      </c>
    </row>
    <row r="3098">
      <c r="A3098" s="11" t="s">
        <v>25</v>
      </c>
    </row>
    <row r="3099">
      <c r="A3099" s="11" t="s">
        <v>26</v>
      </c>
    </row>
    <row r="3100">
      <c r="A3100" s="11" t="s">
        <v>17</v>
      </c>
    </row>
    <row r="3101">
      <c r="A3101" s="11">
        <v>263.0</v>
      </c>
    </row>
    <row r="3102">
      <c r="A3102" s="11" t="s">
        <v>18</v>
      </c>
    </row>
    <row r="3103">
      <c r="A3103" s="11" t="s">
        <v>1369</v>
      </c>
    </row>
    <row r="3104">
      <c r="A3104" s="11" t="s">
        <v>113</v>
      </c>
    </row>
    <row r="3105">
      <c r="A3105" s="11" t="s">
        <v>1370</v>
      </c>
    </row>
    <row r="3106">
      <c r="A3106" s="11" t="s">
        <v>117</v>
      </c>
    </row>
    <row r="3107">
      <c r="A3107" s="11">
        <v>177.5</v>
      </c>
    </row>
    <row r="3108">
      <c r="A3108" s="11" t="s">
        <v>16</v>
      </c>
    </row>
    <row r="3109">
      <c r="A3109" s="11" t="s">
        <v>151</v>
      </c>
    </row>
    <row r="3110">
      <c r="A3110" s="11" t="s">
        <v>25</v>
      </c>
    </row>
    <row r="3111">
      <c r="A3111" s="11" t="s">
        <v>26</v>
      </c>
    </row>
    <row r="3112">
      <c r="A3112" s="11" t="s">
        <v>17</v>
      </c>
    </row>
    <row r="3113">
      <c r="A3113" s="11">
        <v>264.0</v>
      </c>
    </row>
    <row r="3114">
      <c r="A3114" s="11" t="s">
        <v>18</v>
      </c>
    </row>
    <row r="3115">
      <c r="A3115" s="11" t="s">
        <v>1377</v>
      </c>
    </row>
    <row r="3116">
      <c r="A3116" s="11" t="s">
        <v>319</v>
      </c>
    </row>
    <row r="3117">
      <c r="A3117" s="11" t="s">
        <v>1378</v>
      </c>
    </row>
    <row r="3118">
      <c r="A3118" s="11" t="s">
        <v>121</v>
      </c>
    </row>
    <row r="3119">
      <c r="A3119" s="11">
        <v>178.0</v>
      </c>
    </row>
    <row r="3120">
      <c r="A3120" s="11" t="s">
        <v>16</v>
      </c>
    </row>
    <row r="3121">
      <c r="A3121" s="16">
        <v>1.0</v>
      </c>
    </row>
    <row r="3122">
      <c r="A3122" s="11" t="s">
        <v>25</v>
      </c>
    </row>
    <row r="3123">
      <c r="A3123" s="11" t="s">
        <v>26</v>
      </c>
    </row>
    <row r="3124">
      <c r="A3124" s="11" t="s">
        <v>17</v>
      </c>
    </row>
    <row r="3125">
      <c r="A3125" s="11">
        <v>265.0</v>
      </c>
    </row>
    <row r="3126">
      <c r="A3126" s="11" t="s">
        <v>18</v>
      </c>
    </row>
    <row r="3127">
      <c r="A3127" s="11" t="s">
        <v>1382</v>
      </c>
    </row>
    <row r="3128">
      <c r="A3128" s="11" t="s">
        <v>351</v>
      </c>
    </row>
    <row r="3129">
      <c r="A3129" s="11" t="s">
        <v>1383</v>
      </c>
    </row>
    <row r="3130">
      <c r="A3130" s="11" t="s">
        <v>62</v>
      </c>
    </row>
    <row r="3131">
      <c r="A3131" s="11" t="s">
        <v>151</v>
      </c>
    </row>
    <row r="3132">
      <c r="A3132" s="11" t="s">
        <v>16</v>
      </c>
    </row>
    <row r="3133">
      <c r="A3133" s="16">
        <v>1.0</v>
      </c>
    </row>
    <row r="3134">
      <c r="A3134" s="11" t="s">
        <v>25</v>
      </c>
    </row>
    <row r="3135">
      <c r="A3135" s="11" t="s">
        <v>26</v>
      </c>
    </row>
    <row r="3136">
      <c r="A3136" s="11" t="s">
        <v>17</v>
      </c>
    </row>
    <row r="3137">
      <c r="A3137" s="11">
        <v>266.0</v>
      </c>
    </row>
    <row r="3138">
      <c r="A3138" s="11" t="s">
        <v>18</v>
      </c>
    </row>
    <row r="3139">
      <c r="A3139" s="11" t="s">
        <v>1386</v>
      </c>
    </row>
    <row r="3140">
      <c r="A3140" s="11" t="s">
        <v>372</v>
      </c>
    </row>
    <row r="3141">
      <c r="A3141" s="11" t="s">
        <v>1388</v>
      </c>
    </row>
    <row r="3142">
      <c r="A3142" s="11" t="s">
        <v>335</v>
      </c>
    </row>
    <row r="3143">
      <c r="A3143" s="11" t="s">
        <v>151</v>
      </c>
    </row>
    <row r="3144">
      <c r="A3144" s="11" t="s">
        <v>16</v>
      </c>
    </row>
    <row r="3145">
      <c r="A3145" s="11" t="s">
        <v>151</v>
      </c>
    </row>
    <row r="3146">
      <c r="A3146" s="11" t="s">
        <v>25</v>
      </c>
    </row>
    <row r="3147">
      <c r="A3147" s="11" t="s">
        <v>26</v>
      </c>
    </row>
    <row r="3148">
      <c r="A3148" s="11" t="s">
        <v>17</v>
      </c>
    </row>
    <row r="3149">
      <c r="A3149" s="11">
        <v>267.0</v>
      </c>
    </row>
    <row r="3150">
      <c r="A3150" s="11" t="s">
        <v>18</v>
      </c>
    </row>
    <row r="3151">
      <c r="A3151" s="11" t="s">
        <v>1391</v>
      </c>
    </row>
    <row r="3152">
      <c r="A3152" s="11" t="s">
        <v>372</v>
      </c>
    </row>
    <row r="3153">
      <c r="A3153" s="11" t="s">
        <v>1393</v>
      </c>
    </row>
    <row r="3154">
      <c r="A3154" s="11" t="s">
        <v>335</v>
      </c>
    </row>
    <row r="3155">
      <c r="A3155" s="11" t="s">
        <v>151</v>
      </c>
    </row>
    <row r="3156">
      <c r="A3156" s="11" t="s">
        <v>16</v>
      </c>
    </row>
    <row r="3157">
      <c r="A3157" s="11" t="s">
        <v>151</v>
      </c>
    </row>
    <row r="3158">
      <c r="A3158" s="11" t="s">
        <v>25</v>
      </c>
    </row>
    <row r="3159">
      <c r="A3159" s="11" t="s">
        <v>26</v>
      </c>
    </row>
    <row r="3160">
      <c r="A3160" s="11" t="s">
        <v>17</v>
      </c>
    </row>
    <row r="3161">
      <c r="A3161" s="11">
        <v>268.0</v>
      </c>
    </row>
    <row r="3162">
      <c r="A3162" s="11" t="s">
        <v>1396</v>
      </c>
    </row>
    <row r="3163">
      <c r="A3163" s="11" t="s">
        <v>35</v>
      </c>
    </row>
    <row r="3164">
      <c r="A3164" s="11" t="s">
        <v>1397</v>
      </c>
    </row>
    <row r="3165">
      <c r="A3165" s="11" t="s">
        <v>37</v>
      </c>
    </row>
    <row r="3166">
      <c r="A3166" s="11" t="s">
        <v>151</v>
      </c>
    </row>
    <row r="3167">
      <c r="A3167" s="11" t="s">
        <v>16</v>
      </c>
    </row>
    <row r="3168">
      <c r="A3168" s="11" t="s">
        <v>151</v>
      </c>
    </row>
    <row r="3169">
      <c r="A3169" s="11" t="s">
        <v>25</v>
      </c>
    </row>
    <row r="3170">
      <c r="A3170" s="11" t="s">
        <v>26</v>
      </c>
    </row>
    <row r="3171">
      <c r="A3171" s="11" t="s">
        <v>17</v>
      </c>
    </row>
    <row r="3172">
      <c r="A3172" s="11">
        <v>269.0</v>
      </c>
    </row>
    <row r="3173">
      <c r="A3173" s="11" t="s">
        <v>18</v>
      </c>
    </row>
    <row r="3174">
      <c r="A3174" s="11" t="s">
        <v>1401</v>
      </c>
    </row>
    <row r="3175">
      <c r="A3175" s="11" t="s">
        <v>372</v>
      </c>
    </row>
    <row r="3176">
      <c r="A3176" s="11" t="s">
        <v>1403</v>
      </c>
    </row>
    <row r="3177">
      <c r="A3177" s="11" t="s">
        <v>335</v>
      </c>
    </row>
    <row r="3178">
      <c r="A3178" s="11" t="s">
        <v>151</v>
      </c>
    </row>
    <row r="3179">
      <c r="A3179" s="11" t="s">
        <v>16</v>
      </c>
    </row>
    <row r="3180">
      <c r="A3180" s="16">
        <v>1.0</v>
      </c>
    </row>
    <row r="3181">
      <c r="A3181" s="11" t="s">
        <v>25</v>
      </c>
    </row>
    <row r="3182">
      <c r="A3182" s="11" t="s">
        <v>26</v>
      </c>
    </row>
    <row r="3183">
      <c r="A3183" s="11" t="s">
        <v>17</v>
      </c>
    </row>
    <row r="3184">
      <c r="A3184" s="11">
        <v>270.0</v>
      </c>
    </row>
    <row r="3185">
      <c r="A3185" s="11" t="s">
        <v>18</v>
      </c>
    </row>
    <row r="3186">
      <c r="A3186" s="11" t="s">
        <v>1408</v>
      </c>
    </row>
    <row r="3187">
      <c r="A3187" s="11" t="s">
        <v>53</v>
      </c>
    </row>
    <row r="3188">
      <c r="A3188" s="11" t="s">
        <v>1409</v>
      </c>
    </row>
    <row r="3189">
      <c r="A3189" s="11" t="s">
        <v>23</v>
      </c>
    </row>
    <row r="3190">
      <c r="A3190" s="11" t="s">
        <v>151</v>
      </c>
    </row>
    <row r="3191">
      <c r="A3191" s="11" t="s">
        <v>16</v>
      </c>
    </row>
    <row r="3192">
      <c r="A3192" s="16">
        <v>2.0</v>
      </c>
    </row>
    <row r="3193">
      <c r="A3193" s="11" t="s">
        <v>25</v>
      </c>
    </row>
    <row r="3194">
      <c r="A3194" s="11" t="s">
        <v>26</v>
      </c>
    </row>
    <row r="3195">
      <c r="A3195" s="11" t="s">
        <v>17</v>
      </c>
    </row>
    <row r="3196">
      <c r="A3196" s="11">
        <v>271.0</v>
      </c>
    </row>
    <row r="3197">
      <c r="A3197" s="11" t="s">
        <v>18</v>
      </c>
    </row>
    <row r="3198">
      <c r="A3198" s="11" t="s">
        <v>1412</v>
      </c>
    </row>
    <row r="3199">
      <c r="A3199" s="11" t="s">
        <v>53</v>
      </c>
    </row>
    <row r="3200">
      <c r="A3200" s="11" t="s">
        <v>1415</v>
      </c>
    </row>
    <row r="3201">
      <c r="A3201" s="11" t="s">
        <v>23</v>
      </c>
    </row>
    <row r="3202">
      <c r="A3202" s="11" t="s">
        <v>151</v>
      </c>
    </row>
    <row r="3203">
      <c r="A3203" s="11" t="s">
        <v>16</v>
      </c>
    </row>
    <row r="3204">
      <c r="A3204" s="16">
        <v>1.0</v>
      </c>
    </row>
    <row r="3205">
      <c r="A3205" s="11" t="s">
        <v>25</v>
      </c>
    </row>
    <row r="3206">
      <c r="A3206" s="11" t="s">
        <v>26</v>
      </c>
    </row>
    <row r="3207">
      <c r="A3207" s="11" t="s">
        <v>17</v>
      </c>
    </row>
    <row r="3208">
      <c r="A3208" s="11">
        <v>272.0</v>
      </c>
    </row>
    <row r="3209">
      <c r="A3209" s="11" t="s">
        <v>18</v>
      </c>
    </row>
    <row r="3210">
      <c r="A3210" s="11" t="s">
        <v>1418</v>
      </c>
    </row>
    <row r="3211">
      <c r="A3211" s="11" t="s">
        <v>259</v>
      </c>
    </row>
    <row r="3212">
      <c r="A3212" s="11" t="s">
        <v>1421</v>
      </c>
    </row>
    <row r="3213">
      <c r="A3213" s="11" t="s">
        <v>121</v>
      </c>
    </row>
    <row r="3214">
      <c r="A3214" s="11" t="s">
        <v>151</v>
      </c>
    </row>
    <row r="3215">
      <c r="A3215" s="11" t="s">
        <v>16</v>
      </c>
    </row>
    <row r="3216">
      <c r="A3216" s="16">
        <v>2.0</v>
      </c>
    </row>
    <row r="3217">
      <c r="A3217" s="11" t="s">
        <v>25</v>
      </c>
    </row>
    <row r="3218">
      <c r="A3218" s="11" t="s">
        <v>26</v>
      </c>
    </row>
    <row r="3219">
      <c r="A3219" s="11" t="s">
        <v>17</v>
      </c>
    </row>
    <row r="3220">
      <c r="A3220" s="11">
        <v>273.0</v>
      </c>
    </row>
    <row r="3221">
      <c r="A3221" s="11" t="s">
        <v>18</v>
      </c>
    </row>
    <row r="3222">
      <c r="A3222" s="11" t="s">
        <v>1426</v>
      </c>
    </row>
    <row r="3223">
      <c r="A3223" s="11" t="s">
        <v>146</v>
      </c>
    </row>
    <row r="3224">
      <c r="A3224" s="11" t="s">
        <v>1427</v>
      </c>
    </row>
    <row r="3225">
      <c r="A3225" s="11" t="s">
        <v>117</v>
      </c>
    </row>
    <row r="3226">
      <c r="A3226" s="11" t="s">
        <v>151</v>
      </c>
    </row>
    <row r="3227">
      <c r="A3227" s="11" t="s">
        <v>16</v>
      </c>
    </row>
    <row r="3228">
      <c r="A3228" s="11" t="s">
        <v>151</v>
      </c>
    </row>
    <row r="3229">
      <c r="A3229" s="11" t="s">
        <v>25</v>
      </c>
    </row>
    <row r="3230">
      <c r="A3230" s="11" t="s">
        <v>26</v>
      </c>
    </row>
    <row r="3231">
      <c r="A3231" s="11" t="s">
        <v>17</v>
      </c>
    </row>
    <row r="3232">
      <c r="A3232" s="11">
        <v>274.0</v>
      </c>
    </row>
    <row r="3233">
      <c r="A3233" s="11" t="s">
        <v>18</v>
      </c>
    </row>
    <row r="3234">
      <c r="A3234" s="11" t="s">
        <v>1433</v>
      </c>
    </row>
    <row r="3235">
      <c r="A3235" s="11" t="s">
        <v>20</v>
      </c>
    </row>
    <row r="3236">
      <c r="A3236" s="11" t="s">
        <v>1434</v>
      </c>
    </row>
    <row r="3237">
      <c r="A3237" s="11" t="s">
        <v>23</v>
      </c>
    </row>
    <row r="3238">
      <c r="A3238" s="11" t="s">
        <v>151</v>
      </c>
    </row>
    <row r="3239">
      <c r="A3239" s="11" t="s">
        <v>16</v>
      </c>
    </row>
    <row r="3240">
      <c r="A3240" s="11" t="s">
        <v>151</v>
      </c>
    </row>
    <row r="3241">
      <c r="A3241" s="11" t="s">
        <v>25</v>
      </c>
    </row>
    <row r="3242">
      <c r="A3242" s="11" t="s">
        <v>26</v>
      </c>
    </row>
    <row r="3243">
      <c r="A3243" s="11" t="s">
        <v>17</v>
      </c>
    </row>
    <row r="3244">
      <c r="A3244" s="11">
        <v>275.0</v>
      </c>
    </row>
    <row r="3245">
      <c r="A3245" s="11" t="s">
        <v>18</v>
      </c>
    </row>
    <row r="3246">
      <c r="A3246" s="11" t="s">
        <v>1437</v>
      </c>
    </row>
    <row r="3247">
      <c r="A3247" s="11" t="s">
        <v>66</v>
      </c>
    </row>
    <row r="3248">
      <c r="A3248" s="11" t="s">
        <v>1439</v>
      </c>
    </row>
    <row r="3249">
      <c r="A3249" s="11" t="s">
        <v>31</v>
      </c>
    </row>
    <row r="3250">
      <c r="A3250" s="11" t="s">
        <v>151</v>
      </c>
    </row>
    <row r="3251">
      <c r="A3251" s="11" t="s">
        <v>16</v>
      </c>
    </row>
    <row r="3252">
      <c r="A3252" s="16">
        <v>1.0</v>
      </c>
    </row>
    <row r="3253">
      <c r="A3253" s="11" t="s">
        <v>25</v>
      </c>
    </row>
    <row r="3254">
      <c r="A3254" s="11" t="s">
        <v>26</v>
      </c>
    </row>
    <row r="3255">
      <c r="A3255" s="11" t="s">
        <v>17</v>
      </c>
    </row>
    <row r="3256">
      <c r="A3256" s="11">
        <v>276.0</v>
      </c>
    </row>
    <row r="3257">
      <c r="A3257" s="11" t="s">
        <v>18</v>
      </c>
    </row>
    <row r="3258">
      <c r="A3258" s="11" t="s">
        <v>1444</v>
      </c>
    </row>
    <row r="3259">
      <c r="A3259" s="11" t="s">
        <v>206</v>
      </c>
    </row>
    <row r="3260">
      <c r="A3260" s="11" t="s">
        <v>1446</v>
      </c>
    </row>
    <row r="3261">
      <c r="A3261" s="11" t="s">
        <v>37</v>
      </c>
    </row>
    <row r="3262">
      <c r="A3262" s="11" t="s">
        <v>151</v>
      </c>
    </row>
    <row r="3263">
      <c r="A3263" s="11" t="s">
        <v>16</v>
      </c>
    </row>
    <row r="3264">
      <c r="A3264" s="16">
        <v>1.0</v>
      </c>
    </row>
    <row r="3265">
      <c r="A3265" s="11" t="s">
        <v>25</v>
      </c>
    </row>
    <row r="3266">
      <c r="A3266" s="11" t="s">
        <v>26</v>
      </c>
    </row>
    <row r="3267">
      <c r="A3267" s="11" t="s">
        <v>17</v>
      </c>
    </row>
    <row r="3268">
      <c r="A3268" s="11">
        <v>277.0</v>
      </c>
    </row>
    <row r="3269">
      <c r="A3269" s="11" t="s">
        <v>18</v>
      </c>
    </row>
    <row r="3270">
      <c r="A3270" s="11" t="s">
        <v>1451</v>
      </c>
    </row>
    <row r="3271">
      <c r="A3271" s="11" t="s">
        <v>78</v>
      </c>
    </row>
    <row r="3272">
      <c r="A3272" s="11" t="s">
        <v>1453</v>
      </c>
    </row>
    <row r="3273">
      <c r="A3273" s="11" t="s">
        <v>37</v>
      </c>
    </row>
    <row r="3274">
      <c r="A3274" s="11" t="s">
        <v>151</v>
      </c>
    </row>
    <row r="3275">
      <c r="A3275" s="11" t="s">
        <v>16</v>
      </c>
    </row>
    <row r="3276">
      <c r="A3276" s="11" t="s">
        <v>151</v>
      </c>
    </row>
    <row r="3277">
      <c r="A3277" s="11" t="s">
        <v>25</v>
      </c>
    </row>
    <row r="3278">
      <c r="A3278" s="11" t="s">
        <v>26</v>
      </c>
    </row>
    <row r="3279">
      <c r="A3279" s="11" t="s">
        <v>17</v>
      </c>
    </row>
    <row r="3280">
      <c r="A3280" s="11">
        <v>278.0</v>
      </c>
    </row>
    <row r="3281">
      <c r="A3281" s="11" t="s">
        <v>18</v>
      </c>
    </row>
    <row r="3282">
      <c r="A3282" s="11" t="s">
        <v>1455</v>
      </c>
    </row>
    <row r="3283">
      <c r="A3283" s="11" t="s">
        <v>66</v>
      </c>
    </row>
    <row r="3284">
      <c r="A3284" s="11" t="s">
        <v>1459</v>
      </c>
    </row>
    <row r="3285">
      <c r="A3285" s="11" t="s">
        <v>31</v>
      </c>
    </row>
    <row r="3286">
      <c r="A3286" s="11" t="s">
        <v>151</v>
      </c>
    </row>
    <row r="3287">
      <c r="A3287" s="11" t="s">
        <v>16</v>
      </c>
    </row>
    <row r="3288">
      <c r="A3288" s="16">
        <v>1.0</v>
      </c>
    </row>
    <row r="3289">
      <c r="A3289" s="11" t="s">
        <v>25</v>
      </c>
    </row>
    <row r="3290">
      <c r="A3290" s="11" t="s">
        <v>26</v>
      </c>
    </row>
    <row r="3291">
      <c r="A3291" s="11" t="s">
        <v>17</v>
      </c>
    </row>
    <row r="3292">
      <c r="A3292" s="11">
        <v>279.0</v>
      </c>
    </row>
    <row r="3293">
      <c r="A3293" s="11" t="s">
        <v>18</v>
      </c>
    </row>
    <row r="3294">
      <c r="A3294" s="11" t="s">
        <v>1461</v>
      </c>
    </row>
    <row r="3295">
      <c r="A3295" s="11" t="s">
        <v>119</v>
      </c>
    </row>
    <row r="3296">
      <c r="A3296" s="11" t="s">
        <v>1463</v>
      </c>
    </row>
    <row r="3297">
      <c r="A3297" s="11" t="s">
        <v>121</v>
      </c>
    </row>
    <row r="3298">
      <c r="A3298" s="11">
        <v>179.0</v>
      </c>
    </row>
    <row r="3299">
      <c r="A3299" s="11" t="s">
        <v>16</v>
      </c>
    </row>
    <row r="3300">
      <c r="A3300" s="16">
        <v>3.0</v>
      </c>
    </row>
    <row r="3301">
      <c r="A3301" s="11" t="s">
        <v>25</v>
      </c>
    </row>
    <row r="3302">
      <c r="A3302" s="11" t="s">
        <v>26</v>
      </c>
    </row>
    <row r="3303">
      <c r="A3303" s="11" t="s">
        <v>17</v>
      </c>
    </row>
    <row r="3304">
      <c r="A3304" s="11">
        <v>280.0</v>
      </c>
    </row>
    <row r="3305">
      <c r="A3305" s="11" t="s">
        <v>18</v>
      </c>
    </row>
    <row r="3306">
      <c r="A3306" s="11" t="s">
        <v>1467</v>
      </c>
    </row>
    <row r="3307">
      <c r="A3307" s="11" t="s">
        <v>29</v>
      </c>
    </row>
    <row r="3308">
      <c r="A3308" s="11" t="s">
        <v>1468</v>
      </c>
    </row>
    <row r="3309">
      <c r="A3309" s="11" t="s">
        <v>31</v>
      </c>
    </row>
    <row r="3310">
      <c r="A3310" s="11" t="s">
        <v>151</v>
      </c>
    </row>
    <row r="3311">
      <c r="A3311" s="11" t="s">
        <v>16</v>
      </c>
    </row>
    <row r="3312">
      <c r="A3312" s="16">
        <v>1.0</v>
      </c>
    </row>
    <row r="3313">
      <c r="A3313" s="11" t="s">
        <v>25</v>
      </c>
    </row>
    <row r="3314">
      <c r="A3314" s="11" t="s">
        <v>26</v>
      </c>
    </row>
    <row r="3315">
      <c r="A3315" s="11" t="s">
        <v>17</v>
      </c>
    </row>
    <row r="3316">
      <c r="A3316" s="11">
        <v>281.0</v>
      </c>
    </row>
    <row r="3317">
      <c r="A3317" s="11" t="s">
        <v>18</v>
      </c>
    </row>
    <row r="3318">
      <c r="A3318" s="11" t="s">
        <v>1473</v>
      </c>
    </row>
    <row r="3319">
      <c r="A3319" s="11" t="s">
        <v>59</v>
      </c>
    </row>
    <row r="3320">
      <c r="A3320" s="11" t="s">
        <v>1475</v>
      </c>
    </row>
    <row r="3321">
      <c r="A3321" s="11" t="s">
        <v>62</v>
      </c>
    </row>
    <row r="3322">
      <c r="A3322" s="11" t="s">
        <v>151</v>
      </c>
    </row>
    <row r="3323">
      <c r="A3323" s="11" t="s">
        <v>16</v>
      </c>
    </row>
    <row r="3324">
      <c r="A3324" s="16">
        <v>2.0</v>
      </c>
    </row>
    <row r="3325">
      <c r="A3325" s="11" t="s">
        <v>25</v>
      </c>
    </row>
    <row r="3326">
      <c r="A3326" s="11" t="s">
        <v>26</v>
      </c>
    </row>
    <row r="3327">
      <c r="A3327" s="11" t="s">
        <v>17</v>
      </c>
    </row>
    <row r="3328">
      <c r="A3328" s="11">
        <v>282.0</v>
      </c>
    </row>
    <row r="3329">
      <c r="A3329" s="11" t="s">
        <v>18</v>
      </c>
    </row>
    <row r="3330">
      <c r="A3330" s="11" t="s">
        <v>1477</v>
      </c>
    </row>
    <row r="3331">
      <c r="A3331" s="11" t="s">
        <v>183</v>
      </c>
    </row>
    <row r="3332">
      <c r="A3332" s="11" t="s">
        <v>1479</v>
      </c>
    </row>
    <row r="3333">
      <c r="A3333" s="11" t="s">
        <v>44</v>
      </c>
    </row>
    <row r="3334">
      <c r="A3334" s="11" t="s">
        <v>151</v>
      </c>
    </row>
    <row r="3335">
      <c r="A3335" s="11" t="s">
        <v>16</v>
      </c>
    </row>
    <row r="3336">
      <c r="A3336" s="16">
        <v>1.0</v>
      </c>
    </row>
    <row r="3337">
      <c r="A3337" s="11" t="s">
        <v>25</v>
      </c>
    </row>
    <row r="3338">
      <c r="A3338" s="11" t="s">
        <v>26</v>
      </c>
    </row>
    <row r="3339">
      <c r="A3339" s="11" t="s">
        <v>17</v>
      </c>
    </row>
    <row r="3340">
      <c r="A3340" s="11">
        <v>283.0</v>
      </c>
    </row>
    <row r="3341">
      <c r="A3341" s="11" t="s">
        <v>18</v>
      </c>
    </row>
    <row r="3342">
      <c r="A3342" s="11" t="s">
        <v>1483</v>
      </c>
    </row>
    <row r="3343">
      <c r="A3343" s="11" t="s">
        <v>159</v>
      </c>
    </row>
    <row r="3344">
      <c r="A3344" s="11" t="s">
        <v>1484</v>
      </c>
    </row>
    <row r="3345">
      <c r="A3345" s="11" t="s">
        <v>31</v>
      </c>
    </row>
    <row r="3346">
      <c r="A3346" s="11" t="s">
        <v>151</v>
      </c>
    </row>
    <row r="3347">
      <c r="A3347" s="11" t="s">
        <v>16</v>
      </c>
    </row>
    <row r="3348">
      <c r="A3348" s="16">
        <v>2.0</v>
      </c>
    </row>
    <row r="3349">
      <c r="A3349" s="11" t="s">
        <v>25</v>
      </c>
    </row>
    <row r="3350">
      <c r="A3350" s="11" t="s">
        <v>26</v>
      </c>
    </row>
    <row r="3351">
      <c r="A3351" s="11" t="s">
        <v>17</v>
      </c>
    </row>
    <row r="3352">
      <c r="A3352" s="11">
        <v>284.0</v>
      </c>
    </row>
    <row r="3353">
      <c r="A3353" s="11" t="s">
        <v>18</v>
      </c>
    </row>
    <row r="3354">
      <c r="A3354" s="11" t="s">
        <v>1490</v>
      </c>
    </row>
    <row r="3355">
      <c r="A3355" s="11" t="s">
        <v>29</v>
      </c>
    </row>
    <row r="3356">
      <c r="A3356" s="11" t="s">
        <v>1492</v>
      </c>
    </row>
    <row r="3357">
      <c r="A3357" s="11" t="s">
        <v>31</v>
      </c>
    </row>
    <row r="3358">
      <c r="A3358" s="11" t="s">
        <v>151</v>
      </c>
    </row>
    <row r="3359">
      <c r="A3359" s="11" t="s">
        <v>16</v>
      </c>
    </row>
    <row r="3360">
      <c r="A3360" s="16">
        <v>1.0</v>
      </c>
    </row>
    <row r="3361">
      <c r="A3361" s="11" t="s">
        <v>25</v>
      </c>
    </row>
    <row r="3362">
      <c r="A3362" s="11" t="s">
        <v>26</v>
      </c>
    </row>
    <row r="3363">
      <c r="A3363" s="11" t="s">
        <v>17</v>
      </c>
    </row>
    <row r="3364">
      <c r="A3364" s="11">
        <v>285.0</v>
      </c>
    </row>
    <row r="3365">
      <c r="A3365" s="11" t="s">
        <v>18</v>
      </c>
    </row>
    <row r="3366">
      <c r="A3366" s="11" t="s">
        <v>1496</v>
      </c>
    </row>
    <row r="3367">
      <c r="A3367" s="11" t="s">
        <v>131</v>
      </c>
    </row>
    <row r="3368">
      <c r="A3368" s="11" t="s">
        <v>1497</v>
      </c>
    </row>
    <row r="3369">
      <c r="A3369" s="11" t="s">
        <v>62</v>
      </c>
    </row>
    <row r="3370">
      <c r="A3370" s="11" t="s">
        <v>151</v>
      </c>
    </row>
    <row r="3371">
      <c r="A3371" s="11" t="s">
        <v>16</v>
      </c>
    </row>
    <row r="3372">
      <c r="A3372" s="16">
        <v>5.0</v>
      </c>
    </row>
    <row r="3373">
      <c r="A3373" s="11" t="s">
        <v>25</v>
      </c>
    </row>
    <row r="3374">
      <c r="A3374" s="11" t="s">
        <v>26</v>
      </c>
    </row>
    <row r="3375">
      <c r="A3375" s="11" t="s">
        <v>17</v>
      </c>
    </row>
    <row r="3376">
      <c r="A3376" s="11">
        <v>286.0</v>
      </c>
    </row>
    <row r="3377">
      <c r="A3377" s="11" t="s">
        <v>18</v>
      </c>
    </row>
    <row r="3378">
      <c r="A3378" s="11" t="s">
        <v>1503</v>
      </c>
    </row>
    <row r="3379">
      <c r="A3379" s="11" t="s">
        <v>125</v>
      </c>
    </row>
    <row r="3380">
      <c r="A3380" s="11" t="s">
        <v>1504</v>
      </c>
    </row>
    <row r="3381">
      <c r="A3381" s="11" t="s">
        <v>37</v>
      </c>
    </row>
    <row r="3382">
      <c r="A3382" s="11" t="s">
        <v>151</v>
      </c>
    </row>
    <row r="3383">
      <c r="A3383" s="11" t="s">
        <v>16</v>
      </c>
    </row>
    <row r="3384">
      <c r="A3384" s="11" t="s">
        <v>151</v>
      </c>
    </row>
    <row r="3385">
      <c r="A3385" s="11" t="s">
        <v>25</v>
      </c>
    </row>
    <row r="3386">
      <c r="A3386" s="11" t="s">
        <v>26</v>
      </c>
    </row>
    <row r="3387">
      <c r="A3387" s="11" t="s">
        <v>17</v>
      </c>
    </row>
    <row r="3388">
      <c r="A3388" s="11">
        <v>287.0</v>
      </c>
    </row>
    <row r="3389">
      <c r="A3389" s="11" t="s">
        <v>1506</v>
      </c>
    </row>
    <row r="3390">
      <c r="A3390" s="11" t="s">
        <v>125</v>
      </c>
    </row>
    <row r="3391">
      <c r="A3391" s="11" t="s">
        <v>1509</v>
      </c>
    </row>
    <row r="3392">
      <c r="A3392" s="11" t="s">
        <v>37</v>
      </c>
    </row>
    <row r="3393">
      <c r="A3393" s="11" t="s">
        <v>151</v>
      </c>
    </row>
    <row r="3394">
      <c r="A3394" s="11" t="s">
        <v>16</v>
      </c>
    </row>
    <row r="3395">
      <c r="A3395" s="11" t="s">
        <v>151</v>
      </c>
    </row>
    <row r="3396">
      <c r="A3396" s="11" t="s">
        <v>25</v>
      </c>
    </row>
    <row r="3397">
      <c r="A3397" s="11" t="s">
        <v>26</v>
      </c>
    </row>
    <row r="3398">
      <c r="A3398" s="11" t="s">
        <v>17</v>
      </c>
    </row>
    <row r="3399">
      <c r="A3399" s="11">
        <v>288.0</v>
      </c>
    </row>
    <row r="3400">
      <c r="A3400" s="11" t="s">
        <v>18</v>
      </c>
    </row>
    <row r="3401">
      <c r="A3401" s="11" t="s">
        <v>1511</v>
      </c>
    </row>
    <row r="3402">
      <c r="A3402" s="11" t="s">
        <v>59</v>
      </c>
    </row>
    <row r="3403">
      <c r="A3403" s="11" t="s">
        <v>1512</v>
      </c>
    </row>
    <row r="3404">
      <c r="A3404" s="11" t="s">
        <v>62</v>
      </c>
    </row>
    <row r="3405">
      <c r="A3405" s="11" t="s">
        <v>151</v>
      </c>
    </row>
    <row r="3406">
      <c r="A3406" s="11" t="s">
        <v>16</v>
      </c>
    </row>
    <row r="3407">
      <c r="A3407" s="16">
        <v>1.0</v>
      </c>
    </row>
    <row r="3408">
      <c r="A3408" s="11" t="s">
        <v>25</v>
      </c>
    </row>
    <row r="3409">
      <c r="A3409" s="11" t="s">
        <v>26</v>
      </c>
    </row>
    <row r="3410">
      <c r="A3410" s="11" t="s">
        <v>17</v>
      </c>
    </row>
    <row r="3411">
      <c r="A3411" s="11">
        <v>289.0</v>
      </c>
    </row>
    <row r="3412">
      <c r="A3412" s="11" t="s">
        <v>18</v>
      </c>
    </row>
    <row r="3413">
      <c r="A3413" s="11" t="s">
        <v>1517</v>
      </c>
    </row>
    <row r="3414">
      <c r="A3414" s="11" t="s">
        <v>59</v>
      </c>
    </row>
    <row r="3415">
      <c r="A3415" s="11" t="s">
        <v>1518</v>
      </c>
    </row>
    <row r="3416">
      <c r="A3416" s="11" t="s">
        <v>62</v>
      </c>
    </row>
    <row r="3417">
      <c r="A3417" s="11" t="s">
        <v>151</v>
      </c>
    </row>
    <row r="3418">
      <c r="A3418" s="11" t="s">
        <v>16</v>
      </c>
    </row>
    <row r="3419">
      <c r="A3419" s="16">
        <v>6.0</v>
      </c>
    </row>
    <row r="3420">
      <c r="A3420" s="11" t="s">
        <v>25</v>
      </c>
    </row>
    <row r="3421">
      <c r="A3421" s="11" t="s">
        <v>26</v>
      </c>
    </row>
    <row r="3422">
      <c r="A3422" s="11" t="s">
        <v>17</v>
      </c>
    </row>
    <row r="3423">
      <c r="A3423" s="11">
        <v>290.0</v>
      </c>
    </row>
    <row r="3424">
      <c r="A3424" s="11" t="s">
        <v>18</v>
      </c>
    </row>
    <row r="3425">
      <c r="A3425" s="11" t="s">
        <v>1522</v>
      </c>
    </row>
    <row r="3426">
      <c r="A3426" s="11" t="s">
        <v>47</v>
      </c>
    </row>
    <row r="3427">
      <c r="A3427" s="11" t="s">
        <v>1523</v>
      </c>
    </row>
    <row r="3428">
      <c r="A3428" s="11" t="s">
        <v>31</v>
      </c>
    </row>
    <row r="3429">
      <c r="A3429" s="11">
        <v>198.0</v>
      </c>
    </row>
    <row r="3430">
      <c r="A3430" s="11" t="s">
        <v>16</v>
      </c>
    </row>
    <row r="3431">
      <c r="A3431" s="11" t="s">
        <v>151</v>
      </c>
    </row>
    <row r="3432">
      <c r="A3432" s="11" t="s">
        <v>25</v>
      </c>
    </row>
    <row r="3433">
      <c r="A3433" s="11" t="s">
        <v>26</v>
      </c>
    </row>
    <row r="3434">
      <c r="A3434" s="11" t="s">
        <v>17</v>
      </c>
    </row>
    <row r="3435">
      <c r="A3435" s="11">
        <v>291.0</v>
      </c>
    </row>
    <row r="3436">
      <c r="A3436" s="11" t="s">
        <v>1528</v>
      </c>
    </row>
    <row r="3437">
      <c r="A3437" s="11" t="s">
        <v>142</v>
      </c>
    </row>
    <row r="3438">
      <c r="A3438" s="11" t="s">
        <v>1530</v>
      </c>
    </row>
    <row r="3439">
      <c r="A3439" s="11" t="s">
        <v>31</v>
      </c>
    </row>
    <row r="3440">
      <c r="A3440" s="11" t="s">
        <v>151</v>
      </c>
    </row>
    <row r="3441">
      <c r="A3441" s="11" t="s">
        <v>16</v>
      </c>
    </row>
    <row r="3442">
      <c r="A3442" s="16">
        <v>1.0</v>
      </c>
    </row>
    <row r="3443">
      <c r="A3443" s="11" t="s">
        <v>25</v>
      </c>
    </row>
    <row r="3444">
      <c r="A3444" s="11" t="s">
        <v>26</v>
      </c>
    </row>
    <row r="3445">
      <c r="A3445" s="11" t="s">
        <v>17</v>
      </c>
    </row>
    <row r="3446">
      <c r="A3446" s="11">
        <v>292.0</v>
      </c>
    </row>
    <row r="3447">
      <c r="A3447" s="11" t="s">
        <v>1532</v>
      </c>
    </row>
    <row r="3448">
      <c r="A3448" s="11" t="s">
        <v>94</v>
      </c>
    </row>
    <row r="3449">
      <c r="A3449" s="11" t="s">
        <v>1533</v>
      </c>
    </row>
    <row r="3450">
      <c r="A3450" s="11" t="s">
        <v>98</v>
      </c>
    </row>
    <row r="3451">
      <c r="A3451" s="11">
        <v>169.0</v>
      </c>
    </row>
    <row r="3452">
      <c r="A3452" s="11" t="s">
        <v>16</v>
      </c>
    </row>
    <row r="3453">
      <c r="A3453" s="11" t="s">
        <v>151</v>
      </c>
    </row>
    <row r="3454">
      <c r="A3454" s="11" t="s">
        <v>25</v>
      </c>
    </row>
    <row r="3455">
      <c r="A3455" s="11" t="s">
        <v>26</v>
      </c>
    </row>
    <row r="3456">
      <c r="A3456" s="11" t="s">
        <v>17</v>
      </c>
    </row>
    <row r="3457">
      <c r="A3457" s="11">
        <v>293.0</v>
      </c>
    </row>
    <row r="3458">
      <c r="A3458" s="11" t="s">
        <v>1537</v>
      </c>
    </row>
    <row r="3459">
      <c r="A3459" s="11" t="s">
        <v>59</v>
      </c>
    </row>
    <row r="3460">
      <c r="A3460" s="11" t="s">
        <v>1540</v>
      </c>
    </row>
    <row r="3461">
      <c r="A3461" s="11" t="s">
        <v>62</v>
      </c>
    </row>
    <row r="3462">
      <c r="A3462" s="11">
        <v>177.7</v>
      </c>
    </row>
    <row r="3463">
      <c r="A3463" s="11" t="s">
        <v>16</v>
      </c>
    </row>
    <row r="3464">
      <c r="A3464" s="11" t="s">
        <v>151</v>
      </c>
    </row>
    <row r="3465">
      <c r="A3465" s="11" t="s">
        <v>25</v>
      </c>
    </row>
    <row r="3466">
      <c r="A3466" s="11" t="s">
        <v>26</v>
      </c>
    </row>
    <row r="3467">
      <c r="A3467" s="11" t="s">
        <v>17</v>
      </c>
    </row>
    <row r="3468">
      <c r="A3468" s="11">
        <v>294.0</v>
      </c>
    </row>
    <row r="3469">
      <c r="A3469" s="11" t="s">
        <v>18</v>
      </c>
    </row>
    <row r="3470">
      <c r="A3470" s="11" t="s">
        <v>1545</v>
      </c>
    </row>
    <row r="3471">
      <c r="A3471" s="11" t="s">
        <v>236</v>
      </c>
    </row>
    <row r="3472">
      <c r="A3472" s="11" t="s">
        <v>1546</v>
      </c>
    </row>
    <row r="3473">
      <c r="A3473" s="11" t="s">
        <v>31</v>
      </c>
    </row>
    <row r="3474">
      <c r="A3474" s="11" t="s">
        <v>151</v>
      </c>
    </row>
    <row r="3475">
      <c r="A3475" s="11" t="s">
        <v>16</v>
      </c>
    </row>
    <row r="3476">
      <c r="A3476" s="11" t="s">
        <v>151</v>
      </c>
    </row>
    <row r="3477">
      <c r="A3477" s="11" t="s">
        <v>25</v>
      </c>
    </row>
    <row r="3478">
      <c r="A3478" s="11" t="s">
        <v>26</v>
      </c>
    </row>
    <row r="3479">
      <c r="A3479" s="11" t="s">
        <v>17</v>
      </c>
    </row>
    <row r="3480">
      <c r="A3480" s="11">
        <v>295.0</v>
      </c>
    </row>
    <row r="3481">
      <c r="A3481" s="11" t="s">
        <v>1551</v>
      </c>
    </row>
    <row r="3482">
      <c r="A3482" s="11" t="s">
        <v>259</v>
      </c>
    </row>
    <row r="3483">
      <c r="A3483" s="11" t="s">
        <v>1552</v>
      </c>
    </row>
    <row r="3484">
      <c r="A3484" s="11" t="s">
        <v>121</v>
      </c>
    </row>
    <row r="3485">
      <c r="A3485" s="11" t="s">
        <v>151</v>
      </c>
    </row>
    <row r="3486">
      <c r="A3486" s="11" t="s">
        <v>16</v>
      </c>
    </row>
    <row r="3487">
      <c r="A3487" s="11" t="s">
        <v>151</v>
      </c>
    </row>
    <row r="3488">
      <c r="A3488" s="11" t="s">
        <v>25</v>
      </c>
    </row>
    <row r="3489">
      <c r="A3489" s="11" t="s">
        <v>26</v>
      </c>
    </row>
    <row r="3490">
      <c r="A3490" s="11" t="s">
        <v>17</v>
      </c>
    </row>
    <row r="3491">
      <c r="A3491" s="11">
        <v>296.0</v>
      </c>
    </row>
    <row r="3492">
      <c r="A3492" s="11" t="s">
        <v>1555</v>
      </c>
    </row>
    <row r="3493">
      <c r="A3493" s="11" t="s">
        <v>42</v>
      </c>
    </row>
    <row r="3494">
      <c r="A3494" s="11" t="s">
        <v>1557</v>
      </c>
    </row>
    <row r="3495">
      <c r="A3495" s="11" t="s">
        <v>44</v>
      </c>
    </row>
    <row r="3496">
      <c r="A3496" s="11" t="s">
        <v>151</v>
      </c>
    </row>
    <row r="3497">
      <c r="A3497" s="11" t="s">
        <v>16</v>
      </c>
    </row>
    <row r="3498">
      <c r="A3498" s="11" t="s">
        <v>151</v>
      </c>
    </row>
    <row r="3499">
      <c r="A3499" s="11" t="s">
        <v>25</v>
      </c>
    </row>
    <row r="3500">
      <c r="A3500" s="11" t="s">
        <v>26</v>
      </c>
    </row>
    <row r="3501">
      <c r="A3501" s="11" t="s">
        <v>17</v>
      </c>
    </row>
    <row r="3502">
      <c r="A3502" s="11">
        <v>297.0</v>
      </c>
    </row>
    <row r="3503">
      <c r="A3503" s="11" t="s">
        <v>18</v>
      </c>
    </row>
    <row r="3504">
      <c r="A3504" s="11" t="s">
        <v>1559</v>
      </c>
    </row>
    <row r="3505">
      <c r="A3505" s="11" t="s">
        <v>94</v>
      </c>
    </row>
    <row r="3506">
      <c r="A3506" s="11" t="s">
        <v>1560</v>
      </c>
    </row>
    <row r="3507">
      <c r="A3507" s="11" t="s">
        <v>98</v>
      </c>
    </row>
    <row r="3508">
      <c r="A3508" s="11">
        <v>141.0</v>
      </c>
    </row>
    <row r="3509">
      <c r="A3509" s="11" t="s">
        <v>16</v>
      </c>
    </row>
    <row r="3510">
      <c r="A3510" s="11" t="s">
        <v>151</v>
      </c>
    </row>
    <row r="3511">
      <c r="A3511" s="11" t="s">
        <v>25</v>
      </c>
    </row>
    <row r="3512">
      <c r="A3512" s="11" t="s">
        <v>26</v>
      </c>
    </row>
    <row r="3513">
      <c r="A3513" s="11" t="s">
        <v>17</v>
      </c>
    </row>
    <row r="3514">
      <c r="A3514" s="11">
        <v>298.0</v>
      </c>
    </row>
    <row r="3515">
      <c r="A3515" s="11" t="s">
        <v>18</v>
      </c>
    </row>
    <row r="3516">
      <c r="A3516" s="11" t="s">
        <v>1565</v>
      </c>
    </row>
    <row r="3517">
      <c r="A3517" s="11" t="s">
        <v>319</v>
      </c>
    </row>
    <row r="3518">
      <c r="A3518" s="11" t="s">
        <v>1567</v>
      </c>
    </row>
    <row r="3519">
      <c r="A3519" s="11" t="s">
        <v>121</v>
      </c>
    </row>
    <row r="3520">
      <c r="A3520" s="11">
        <v>188.0</v>
      </c>
    </row>
    <row r="3521">
      <c r="A3521" s="11" t="s">
        <v>16</v>
      </c>
    </row>
    <row r="3522">
      <c r="A3522" s="11" t="s">
        <v>151</v>
      </c>
    </row>
    <row r="3523">
      <c r="A3523" s="11" t="s">
        <v>25</v>
      </c>
    </row>
    <row r="3524">
      <c r="A3524" s="11" t="s">
        <v>26</v>
      </c>
    </row>
    <row r="3525">
      <c r="A3525" s="11" t="s">
        <v>17</v>
      </c>
    </row>
    <row r="3526">
      <c r="A3526" s="11">
        <v>299.0</v>
      </c>
    </row>
    <row r="3527">
      <c r="A3527" s="11" t="s">
        <v>18</v>
      </c>
    </row>
    <row r="3528">
      <c r="A3528" s="11" t="s">
        <v>1570</v>
      </c>
    </row>
    <row r="3529">
      <c r="A3529" s="11" t="s">
        <v>29</v>
      </c>
    </row>
    <row r="3530">
      <c r="A3530" s="11" t="s">
        <v>1571</v>
      </c>
    </row>
    <row r="3531">
      <c r="A3531" s="11" t="s">
        <v>31</v>
      </c>
    </row>
    <row r="3532">
      <c r="A3532" s="11">
        <v>164.8</v>
      </c>
    </row>
    <row r="3533">
      <c r="A3533" s="11" t="s">
        <v>16</v>
      </c>
    </row>
    <row r="3534">
      <c r="A3534" s="11" t="s">
        <v>151</v>
      </c>
    </row>
    <row r="3535">
      <c r="A3535" s="11" t="s">
        <v>25</v>
      </c>
    </row>
    <row r="3536">
      <c r="A3536" s="11" t="s">
        <v>26</v>
      </c>
    </row>
    <row r="3537">
      <c r="A3537" s="11" t="s">
        <v>17</v>
      </c>
    </row>
    <row r="3538">
      <c r="A3538" s="11">
        <v>300.0</v>
      </c>
    </row>
    <row r="3539">
      <c r="A3539" s="11" t="s">
        <v>18</v>
      </c>
    </row>
    <row r="3540">
      <c r="A3540" s="11" t="s">
        <v>1573</v>
      </c>
    </row>
    <row r="3541">
      <c r="A3541" s="11" t="s">
        <v>295</v>
      </c>
    </row>
    <row r="3542">
      <c r="A3542" s="11" t="s">
        <v>1575</v>
      </c>
    </row>
    <row r="3543">
      <c r="A3543" s="11" t="s">
        <v>62</v>
      </c>
    </row>
    <row r="3544">
      <c r="A3544" s="11" t="s">
        <v>151</v>
      </c>
    </row>
    <row r="3545">
      <c r="A3545" s="11" t="s">
        <v>16</v>
      </c>
    </row>
    <row r="3546">
      <c r="A3546" s="11" t="s">
        <v>151</v>
      </c>
    </row>
    <row r="3547">
      <c r="A3547" s="11" t="s">
        <v>25</v>
      </c>
    </row>
    <row r="3548">
      <c r="A3548" s="11" t="s">
        <v>26</v>
      </c>
    </row>
    <row r="3549">
      <c r="A3549" s="11" t="s">
        <v>17</v>
      </c>
    </row>
    <row r="3550">
      <c r="A3550" s="11">
        <v>301.0</v>
      </c>
    </row>
    <row r="3551">
      <c r="A3551" s="11" t="s">
        <v>1577</v>
      </c>
    </row>
    <row r="3552">
      <c r="A3552" s="11" t="s">
        <v>35</v>
      </c>
    </row>
    <row r="3553">
      <c r="A3553" s="11" t="s">
        <v>1578</v>
      </c>
    </row>
    <row r="3554">
      <c r="A3554" s="11" t="s">
        <v>37</v>
      </c>
    </row>
    <row r="3555">
      <c r="A3555" s="11" t="s">
        <v>151</v>
      </c>
    </row>
    <row r="3556">
      <c r="A3556" s="11" t="s">
        <v>16</v>
      </c>
    </row>
    <row r="3557">
      <c r="A3557" s="11" t="s">
        <v>151</v>
      </c>
    </row>
    <row r="3558">
      <c r="A3558" s="11" t="s">
        <v>25</v>
      </c>
    </row>
    <row r="3559">
      <c r="A3559" s="11" t="s">
        <v>26</v>
      </c>
    </row>
    <row r="3560">
      <c r="A3560" s="11" t="s">
        <v>17</v>
      </c>
    </row>
    <row r="3561">
      <c r="A3561" s="11">
        <v>302.0</v>
      </c>
    </row>
    <row r="3562">
      <c r="A3562" s="11" t="s">
        <v>1580</v>
      </c>
    </row>
    <row r="3563">
      <c r="A3563" s="11" t="s">
        <v>142</v>
      </c>
    </row>
    <row r="3564">
      <c r="A3564" s="11" t="s">
        <v>1582</v>
      </c>
    </row>
    <row r="3565">
      <c r="A3565" s="11" t="s">
        <v>31</v>
      </c>
    </row>
    <row r="3566">
      <c r="A3566" s="11" t="s">
        <v>151</v>
      </c>
    </row>
    <row r="3567">
      <c r="A3567" s="11" t="s">
        <v>16</v>
      </c>
    </row>
    <row r="3568">
      <c r="A3568" s="11" t="s">
        <v>151</v>
      </c>
    </row>
    <row r="3569">
      <c r="A3569" s="11" t="s">
        <v>25</v>
      </c>
    </row>
    <row r="3570">
      <c r="A3570" s="11" t="s">
        <v>26</v>
      </c>
    </row>
    <row r="3571">
      <c r="A3571" s="11" t="s">
        <v>17</v>
      </c>
    </row>
    <row r="3572">
      <c r="A3572" s="11">
        <v>303.0</v>
      </c>
    </row>
    <row r="3573">
      <c r="A3573" s="11" t="s">
        <v>18</v>
      </c>
    </row>
    <row r="3574">
      <c r="A3574" s="11" t="s">
        <v>1585</v>
      </c>
    </row>
    <row r="3575">
      <c r="A3575" s="11" t="s">
        <v>166</v>
      </c>
    </row>
    <row r="3576">
      <c r="A3576" s="11" t="s">
        <v>1586</v>
      </c>
    </row>
    <row r="3577">
      <c r="A3577" s="11" t="s">
        <v>44</v>
      </c>
    </row>
    <row r="3578">
      <c r="A3578" s="11" t="s">
        <v>151</v>
      </c>
    </row>
    <row r="3579">
      <c r="A3579" s="11" t="s">
        <v>16</v>
      </c>
    </row>
    <row r="3580">
      <c r="A3580" s="11" t="s">
        <v>151</v>
      </c>
    </row>
    <row r="3581">
      <c r="A3581" s="11" t="s">
        <v>25</v>
      </c>
    </row>
    <row r="3582">
      <c r="A3582" s="11" t="s">
        <v>26</v>
      </c>
    </row>
    <row r="3583">
      <c r="A3583" s="11" t="s">
        <v>17</v>
      </c>
    </row>
    <row r="3584">
      <c r="A3584" s="11">
        <v>304.0</v>
      </c>
    </row>
    <row r="3585">
      <c r="A3585" s="11" t="s">
        <v>18</v>
      </c>
    </row>
    <row r="3586">
      <c r="A3586" s="11" t="s">
        <v>1591</v>
      </c>
    </row>
    <row r="3587">
      <c r="A3587" s="11" t="s">
        <v>266</v>
      </c>
    </row>
    <row r="3588">
      <c r="A3588" s="11" t="s">
        <v>1592</v>
      </c>
    </row>
    <row r="3589">
      <c r="A3589" s="11" t="s">
        <v>44</v>
      </c>
    </row>
    <row r="3590">
      <c r="A3590" s="11" t="s">
        <v>151</v>
      </c>
    </row>
    <row r="3591">
      <c r="A3591" s="11" t="s">
        <v>16</v>
      </c>
    </row>
    <row r="3592">
      <c r="A3592" s="16">
        <v>1.0</v>
      </c>
    </row>
    <row r="3593">
      <c r="A3593" s="11" t="s">
        <v>25</v>
      </c>
    </row>
    <row r="3594">
      <c r="A3594" s="11" t="s">
        <v>26</v>
      </c>
    </row>
    <row r="3595">
      <c r="A3595" s="11" t="s">
        <v>17</v>
      </c>
    </row>
    <row r="3596">
      <c r="A3596" s="11">
        <v>305.0</v>
      </c>
    </row>
    <row r="3597">
      <c r="A3597" s="11" t="s">
        <v>18</v>
      </c>
    </row>
    <row r="3598">
      <c r="A3598" s="11" t="s">
        <v>1597</v>
      </c>
    </row>
    <row r="3599">
      <c r="A3599" s="11" t="s">
        <v>29</v>
      </c>
    </row>
    <row r="3600">
      <c r="A3600" s="11" t="s">
        <v>1598</v>
      </c>
    </row>
    <row r="3601">
      <c r="A3601" s="11" t="s">
        <v>31</v>
      </c>
    </row>
    <row r="3602">
      <c r="A3602" s="11" t="s">
        <v>151</v>
      </c>
    </row>
    <row r="3603">
      <c r="A3603" s="11" t="s">
        <v>16</v>
      </c>
    </row>
    <row r="3604">
      <c r="A3604" s="16">
        <v>1.0</v>
      </c>
    </row>
    <row r="3605">
      <c r="A3605" s="11" t="s">
        <v>25</v>
      </c>
    </row>
    <row r="3606">
      <c r="A3606" s="11" t="s">
        <v>26</v>
      </c>
    </row>
    <row r="3607">
      <c r="A3607" s="11" t="s">
        <v>17</v>
      </c>
    </row>
    <row r="3608">
      <c r="A3608" s="11">
        <v>306.0</v>
      </c>
    </row>
    <row r="3609">
      <c r="A3609" s="11" t="s">
        <v>18</v>
      </c>
    </row>
    <row r="3610">
      <c r="A3610" s="11" t="s">
        <v>1600</v>
      </c>
    </row>
    <row r="3611">
      <c r="A3611" s="11" t="s">
        <v>253</v>
      </c>
    </row>
    <row r="3612">
      <c r="A3612" s="11" t="s">
        <v>1603</v>
      </c>
    </row>
    <row r="3613">
      <c r="A3613" s="11" t="s">
        <v>121</v>
      </c>
    </row>
    <row r="3614">
      <c r="A3614" s="11" t="s">
        <v>151</v>
      </c>
    </row>
    <row r="3615">
      <c r="A3615" s="11" t="s">
        <v>16</v>
      </c>
    </row>
    <row r="3616">
      <c r="A3616" s="11" t="s">
        <v>151</v>
      </c>
    </row>
    <row r="3617">
      <c r="A3617" s="11" t="s">
        <v>25</v>
      </c>
    </row>
    <row r="3618">
      <c r="A3618" s="11" t="s">
        <v>26</v>
      </c>
    </row>
    <row r="3619">
      <c r="A3619" s="11" t="s">
        <v>17</v>
      </c>
    </row>
    <row r="3620">
      <c r="A3620" s="11">
        <v>307.0</v>
      </c>
    </row>
    <row r="3621">
      <c r="A3621" s="11" t="s">
        <v>18</v>
      </c>
    </row>
    <row r="3622">
      <c r="A3622" s="11" t="s">
        <v>1605</v>
      </c>
    </row>
    <row r="3623">
      <c r="A3623" s="11" t="s">
        <v>94</v>
      </c>
    </row>
    <row r="3624">
      <c r="A3624" s="11" t="s">
        <v>1607</v>
      </c>
    </row>
    <row r="3625">
      <c r="A3625" s="11" t="s">
        <v>98</v>
      </c>
    </row>
    <row r="3626">
      <c r="A3626" s="11" t="s">
        <v>151</v>
      </c>
    </row>
    <row r="3627">
      <c r="A3627" s="11" t="s">
        <v>16</v>
      </c>
    </row>
    <row r="3628">
      <c r="A3628" s="16">
        <v>1.0</v>
      </c>
    </row>
    <row r="3629">
      <c r="A3629" s="11" t="s">
        <v>25</v>
      </c>
    </row>
    <row r="3630">
      <c r="A3630" s="11" t="s">
        <v>26</v>
      </c>
    </row>
    <row r="3631">
      <c r="A3631" s="11" t="s">
        <v>17</v>
      </c>
    </row>
    <row r="3632">
      <c r="A3632" s="11">
        <v>308.0</v>
      </c>
    </row>
    <row r="3633">
      <c r="A3633" s="11" t="s">
        <v>18</v>
      </c>
    </row>
    <row r="3634">
      <c r="A3634" s="11" t="s">
        <v>1612</v>
      </c>
    </row>
    <row r="3635">
      <c r="A3635" s="11" t="s">
        <v>35</v>
      </c>
    </row>
    <row r="3636">
      <c r="A3636" s="11" t="s">
        <v>1613</v>
      </c>
    </row>
    <row r="3637">
      <c r="A3637" s="11" t="s">
        <v>37</v>
      </c>
    </row>
    <row r="3638">
      <c r="A3638" s="11" t="s">
        <v>151</v>
      </c>
    </row>
    <row r="3639">
      <c r="A3639" s="11" t="s">
        <v>16</v>
      </c>
    </row>
    <row r="3640">
      <c r="A3640" s="11" t="s">
        <v>151</v>
      </c>
    </row>
    <row r="3641">
      <c r="A3641" s="11" t="s">
        <v>25</v>
      </c>
    </row>
    <row r="3642">
      <c r="A3642" s="11" t="s">
        <v>26</v>
      </c>
    </row>
    <row r="3643">
      <c r="A3643" s="11" t="s">
        <v>17</v>
      </c>
    </row>
    <row r="3644">
      <c r="A3644" s="11">
        <v>309.0</v>
      </c>
    </row>
    <row r="3645">
      <c r="A3645" s="11" t="s">
        <v>18</v>
      </c>
    </row>
    <row r="3646">
      <c r="A3646" s="11" t="s">
        <v>1619</v>
      </c>
    </row>
    <row r="3647">
      <c r="A3647" s="11" t="s">
        <v>248</v>
      </c>
    </row>
    <row r="3648">
      <c r="A3648" s="11" t="s">
        <v>1620</v>
      </c>
    </row>
    <row r="3649">
      <c r="A3649" s="11" t="s">
        <v>98</v>
      </c>
    </row>
    <row r="3650">
      <c r="A3650" s="11" t="s">
        <v>151</v>
      </c>
    </row>
    <row r="3651">
      <c r="A3651" s="11" t="s">
        <v>16</v>
      </c>
    </row>
    <row r="3652">
      <c r="A3652" s="16">
        <v>1.0</v>
      </c>
    </row>
    <row r="3653">
      <c r="A3653" s="11" t="s">
        <v>25</v>
      </c>
    </row>
    <row r="3654">
      <c r="A3654" s="11" t="s">
        <v>26</v>
      </c>
    </row>
    <row r="3655">
      <c r="A3655" s="11" t="s">
        <v>17</v>
      </c>
    </row>
    <row r="3656">
      <c r="A3656" s="11">
        <v>310.0</v>
      </c>
    </row>
    <row r="3657">
      <c r="A3657" s="11" t="s">
        <v>18</v>
      </c>
    </row>
    <row r="3658">
      <c r="A3658" s="11" t="s">
        <v>1622</v>
      </c>
    </row>
    <row r="3659">
      <c r="A3659" s="11" t="s">
        <v>253</v>
      </c>
    </row>
    <row r="3660">
      <c r="A3660" s="11" t="s">
        <v>1625</v>
      </c>
    </row>
    <row r="3661">
      <c r="A3661" s="11" t="s">
        <v>121</v>
      </c>
    </row>
    <row r="3662">
      <c r="A3662" s="11" t="s">
        <v>151</v>
      </c>
    </row>
    <row r="3663">
      <c r="A3663" s="11" t="s">
        <v>16</v>
      </c>
    </row>
    <row r="3664">
      <c r="A3664" s="11" t="s">
        <v>151</v>
      </c>
    </row>
    <row r="3665">
      <c r="A3665" s="11" t="s">
        <v>25</v>
      </c>
    </row>
    <row r="3666">
      <c r="A3666" s="11" t="s">
        <v>26</v>
      </c>
    </row>
    <row r="3667">
      <c r="A3667" s="11" t="s">
        <v>17</v>
      </c>
    </row>
    <row r="3668">
      <c r="A3668" s="11">
        <v>311.0</v>
      </c>
    </row>
    <row r="3669">
      <c r="A3669" s="11" t="s">
        <v>18</v>
      </c>
    </row>
    <row r="3670">
      <c r="A3670" s="11" t="s">
        <v>1628</v>
      </c>
    </row>
    <row r="3671">
      <c r="A3671" s="11" t="s">
        <v>266</v>
      </c>
    </row>
    <row r="3672">
      <c r="A3672" s="11" t="s">
        <v>1629</v>
      </c>
    </row>
    <row r="3673">
      <c r="A3673" s="11" t="s">
        <v>44</v>
      </c>
    </row>
    <row r="3674">
      <c r="A3674" s="11" t="s">
        <v>151</v>
      </c>
    </row>
    <row r="3675">
      <c r="A3675" s="11" t="s">
        <v>16</v>
      </c>
    </row>
    <row r="3676">
      <c r="A3676" s="16">
        <v>1.0</v>
      </c>
    </row>
    <row r="3677">
      <c r="A3677" s="11" t="s">
        <v>25</v>
      </c>
    </row>
    <row r="3678">
      <c r="A3678" s="11" t="s">
        <v>26</v>
      </c>
    </row>
    <row r="3679">
      <c r="A3679" s="11" t="s">
        <v>17</v>
      </c>
    </row>
    <row r="3680">
      <c r="A3680" s="11">
        <v>312.0</v>
      </c>
    </row>
    <row r="3681">
      <c r="A3681" s="11" t="s">
        <v>18</v>
      </c>
    </row>
    <row r="3682">
      <c r="A3682" s="11" t="s">
        <v>1511</v>
      </c>
    </row>
    <row r="3683">
      <c r="A3683" s="11" t="s">
        <v>266</v>
      </c>
    </row>
    <row r="3684">
      <c r="A3684" s="11" t="s">
        <v>1634</v>
      </c>
    </row>
    <row r="3685">
      <c r="A3685" s="11" t="s">
        <v>44</v>
      </c>
    </row>
    <row r="3686">
      <c r="A3686" s="11" t="s">
        <v>151</v>
      </c>
    </row>
    <row r="3687">
      <c r="A3687" s="11" t="s">
        <v>16</v>
      </c>
    </row>
    <row r="3688">
      <c r="A3688" s="16">
        <v>1.0</v>
      </c>
    </row>
    <row r="3689">
      <c r="A3689" s="11" t="s">
        <v>25</v>
      </c>
    </row>
    <row r="3690">
      <c r="A3690" s="11" t="s">
        <v>26</v>
      </c>
    </row>
    <row r="3691">
      <c r="A3691" s="11" t="s">
        <v>17</v>
      </c>
    </row>
    <row r="3692">
      <c r="A3692" s="11">
        <v>313.0</v>
      </c>
    </row>
    <row r="3693">
      <c r="A3693" s="11" t="s">
        <v>18</v>
      </c>
    </row>
    <row r="3694">
      <c r="A3694" s="11" t="s">
        <v>1638</v>
      </c>
    </row>
    <row r="3695">
      <c r="A3695" s="11" t="s">
        <v>236</v>
      </c>
    </row>
    <row r="3696">
      <c r="A3696" s="11" t="s">
        <v>1641</v>
      </c>
    </row>
    <row r="3697">
      <c r="A3697" s="11" t="s">
        <v>31</v>
      </c>
    </row>
    <row r="3698">
      <c r="A3698" s="11" t="s">
        <v>151</v>
      </c>
    </row>
    <row r="3699">
      <c r="A3699" s="11" t="s">
        <v>16</v>
      </c>
    </row>
    <row r="3700">
      <c r="A3700" s="11" t="s">
        <v>151</v>
      </c>
    </row>
    <row r="3701">
      <c r="A3701" s="11" t="s">
        <v>25</v>
      </c>
    </row>
    <row r="3702">
      <c r="A3702" s="11" t="s">
        <v>26</v>
      </c>
    </row>
    <row r="3703">
      <c r="A3703" s="11" t="s">
        <v>17</v>
      </c>
    </row>
    <row r="3704">
      <c r="A3704" s="11">
        <v>314.0</v>
      </c>
    </row>
    <row r="3705">
      <c r="A3705" s="11" t="s">
        <v>18</v>
      </c>
    </row>
    <row r="3706">
      <c r="A3706" s="11" t="s">
        <v>1642</v>
      </c>
    </row>
    <row r="3707">
      <c r="A3707" s="11" t="s">
        <v>206</v>
      </c>
    </row>
    <row r="3708">
      <c r="A3708" s="11" t="s">
        <v>1643</v>
      </c>
    </row>
    <row r="3709">
      <c r="A3709" s="11" t="s">
        <v>37</v>
      </c>
    </row>
    <row r="3710">
      <c r="A3710" s="11" t="s">
        <v>151</v>
      </c>
    </row>
    <row r="3711">
      <c r="A3711" s="11" t="s">
        <v>16</v>
      </c>
    </row>
    <row r="3712">
      <c r="A3712" s="11" t="s">
        <v>151</v>
      </c>
    </row>
    <row r="3713">
      <c r="A3713" s="11" t="s">
        <v>25</v>
      </c>
    </row>
    <row r="3714">
      <c r="A3714" s="11" t="s">
        <v>26</v>
      </c>
    </row>
    <row r="3715">
      <c r="A3715" s="11" t="s">
        <v>17</v>
      </c>
    </row>
    <row r="3716">
      <c r="A3716" s="11">
        <v>315.0</v>
      </c>
    </row>
    <row r="3717">
      <c r="A3717" s="11" t="s">
        <v>1647</v>
      </c>
    </row>
    <row r="3718">
      <c r="A3718" s="11" t="s">
        <v>266</v>
      </c>
    </row>
    <row r="3719">
      <c r="A3719" s="11" t="s">
        <v>1648</v>
      </c>
    </row>
    <row r="3720">
      <c r="A3720" s="11" t="s">
        <v>44</v>
      </c>
    </row>
    <row r="3721">
      <c r="A3721" s="11" t="s">
        <v>151</v>
      </c>
    </row>
    <row r="3722">
      <c r="A3722" s="11" t="s">
        <v>16</v>
      </c>
    </row>
    <row r="3723">
      <c r="A3723" s="11" t="s">
        <v>151</v>
      </c>
    </row>
    <row r="3724">
      <c r="A3724" s="11" t="s">
        <v>25</v>
      </c>
    </row>
    <row r="3725">
      <c r="A3725" s="11" t="s">
        <v>26</v>
      </c>
    </row>
    <row r="3726">
      <c r="A3726" s="11" t="s">
        <v>17</v>
      </c>
    </row>
    <row r="3727">
      <c r="A3727" s="11">
        <v>316.0</v>
      </c>
    </row>
    <row r="3728">
      <c r="A3728" s="11" t="s">
        <v>18</v>
      </c>
    </row>
    <row r="3729">
      <c r="A3729" s="11" t="s">
        <v>1653</v>
      </c>
    </row>
    <row r="3730">
      <c r="A3730" s="11" t="s">
        <v>295</v>
      </c>
    </row>
    <row r="3731">
      <c r="A3731" s="11" t="s">
        <v>1654</v>
      </c>
    </row>
    <row r="3732">
      <c r="A3732" s="11" t="s">
        <v>62</v>
      </c>
    </row>
    <row r="3733">
      <c r="A3733" s="11" t="s">
        <v>151</v>
      </c>
    </row>
    <row r="3734">
      <c r="A3734" s="11" t="s">
        <v>16</v>
      </c>
    </row>
    <row r="3735">
      <c r="A3735" s="11" t="s">
        <v>151</v>
      </c>
    </row>
    <row r="3736">
      <c r="A3736" s="11" t="s">
        <v>25</v>
      </c>
    </row>
    <row r="3737">
      <c r="A3737" s="11" t="s">
        <v>26</v>
      </c>
    </row>
    <row r="3738">
      <c r="A3738" s="11" t="s">
        <v>17</v>
      </c>
    </row>
    <row r="3739">
      <c r="A3739" s="11">
        <v>317.0</v>
      </c>
    </row>
    <row r="3740">
      <c r="A3740" s="11" t="s">
        <v>1656</v>
      </c>
    </row>
    <row r="3741">
      <c r="A3741" s="11" t="s">
        <v>183</v>
      </c>
    </row>
    <row r="3742">
      <c r="A3742" s="11" t="s">
        <v>1658</v>
      </c>
    </row>
    <row r="3743">
      <c r="A3743" s="11" t="s">
        <v>44</v>
      </c>
    </row>
    <row r="3744">
      <c r="A3744" s="11">
        <v>174.5</v>
      </c>
    </row>
    <row r="3745">
      <c r="A3745" s="11" t="s">
        <v>16</v>
      </c>
    </row>
    <row r="3746">
      <c r="A3746" s="11" t="s">
        <v>151</v>
      </c>
    </row>
    <row r="3747">
      <c r="A3747" s="11" t="s">
        <v>25</v>
      </c>
    </row>
    <row r="3748">
      <c r="A3748" s="11" t="s">
        <v>26</v>
      </c>
    </row>
    <row r="3749">
      <c r="A3749" s="11" t="s">
        <v>17</v>
      </c>
    </row>
    <row r="3750">
      <c r="A3750" s="11">
        <v>318.0</v>
      </c>
    </row>
    <row r="3751">
      <c r="A3751" s="11" t="s">
        <v>18</v>
      </c>
    </row>
    <row r="3752">
      <c r="A3752" s="11" t="s">
        <v>1663</v>
      </c>
    </row>
    <row r="3753">
      <c r="A3753" s="11" t="s">
        <v>66</v>
      </c>
    </row>
    <row r="3754">
      <c r="A3754" s="11" t="s">
        <v>1664</v>
      </c>
    </row>
    <row r="3755">
      <c r="A3755" s="11" t="s">
        <v>31</v>
      </c>
    </row>
    <row r="3756">
      <c r="A3756" s="11">
        <v>160.3</v>
      </c>
    </row>
    <row r="3757">
      <c r="A3757" s="11" t="s">
        <v>16</v>
      </c>
    </row>
    <row r="3758">
      <c r="A3758" s="16">
        <v>1.0</v>
      </c>
    </row>
    <row r="3759">
      <c r="A3759" s="11" t="s">
        <v>25</v>
      </c>
    </row>
    <row r="3760">
      <c r="A3760" s="11" t="s">
        <v>26</v>
      </c>
    </row>
    <row r="3761">
      <c r="A3761" s="11" t="s">
        <v>17</v>
      </c>
    </row>
    <row r="3762">
      <c r="A3762" s="11">
        <v>319.0</v>
      </c>
    </row>
    <row r="3763">
      <c r="A3763" s="11" t="s">
        <v>18</v>
      </c>
    </row>
    <row r="3764">
      <c r="A3764" s="11" t="s">
        <v>1670</v>
      </c>
    </row>
    <row r="3765">
      <c r="A3765" s="11" t="s">
        <v>35</v>
      </c>
    </row>
    <row r="3766">
      <c r="A3766" s="11" t="s">
        <v>1671</v>
      </c>
    </row>
    <row r="3767">
      <c r="A3767" s="11" t="s">
        <v>37</v>
      </c>
    </row>
    <row r="3768">
      <c r="A3768" s="11">
        <v>159.0</v>
      </c>
    </row>
    <row r="3769">
      <c r="A3769" s="11" t="s">
        <v>16</v>
      </c>
    </row>
    <row r="3770">
      <c r="A3770" s="11" t="s">
        <v>151</v>
      </c>
    </row>
    <row r="3771">
      <c r="A3771" s="11" t="s">
        <v>25</v>
      </c>
    </row>
    <row r="3772">
      <c r="A3772" s="11" t="s">
        <v>26</v>
      </c>
    </row>
    <row r="3773">
      <c r="A3773" s="11" t="s">
        <v>17</v>
      </c>
    </row>
    <row r="3774">
      <c r="A3774" s="11">
        <v>320.0</v>
      </c>
    </row>
    <row r="3775">
      <c r="A3775" s="11" t="s">
        <v>18</v>
      </c>
    </row>
    <row r="3776">
      <c r="A3776" s="11" t="s">
        <v>1673</v>
      </c>
    </row>
    <row r="3777">
      <c r="A3777" s="11" t="s">
        <v>253</v>
      </c>
    </row>
    <row r="3778">
      <c r="A3778" s="11" t="s">
        <v>1675</v>
      </c>
    </row>
    <row r="3779">
      <c r="A3779" s="11" t="s">
        <v>121</v>
      </c>
    </row>
    <row r="3780">
      <c r="A3780" s="11" t="s">
        <v>151</v>
      </c>
    </row>
    <row r="3781">
      <c r="A3781" s="11" t="s">
        <v>16</v>
      </c>
    </row>
    <row r="3782">
      <c r="A3782" s="16">
        <v>1.0</v>
      </c>
    </row>
    <row r="3783">
      <c r="A3783" s="11" t="s">
        <v>25</v>
      </c>
    </row>
    <row r="3784">
      <c r="A3784" s="11" t="s">
        <v>26</v>
      </c>
    </row>
    <row r="3785">
      <c r="A3785" s="11" t="s">
        <v>17</v>
      </c>
    </row>
    <row r="3786">
      <c r="A3786" s="11">
        <v>321.0</v>
      </c>
    </row>
    <row r="3787">
      <c r="A3787" s="11" t="s">
        <v>1679</v>
      </c>
    </row>
    <row r="3788">
      <c r="A3788" s="11" t="s">
        <v>125</v>
      </c>
    </row>
    <row r="3789">
      <c r="A3789" s="11" t="s">
        <v>1680</v>
      </c>
    </row>
    <row r="3790">
      <c r="A3790" s="11" t="s">
        <v>37</v>
      </c>
    </row>
    <row r="3791">
      <c r="A3791" s="11" t="s">
        <v>151</v>
      </c>
    </row>
    <row r="3792">
      <c r="A3792" s="11" t="s">
        <v>16</v>
      </c>
    </row>
    <row r="3793">
      <c r="A3793" s="11" t="s">
        <v>151</v>
      </c>
    </row>
    <row r="3794">
      <c r="A3794" s="11" t="s">
        <v>25</v>
      </c>
    </row>
    <row r="3795">
      <c r="A3795" s="11" t="s">
        <v>26</v>
      </c>
    </row>
    <row r="3796">
      <c r="A3796" s="11" t="s">
        <v>17</v>
      </c>
    </row>
    <row r="3797">
      <c r="A3797" s="11">
        <v>322.0</v>
      </c>
    </row>
    <row r="3798">
      <c r="A3798" s="11" t="s">
        <v>1682</v>
      </c>
    </row>
    <row r="3799">
      <c r="A3799" s="11" t="s">
        <v>253</v>
      </c>
    </row>
    <row r="3800">
      <c r="A3800" s="11" t="s">
        <v>1685</v>
      </c>
    </row>
    <row r="3801">
      <c r="A3801" s="11" t="s">
        <v>121</v>
      </c>
    </row>
    <row r="3802">
      <c r="A3802" s="11" t="s">
        <v>151</v>
      </c>
    </row>
    <row r="3803">
      <c r="A3803" s="11" t="s">
        <v>16</v>
      </c>
    </row>
    <row r="3804">
      <c r="A3804" s="11" t="s">
        <v>151</v>
      </c>
    </row>
    <row r="3805">
      <c r="A3805" s="11" t="s">
        <v>25</v>
      </c>
    </row>
    <row r="3806">
      <c r="A3806" s="11" t="s">
        <v>26</v>
      </c>
    </row>
    <row r="3807">
      <c r="A3807" s="11" t="s">
        <v>17</v>
      </c>
    </row>
    <row r="3808">
      <c r="A3808" s="11">
        <v>323.0</v>
      </c>
    </row>
    <row r="3809">
      <c r="A3809" s="11" t="s">
        <v>18</v>
      </c>
    </row>
    <row r="3810">
      <c r="A3810" s="11" t="s">
        <v>1689</v>
      </c>
    </row>
    <row r="3811">
      <c r="A3811" s="11" t="s">
        <v>248</v>
      </c>
    </row>
    <row r="3812">
      <c r="A3812" s="11" t="s">
        <v>1690</v>
      </c>
    </row>
    <row r="3813">
      <c r="A3813" s="11" t="s">
        <v>98</v>
      </c>
    </row>
    <row r="3814">
      <c r="A3814" s="11" t="s">
        <v>151</v>
      </c>
    </row>
    <row r="3815">
      <c r="A3815" s="11" t="s">
        <v>16</v>
      </c>
    </row>
    <row r="3816">
      <c r="A3816" s="16">
        <v>1.0</v>
      </c>
    </row>
    <row r="3817">
      <c r="A3817" s="11" t="s">
        <v>25</v>
      </c>
    </row>
    <row r="3818">
      <c r="A3818" s="11" t="s">
        <v>26</v>
      </c>
    </row>
    <row r="3819">
      <c r="A3819" s="11" t="s">
        <v>17</v>
      </c>
    </row>
    <row r="3820">
      <c r="A3820" s="11">
        <v>324.0</v>
      </c>
    </row>
    <row r="3821">
      <c r="A3821" s="11" t="s">
        <v>18</v>
      </c>
    </row>
    <row r="3822">
      <c r="A3822" s="11" t="s">
        <v>1506</v>
      </c>
    </row>
    <row r="3823">
      <c r="A3823" s="11" t="s">
        <v>295</v>
      </c>
    </row>
    <row r="3824">
      <c r="A3824" s="11" t="s">
        <v>1697</v>
      </c>
    </row>
    <row r="3825">
      <c r="A3825" s="11" t="s">
        <v>62</v>
      </c>
    </row>
    <row r="3826">
      <c r="A3826" s="11" t="s">
        <v>151</v>
      </c>
    </row>
    <row r="3827">
      <c r="A3827" s="11" t="s">
        <v>16</v>
      </c>
    </row>
    <row r="3828">
      <c r="A3828" s="16">
        <v>1.0</v>
      </c>
    </row>
    <row r="3829">
      <c r="A3829" s="11" t="s">
        <v>25</v>
      </c>
    </row>
    <row r="3830">
      <c r="A3830" s="11" t="s">
        <v>26</v>
      </c>
    </row>
    <row r="3831">
      <c r="A3831" s="11" t="s">
        <v>17</v>
      </c>
    </row>
    <row r="3832">
      <c r="A3832" s="11">
        <v>325.0</v>
      </c>
    </row>
    <row r="3833">
      <c r="A3833" s="11" t="s">
        <v>18</v>
      </c>
    </row>
    <row r="3834">
      <c r="A3834" s="11" t="s">
        <v>1698</v>
      </c>
    </row>
    <row r="3835">
      <c r="A3835" s="11" t="s">
        <v>119</v>
      </c>
    </row>
    <row r="3836">
      <c r="A3836" s="11" t="s">
        <v>1699</v>
      </c>
    </row>
    <row r="3837">
      <c r="A3837" s="11" t="s">
        <v>121</v>
      </c>
    </row>
    <row r="3838">
      <c r="A3838" s="11" t="s">
        <v>151</v>
      </c>
    </row>
    <row r="3839">
      <c r="A3839" s="11" t="s">
        <v>16</v>
      </c>
    </row>
    <row r="3840">
      <c r="A3840" s="16">
        <v>2.0</v>
      </c>
    </row>
    <row r="3841">
      <c r="A3841" s="11" t="s">
        <v>25</v>
      </c>
    </row>
    <row r="3842">
      <c r="A3842" s="11" t="s">
        <v>26</v>
      </c>
    </row>
    <row r="3843">
      <c r="A3843" s="11" t="s">
        <v>17</v>
      </c>
    </row>
    <row r="3844">
      <c r="A3844" s="11">
        <v>326.0</v>
      </c>
    </row>
    <row r="3845">
      <c r="A3845" s="11" t="s">
        <v>18</v>
      </c>
    </row>
    <row r="3846">
      <c r="A3846" s="11" t="s">
        <v>1703</v>
      </c>
    </row>
    <row r="3847">
      <c r="A3847" s="11" t="s">
        <v>78</v>
      </c>
    </row>
    <row r="3848">
      <c r="A3848" s="11" t="s">
        <v>1704</v>
      </c>
    </row>
    <row r="3849">
      <c r="A3849" s="11" t="s">
        <v>37</v>
      </c>
    </row>
    <row r="3850">
      <c r="A3850" s="11" t="s">
        <v>151</v>
      </c>
    </row>
    <row r="3851">
      <c r="A3851" s="11" t="s">
        <v>16</v>
      </c>
    </row>
    <row r="3852">
      <c r="A3852" s="11" t="s">
        <v>151</v>
      </c>
    </row>
    <row r="3853">
      <c r="A3853" s="11" t="s">
        <v>25</v>
      </c>
    </row>
    <row r="3854">
      <c r="A3854" s="11" t="s">
        <v>26</v>
      </c>
    </row>
    <row r="3855">
      <c r="A3855" s="11" t="s">
        <v>17</v>
      </c>
    </row>
    <row r="3856">
      <c r="A3856" s="11">
        <v>327.0</v>
      </c>
    </row>
    <row r="3857">
      <c r="A3857" s="11" t="s">
        <v>18</v>
      </c>
    </row>
    <row r="3858">
      <c r="A3858" s="11" t="s">
        <v>1710</v>
      </c>
    </row>
    <row r="3859">
      <c r="A3859" s="11" t="s">
        <v>319</v>
      </c>
    </row>
    <row r="3860">
      <c r="A3860" s="11" t="s">
        <v>1712</v>
      </c>
    </row>
    <row r="3861">
      <c r="A3861" s="11" t="s">
        <v>121</v>
      </c>
    </row>
    <row r="3862">
      <c r="A3862" s="11" t="s">
        <v>151</v>
      </c>
    </row>
    <row r="3863">
      <c r="A3863" s="11" t="s">
        <v>16</v>
      </c>
    </row>
    <row r="3864">
      <c r="A3864" s="16">
        <v>4.0</v>
      </c>
    </row>
    <row r="3865">
      <c r="A3865" s="11" t="s">
        <v>25</v>
      </c>
    </row>
    <row r="3866">
      <c r="A3866" s="11" t="s">
        <v>26</v>
      </c>
    </row>
    <row r="3867">
      <c r="A3867" s="11" t="s">
        <v>17</v>
      </c>
    </row>
    <row r="3868">
      <c r="A3868" s="11">
        <v>328.0</v>
      </c>
    </row>
    <row r="3869">
      <c r="A3869" s="11" t="s">
        <v>18</v>
      </c>
    </row>
    <row r="3870">
      <c r="A3870" s="11" t="s">
        <v>1713</v>
      </c>
    </row>
    <row r="3871">
      <c r="A3871" s="11" t="s">
        <v>29</v>
      </c>
    </row>
    <row r="3872">
      <c r="A3872" s="11" t="s">
        <v>1714</v>
      </c>
    </row>
    <row r="3873">
      <c r="A3873" s="11" t="s">
        <v>31</v>
      </c>
    </row>
    <row r="3874">
      <c r="A3874" s="11" t="s">
        <v>151</v>
      </c>
    </row>
    <row r="3875">
      <c r="A3875" s="11" t="s">
        <v>16</v>
      </c>
    </row>
    <row r="3876">
      <c r="A3876" s="11" t="s">
        <v>151</v>
      </c>
    </row>
    <row r="3877">
      <c r="A3877" s="11" t="s">
        <v>25</v>
      </c>
    </row>
    <row r="3878">
      <c r="A3878" s="11" t="s">
        <v>26</v>
      </c>
    </row>
    <row r="3879">
      <c r="A3879" s="11" t="s">
        <v>17</v>
      </c>
    </row>
    <row r="3880">
      <c r="A3880" s="11">
        <v>329.0</v>
      </c>
    </row>
    <row r="3881">
      <c r="A3881" s="11" t="s">
        <v>18</v>
      </c>
    </row>
    <row r="3882">
      <c r="A3882" s="11" t="s">
        <v>1718</v>
      </c>
    </row>
    <row r="3883">
      <c r="A3883" s="11" t="s">
        <v>71</v>
      </c>
    </row>
    <row r="3884">
      <c r="A3884" s="11" t="s">
        <v>1719</v>
      </c>
    </row>
    <row r="3885">
      <c r="A3885" s="11" t="s">
        <v>23</v>
      </c>
    </row>
    <row r="3886">
      <c r="A3886" s="11" t="s">
        <v>151</v>
      </c>
    </row>
    <row r="3887">
      <c r="A3887" s="11" t="s">
        <v>16</v>
      </c>
    </row>
    <row r="3888">
      <c r="A3888" s="16">
        <v>1.0</v>
      </c>
    </row>
    <row r="3889">
      <c r="A3889" s="11" t="s">
        <v>25</v>
      </c>
    </row>
    <row r="3890">
      <c r="A3890" s="11" t="s">
        <v>26</v>
      </c>
    </row>
    <row r="3891">
      <c r="A3891" s="11" t="s">
        <v>17</v>
      </c>
    </row>
    <row r="3892">
      <c r="A3892" s="11">
        <v>330.0</v>
      </c>
    </row>
    <row r="3893">
      <c r="A3893" s="11" t="s">
        <v>1725</v>
      </c>
    </row>
    <row r="3894">
      <c r="A3894" s="11" t="s">
        <v>236</v>
      </c>
    </row>
    <row r="3895">
      <c r="A3895" s="11" t="s">
        <v>1726</v>
      </c>
    </row>
    <row r="3896">
      <c r="A3896" s="11" t="s">
        <v>31</v>
      </c>
    </row>
    <row r="3897">
      <c r="A3897" s="11" t="s">
        <v>151</v>
      </c>
    </row>
    <row r="3898">
      <c r="A3898" s="11" t="s">
        <v>16</v>
      </c>
    </row>
    <row r="3899">
      <c r="A3899" s="16">
        <v>1.0</v>
      </c>
    </row>
    <row r="3900">
      <c r="A3900" s="11" t="s">
        <v>25</v>
      </c>
    </row>
    <row r="3901">
      <c r="A3901" s="11" t="s">
        <v>26</v>
      </c>
    </row>
    <row r="3902">
      <c r="A3902" s="11" t="s">
        <v>17</v>
      </c>
    </row>
    <row r="3903">
      <c r="A3903" s="11">
        <v>331.0</v>
      </c>
    </row>
    <row r="3904">
      <c r="A3904" s="11" t="s">
        <v>18</v>
      </c>
    </row>
    <row r="3905">
      <c r="A3905" s="11" t="s">
        <v>1729</v>
      </c>
    </row>
    <row r="3906">
      <c r="A3906" s="11" t="s">
        <v>248</v>
      </c>
    </row>
    <row r="3907">
      <c r="A3907" s="11" t="s">
        <v>1731</v>
      </c>
    </row>
    <row r="3908">
      <c r="A3908" s="11" t="s">
        <v>98</v>
      </c>
    </row>
    <row r="3909">
      <c r="A3909" s="11" t="s">
        <v>151</v>
      </c>
    </row>
    <row r="3910">
      <c r="A3910" s="11" t="s">
        <v>16</v>
      </c>
    </row>
    <row r="3911">
      <c r="A3911" s="11" t="s">
        <v>151</v>
      </c>
    </row>
    <row r="3912">
      <c r="A3912" s="11" t="s">
        <v>25</v>
      </c>
    </row>
    <row r="3913">
      <c r="A3913" s="11" t="s">
        <v>26</v>
      </c>
    </row>
    <row r="3914">
      <c r="A3914" s="11" t="s">
        <v>17</v>
      </c>
    </row>
    <row r="3915">
      <c r="A3915" s="11">
        <v>332.0</v>
      </c>
    </row>
    <row r="3916">
      <c r="A3916" s="11" t="s">
        <v>18</v>
      </c>
    </row>
    <row r="3917">
      <c r="A3917" s="11" t="s">
        <v>1734</v>
      </c>
    </row>
    <row r="3918">
      <c r="A3918" s="11" t="s">
        <v>94</v>
      </c>
    </row>
    <row r="3919">
      <c r="A3919" s="11" t="s">
        <v>1735</v>
      </c>
    </row>
    <row r="3920">
      <c r="A3920" s="11" t="s">
        <v>98</v>
      </c>
    </row>
    <row r="3921">
      <c r="A3921" s="11" t="s">
        <v>151</v>
      </c>
    </row>
    <row r="3922">
      <c r="A3922" s="11" t="s">
        <v>16</v>
      </c>
    </row>
    <row r="3923">
      <c r="A3923" s="16">
        <v>4.0</v>
      </c>
    </row>
    <row r="3924">
      <c r="A3924" s="11" t="s">
        <v>25</v>
      </c>
    </row>
    <row r="3925">
      <c r="A3925" s="11" t="s">
        <v>26</v>
      </c>
    </row>
    <row r="3926">
      <c r="A3926" s="11" t="s">
        <v>17</v>
      </c>
    </row>
    <row r="3927">
      <c r="A3927" s="11">
        <v>333.0</v>
      </c>
    </row>
    <row r="3928">
      <c r="A3928" s="11" t="s">
        <v>18</v>
      </c>
    </row>
    <row r="3929">
      <c r="A3929" s="11" t="s">
        <v>1742</v>
      </c>
    </row>
    <row r="3930">
      <c r="A3930" s="11" t="s">
        <v>236</v>
      </c>
    </row>
    <row r="3931">
      <c r="A3931" s="11" t="s">
        <v>1743</v>
      </c>
    </row>
    <row r="3932">
      <c r="A3932" s="11" t="s">
        <v>31</v>
      </c>
    </row>
    <row r="3933">
      <c r="A3933" s="11" t="s">
        <v>151</v>
      </c>
    </row>
    <row r="3934">
      <c r="A3934" s="11" t="s">
        <v>16</v>
      </c>
    </row>
    <row r="3935">
      <c r="A3935" s="11" t="s">
        <v>151</v>
      </c>
    </row>
    <row r="3936">
      <c r="A3936" s="11" t="s">
        <v>25</v>
      </c>
    </row>
    <row r="3937">
      <c r="A3937" s="11" t="s">
        <v>26</v>
      </c>
    </row>
    <row r="3938">
      <c r="A3938" s="11" t="s">
        <v>17</v>
      </c>
    </row>
    <row r="3939">
      <c r="A3939" s="11">
        <v>334.0</v>
      </c>
    </row>
    <row r="3940">
      <c r="A3940" s="11" t="s">
        <v>1747</v>
      </c>
    </row>
    <row r="3941">
      <c r="A3941" s="11" t="s">
        <v>248</v>
      </c>
    </row>
    <row r="3942">
      <c r="A3942" s="11" t="s">
        <v>1749</v>
      </c>
    </row>
    <row r="3943">
      <c r="A3943" s="11" t="s">
        <v>98</v>
      </c>
    </row>
    <row r="3944">
      <c r="A3944" s="11" t="s">
        <v>151</v>
      </c>
    </row>
    <row r="3945">
      <c r="A3945" s="11" t="s">
        <v>16</v>
      </c>
    </row>
    <row r="3946">
      <c r="A3946" s="11" t="s">
        <v>151</v>
      </c>
    </row>
    <row r="3947">
      <c r="A3947" s="11" t="s">
        <v>25</v>
      </c>
    </row>
    <row r="3948">
      <c r="A3948" s="11" t="s">
        <v>26</v>
      </c>
    </row>
    <row r="3949">
      <c r="A3949" s="11" t="s">
        <v>17</v>
      </c>
    </row>
    <row r="3950">
      <c r="A3950" s="11">
        <v>335.0</v>
      </c>
    </row>
    <row r="3951">
      <c r="A3951" s="11" t="s">
        <v>18</v>
      </c>
    </row>
    <row r="3952">
      <c r="A3952" s="11" t="s">
        <v>1752</v>
      </c>
    </row>
    <row r="3953">
      <c r="A3953" s="11" t="s">
        <v>119</v>
      </c>
    </row>
    <row r="3954">
      <c r="A3954" s="11" t="s">
        <v>1753</v>
      </c>
    </row>
    <row r="3955">
      <c r="A3955" s="11" t="s">
        <v>121</v>
      </c>
    </row>
    <row r="3956">
      <c r="A3956" s="11" t="s">
        <v>151</v>
      </c>
    </row>
    <row r="3957">
      <c r="A3957" s="11" t="s">
        <v>16</v>
      </c>
    </row>
    <row r="3958">
      <c r="A3958" s="11" t="s">
        <v>151</v>
      </c>
    </row>
    <row r="3959">
      <c r="A3959" s="11" t="s">
        <v>25</v>
      </c>
    </row>
    <row r="3960">
      <c r="A3960" s="11" t="s">
        <v>26</v>
      </c>
    </row>
    <row r="3961">
      <c r="A3961" s="11" t="s">
        <v>17</v>
      </c>
    </row>
    <row r="3962">
      <c r="A3962" s="11">
        <v>336.0</v>
      </c>
    </row>
    <row r="3963">
      <c r="A3963" s="11" t="s">
        <v>1757</v>
      </c>
    </row>
    <row r="3964">
      <c r="A3964" s="11" t="s">
        <v>183</v>
      </c>
    </row>
    <row r="3965">
      <c r="A3965" s="11" t="s">
        <v>1758</v>
      </c>
    </row>
    <row r="3966">
      <c r="A3966" s="11" t="s">
        <v>44</v>
      </c>
    </row>
    <row r="3967">
      <c r="A3967" s="11" t="s">
        <v>151</v>
      </c>
    </row>
    <row r="3968">
      <c r="A3968" s="11" t="s">
        <v>16</v>
      </c>
    </row>
    <row r="3969">
      <c r="A3969" s="11" t="s">
        <v>151</v>
      </c>
    </row>
    <row r="3970">
      <c r="A3970" s="11" t="s">
        <v>25</v>
      </c>
    </row>
    <row r="3971">
      <c r="A3971" s="11" t="s">
        <v>26</v>
      </c>
    </row>
    <row r="3972">
      <c r="A3972" s="11" t="s">
        <v>17</v>
      </c>
    </row>
    <row r="3973">
      <c r="A3973" s="11">
        <v>337.0</v>
      </c>
    </row>
    <row r="3974">
      <c r="A3974" s="11" t="s">
        <v>18</v>
      </c>
    </row>
    <row r="3975">
      <c r="A3975" s="11" t="s">
        <v>1761</v>
      </c>
    </row>
    <row r="3976">
      <c r="A3976" s="11" t="s">
        <v>78</v>
      </c>
    </row>
    <row r="3977">
      <c r="A3977" s="11" t="s">
        <v>1762</v>
      </c>
    </row>
    <row r="3978">
      <c r="A3978" s="11" t="s">
        <v>37</v>
      </c>
    </row>
    <row r="3979">
      <c r="A3979" s="11" t="s">
        <v>151</v>
      </c>
    </row>
    <row r="3980">
      <c r="A3980" s="11" t="s">
        <v>16</v>
      </c>
    </row>
    <row r="3981">
      <c r="A3981" s="16">
        <v>1.0</v>
      </c>
    </row>
    <row r="3982">
      <c r="A3982" s="11" t="s">
        <v>25</v>
      </c>
    </row>
    <row r="3983">
      <c r="A3983" s="11" t="s">
        <v>26</v>
      </c>
    </row>
    <row r="3984">
      <c r="A3984" s="11" t="s">
        <v>17</v>
      </c>
    </row>
    <row r="3985">
      <c r="A3985" s="11">
        <v>338.0</v>
      </c>
    </row>
    <row r="3986">
      <c r="A3986" s="11" t="s">
        <v>18</v>
      </c>
    </row>
    <row r="3987">
      <c r="A3987" s="11" t="s">
        <v>1764</v>
      </c>
    </row>
    <row r="3988">
      <c r="A3988" s="11" t="s">
        <v>146</v>
      </c>
    </row>
    <row r="3989">
      <c r="A3989" s="11" t="s">
        <v>1765</v>
      </c>
    </row>
    <row r="3990">
      <c r="A3990" s="11" t="s">
        <v>117</v>
      </c>
    </row>
    <row r="3991">
      <c r="A3991" s="11" t="s">
        <v>151</v>
      </c>
    </row>
    <row r="3992">
      <c r="A3992" s="11" t="s">
        <v>16</v>
      </c>
    </row>
    <row r="3993">
      <c r="A3993" s="16">
        <v>5.0</v>
      </c>
    </row>
    <row r="3994">
      <c r="A3994" s="11" t="s">
        <v>25</v>
      </c>
    </row>
    <row r="3995">
      <c r="A3995" s="11" t="s">
        <v>26</v>
      </c>
    </row>
    <row r="3996">
      <c r="A3996" s="11" t="s">
        <v>17</v>
      </c>
    </row>
    <row r="3997">
      <c r="A3997" s="11">
        <v>339.0</v>
      </c>
    </row>
    <row r="3998">
      <c r="A3998" s="11" t="s">
        <v>18</v>
      </c>
    </row>
    <row r="3999">
      <c r="A3999" s="11" t="s">
        <v>1770</v>
      </c>
    </row>
    <row r="4000">
      <c r="A4000" s="11" t="s">
        <v>333</v>
      </c>
    </row>
    <row r="4001">
      <c r="A4001" s="11" t="s">
        <v>1772</v>
      </c>
    </row>
    <row r="4002">
      <c r="A4002" s="11" t="s">
        <v>335</v>
      </c>
    </row>
    <row r="4003">
      <c r="A4003" s="11">
        <v>209.0</v>
      </c>
    </row>
    <row r="4004">
      <c r="A4004" s="11" t="s">
        <v>16</v>
      </c>
    </row>
    <row r="4005">
      <c r="A4005" s="11" t="s">
        <v>151</v>
      </c>
    </row>
    <row r="4006">
      <c r="A4006" s="11" t="s">
        <v>25</v>
      </c>
    </row>
    <row r="4007">
      <c r="A4007" s="11" t="s">
        <v>26</v>
      </c>
    </row>
    <row r="4008">
      <c r="A4008" s="11" t="s">
        <v>17</v>
      </c>
    </row>
    <row r="4009">
      <c r="A4009" s="11">
        <v>340.0</v>
      </c>
    </row>
    <row r="4010">
      <c r="A4010" s="11" t="s">
        <v>1775</v>
      </c>
    </row>
    <row r="4011">
      <c r="A4011" s="11" t="s">
        <v>119</v>
      </c>
    </row>
    <row r="4012">
      <c r="A4012" s="11" t="s">
        <v>1777</v>
      </c>
    </row>
    <row r="4013">
      <c r="A4013" s="11" t="s">
        <v>121</v>
      </c>
    </row>
    <row r="4014">
      <c r="A4014" s="11" t="s">
        <v>151</v>
      </c>
    </row>
    <row r="4015">
      <c r="A4015" s="11" t="s">
        <v>16</v>
      </c>
    </row>
    <row r="4016">
      <c r="A4016" s="11" t="s">
        <v>151</v>
      </c>
    </row>
    <row r="4017">
      <c r="A4017" s="11" t="s">
        <v>25</v>
      </c>
    </row>
    <row r="4018">
      <c r="A4018" s="11" t="s">
        <v>26</v>
      </c>
    </row>
    <row r="4019">
      <c r="A4019" s="11" t="s">
        <v>17</v>
      </c>
    </row>
    <row r="4020">
      <c r="A4020" s="11">
        <v>341.0</v>
      </c>
    </row>
    <row r="4021">
      <c r="A4021" s="11" t="s">
        <v>1779</v>
      </c>
    </row>
    <row r="4022">
      <c r="A4022" s="11" t="s">
        <v>146</v>
      </c>
    </row>
    <row r="4023">
      <c r="A4023" s="11" t="s">
        <v>1780</v>
      </c>
    </row>
    <row r="4024">
      <c r="A4024" s="11" t="s">
        <v>117</v>
      </c>
    </row>
    <row r="4025">
      <c r="A4025" s="11" t="s">
        <v>151</v>
      </c>
    </row>
    <row r="4026">
      <c r="A4026" s="11" t="s">
        <v>16</v>
      </c>
    </row>
    <row r="4027">
      <c r="A4027" s="11" t="s">
        <v>151</v>
      </c>
    </row>
    <row r="4028">
      <c r="A4028" s="11" t="s">
        <v>25</v>
      </c>
    </row>
    <row r="4029">
      <c r="A4029" s="11" t="s">
        <v>26</v>
      </c>
    </row>
    <row r="4030">
      <c r="A4030" s="11" t="s">
        <v>17</v>
      </c>
    </row>
    <row r="4031">
      <c r="A4031" s="11">
        <v>342.0</v>
      </c>
    </row>
    <row r="4032">
      <c r="A4032" s="11" t="s">
        <v>1785</v>
      </c>
    </row>
    <row r="4033">
      <c r="A4033" s="11" t="s">
        <v>372</v>
      </c>
    </row>
    <row r="4034">
      <c r="A4034" s="11" t="s">
        <v>1786</v>
      </c>
    </row>
    <row r="4035">
      <c r="A4035" s="11" t="s">
        <v>335</v>
      </c>
    </row>
    <row r="4036">
      <c r="A4036" s="11" t="s">
        <v>151</v>
      </c>
    </row>
    <row r="4037">
      <c r="A4037" s="11" t="s">
        <v>16</v>
      </c>
    </row>
    <row r="4038">
      <c r="A4038" s="11" t="s">
        <v>151</v>
      </c>
    </row>
    <row r="4039">
      <c r="A4039" s="11" t="s">
        <v>25</v>
      </c>
    </row>
    <row r="4040">
      <c r="A4040" s="11" t="s">
        <v>26</v>
      </c>
    </row>
    <row r="4041">
      <c r="A4041" s="11" t="s">
        <v>17</v>
      </c>
    </row>
    <row r="4042">
      <c r="A4042" s="11">
        <v>343.0</v>
      </c>
    </row>
    <row r="4043">
      <c r="A4043" s="11" t="s">
        <v>1791</v>
      </c>
    </row>
    <row r="4044">
      <c r="A4044" s="11" t="s">
        <v>59</v>
      </c>
    </row>
    <row r="4045">
      <c r="A4045" s="11" t="s">
        <v>1792</v>
      </c>
    </row>
    <row r="4046">
      <c r="A4046" s="11" t="s">
        <v>62</v>
      </c>
    </row>
    <row r="4047">
      <c r="A4047" s="11" t="s">
        <v>151</v>
      </c>
    </row>
    <row r="4048">
      <c r="A4048" s="11" t="s">
        <v>16</v>
      </c>
    </row>
    <row r="4049">
      <c r="A4049" s="11" t="s">
        <v>151</v>
      </c>
    </row>
    <row r="4050">
      <c r="A4050" s="11" t="s">
        <v>25</v>
      </c>
    </row>
    <row r="4051">
      <c r="A4051" s="11" t="s">
        <v>26</v>
      </c>
    </row>
    <row r="4052">
      <c r="A4052" s="11" t="s">
        <v>17</v>
      </c>
    </row>
    <row r="4053">
      <c r="A4053" s="11">
        <v>344.0</v>
      </c>
    </row>
    <row r="4054">
      <c r="A4054" s="11" t="s">
        <v>18</v>
      </c>
    </row>
    <row r="4055">
      <c r="A4055" s="11" t="s">
        <v>1794</v>
      </c>
    </row>
    <row r="4056">
      <c r="A4056" s="11" t="s">
        <v>53</v>
      </c>
    </row>
    <row r="4057">
      <c r="A4057" s="11" t="s">
        <v>1797</v>
      </c>
    </row>
    <row r="4058">
      <c r="A4058" s="11" t="s">
        <v>23</v>
      </c>
    </row>
    <row r="4059">
      <c r="A4059" s="11" t="s">
        <v>151</v>
      </c>
    </row>
    <row r="4060">
      <c r="A4060" s="11" t="s">
        <v>16</v>
      </c>
    </row>
    <row r="4061">
      <c r="A4061" s="11" t="s">
        <v>151</v>
      </c>
    </row>
    <row r="4062">
      <c r="A4062" s="11" t="s">
        <v>25</v>
      </c>
    </row>
    <row r="4063">
      <c r="A4063" s="11" t="s">
        <v>26</v>
      </c>
    </row>
    <row r="4064">
      <c r="A4064" s="11" t="s">
        <v>17</v>
      </c>
    </row>
    <row r="4065">
      <c r="A4065" s="11">
        <v>345.0</v>
      </c>
    </row>
    <row r="4066">
      <c r="A4066" s="11" t="s">
        <v>18</v>
      </c>
    </row>
    <row r="4067">
      <c r="A4067" s="11" t="s">
        <v>1800</v>
      </c>
    </row>
    <row r="4068">
      <c r="A4068" s="11" t="s">
        <v>333</v>
      </c>
    </row>
    <row r="4069">
      <c r="A4069" s="11" t="s">
        <v>1801</v>
      </c>
    </row>
    <row r="4070">
      <c r="A4070" s="11" t="s">
        <v>335</v>
      </c>
    </row>
    <row r="4071">
      <c r="A4071" s="11">
        <v>156.0</v>
      </c>
    </row>
    <row r="4072">
      <c r="A4072" s="11" t="s">
        <v>16</v>
      </c>
    </row>
    <row r="4073">
      <c r="A4073" s="16">
        <v>1.0</v>
      </c>
    </row>
    <row r="4074">
      <c r="A4074" s="11" t="s">
        <v>25</v>
      </c>
    </row>
    <row r="4075">
      <c r="A4075" s="11" t="s">
        <v>26</v>
      </c>
    </row>
    <row r="4076">
      <c r="A4076" s="11" t="s">
        <v>17</v>
      </c>
    </row>
    <row r="4077">
      <c r="A4077" s="11">
        <v>346.0</v>
      </c>
    </row>
    <row r="4078">
      <c r="A4078" s="11" t="s">
        <v>1806</v>
      </c>
    </row>
    <row r="4079">
      <c r="A4079" s="11" t="s">
        <v>53</v>
      </c>
    </row>
    <row r="4080">
      <c r="A4080" s="11" t="s">
        <v>1807</v>
      </c>
    </row>
    <row r="4081">
      <c r="A4081" s="11" t="s">
        <v>23</v>
      </c>
    </row>
    <row r="4082">
      <c r="A4082" s="11" t="s">
        <v>151</v>
      </c>
    </row>
    <row r="4083">
      <c r="A4083" s="11" t="s">
        <v>16</v>
      </c>
    </row>
    <row r="4084">
      <c r="A4084" s="11" t="s">
        <v>151</v>
      </c>
    </row>
    <row r="4085">
      <c r="A4085" s="11" t="s">
        <v>25</v>
      </c>
    </row>
    <row r="4086">
      <c r="A4086" s="11" t="s">
        <v>26</v>
      </c>
    </row>
    <row r="4087">
      <c r="A4087" s="11" t="s">
        <v>17</v>
      </c>
    </row>
    <row r="4088">
      <c r="A4088" s="11">
        <v>347.0</v>
      </c>
    </row>
    <row r="4089">
      <c r="A4089" s="11" t="s">
        <v>18</v>
      </c>
    </row>
    <row r="4090">
      <c r="A4090" s="11" t="s">
        <v>1812</v>
      </c>
    </row>
    <row r="4091">
      <c r="A4091" s="11" t="s">
        <v>47</v>
      </c>
    </row>
    <row r="4092">
      <c r="A4092" s="11" t="s">
        <v>1813</v>
      </c>
    </row>
    <row r="4093">
      <c r="A4093" s="11" t="s">
        <v>31</v>
      </c>
    </row>
    <row r="4094">
      <c r="A4094" s="11" t="s">
        <v>151</v>
      </c>
    </row>
    <row r="4095">
      <c r="A4095" s="11" t="s">
        <v>16</v>
      </c>
    </row>
    <row r="4096">
      <c r="A4096" s="16">
        <v>1.0</v>
      </c>
    </row>
    <row r="4097">
      <c r="A4097" s="11" t="s">
        <v>25</v>
      </c>
    </row>
    <row r="4098">
      <c r="A4098" s="11" t="s">
        <v>26</v>
      </c>
    </row>
    <row r="4099">
      <c r="A4099" s="11" t="s">
        <v>17</v>
      </c>
    </row>
    <row r="4100">
      <c r="A4100" s="11">
        <v>348.0</v>
      </c>
    </row>
    <row r="4101">
      <c r="A4101" s="11" t="s">
        <v>18</v>
      </c>
    </row>
    <row r="4102">
      <c r="A4102" s="11" t="s">
        <v>1817</v>
      </c>
    </row>
    <row r="4103">
      <c r="A4103" s="11" t="s">
        <v>42</v>
      </c>
    </row>
    <row r="4104">
      <c r="A4104" s="11" t="s">
        <v>1819</v>
      </c>
    </row>
    <row r="4105">
      <c r="A4105" s="11" t="s">
        <v>44</v>
      </c>
    </row>
    <row r="4106">
      <c r="A4106" s="11" t="s">
        <v>151</v>
      </c>
    </row>
    <row r="4107">
      <c r="A4107" s="11" t="s">
        <v>16</v>
      </c>
    </row>
    <row r="4108">
      <c r="A4108" s="11" t="s">
        <v>151</v>
      </c>
    </row>
    <row r="4109">
      <c r="A4109" s="11" t="s">
        <v>25</v>
      </c>
    </row>
    <row r="4110">
      <c r="A4110" s="11" t="s">
        <v>26</v>
      </c>
    </row>
    <row r="4111">
      <c r="A4111" s="11" t="s">
        <v>17</v>
      </c>
    </row>
    <row r="4112">
      <c r="A4112" s="11">
        <v>349.0</v>
      </c>
    </row>
    <row r="4113">
      <c r="A4113" s="11" t="s">
        <v>18</v>
      </c>
    </row>
    <row r="4114">
      <c r="A4114" s="11" t="s">
        <v>1823</v>
      </c>
    </row>
    <row r="4115">
      <c r="A4115" s="11" t="s">
        <v>333</v>
      </c>
    </row>
    <row r="4116">
      <c r="A4116" s="11" t="s">
        <v>1824</v>
      </c>
    </row>
    <row r="4117">
      <c r="A4117" s="11" t="s">
        <v>335</v>
      </c>
    </row>
    <row r="4118">
      <c r="A4118" s="11" t="s">
        <v>151</v>
      </c>
    </row>
    <row r="4119">
      <c r="A4119" s="11" t="s">
        <v>16</v>
      </c>
    </row>
    <row r="4120">
      <c r="A4120" s="11" t="s">
        <v>151</v>
      </c>
    </row>
    <row r="4121">
      <c r="A4121" s="11" t="s">
        <v>25</v>
      </c>
    </row>
    <row r="4122">
      <c r="A4122" s="11" t="s">
        <v>26</v>
      </c>
    </row>
    <row r="4123">
      <c r="A4123" s="11" t="s">
        <v>17</v>
      </c>
    </row>
    <row r="4124">
      <c r="A4124" s="11">
        <v>350.0</v>
      </c>
    </row>
    <row r="4125">
      <c r="A4125" s="11" t="s">
        <v>1827</v>
      </c>
    </row>
    <row r="4126">
      <c r="A4126" s="11" t="s">
        <v>159</v>
      </c>
    </row>
    <row r="4127">
      <c r="A4127" s="11" t="s">
        <v>1829</v>
      </c>
    </row>
    <row r="4128">
      <c r="A4128" s="11" t="s">
        <v>31</v>
      </c>
    </row>
    <row r="4129">
      <c r="A4129" s="11" t="s">
        <v>151</v>
      </c>
    </row>
    <row r="4130">
      <c r="A4130" s="11" t="s">
        <v>16</v>
      </c>
    </row>
    <row r="4131">
      <c r="A4131" s="11" t="s">
        <v>151</v>
      </c>
    </row>
    <row r="4132">
      <c r="A4132" s="11" t="s">
        <v>25</v>
      </c>
    </row>
    <row r="4133">
      <c r="A4133" s="11" t="s">
        <v>26</v>
      </c>
    </row>
    <row r="4134">
      <c r="A4134" s="11" t="s">
        <v>17</v>
      </c>
    </row>
    <row r="4135">
      <c r="A4135" s="11">
        <v>351.0</v>
      </c>
    </row>
    <row r="4136">
      <c r="A4136" s="11" t="s">
        <v>18</v>
      </c>
    </row>
    <row r="4137">
      <c r="A4137" s="11" t="s">
        <v>1832</v>
      </c>
    </row>
    <row r="4138">
      <c r="A4138" s="11" t="s">
        <v>47</v>
      </c>
    </row>
    <row r="4139">
      <c r="A4139" s="11" t="s">
        <v>1833</v>
      </c>
    </row>
    <row r="4140">
      <c r="A4140" s="11" t="s">
        <v>31</v>
      </c>
    </row>
    <row r="4141">
      <c r="A4141" s="11" t="s">
        <v>151</v>
      </c>
    </row>
    <row r="4142">
      <c r="A4142" s="11" t="s">
        <v>16</v>
      </c>
    </row>
    <row r="4143">
      <c r="A4143" s="11" t="s">
        <v>151</v>
      </c>
    </row>
    <row r="4144">
      <c r="A4144" s="11" t="s">
        <v>25</v>
      </c>
    </row>
    <row r="4145">
      <c r="A4145" s="11" t="s">
        <v>26</v>
      </c>
    </row>
    <row r="4146">
      <c r="A4146" s="11" t="s">
        <v>17</v>
      </c>
    </row>
    <row r="4147">
      <c r="A4147" s="11">
        <v>352.0</v>
      </c>
    </row>
    <row r="4148">
      <c r="A4148" s="11" t="s">
        <v>18</v>
      </c>
    </row>
    <row r="4149">
      <c r="A4149" s="11" t="s">
        <v>1836</v>
      </c>
    </row>
    <row r="4150">
      <c r="A4150" s="11" t="s">
        <v>35</v>
      </c>
    </row>
    <row r="4151">
      <c r="A4151" s="11" t="s">
        <v>1838</v>
      </c>
    </row>
    <row r="4152">
      <c r="A4152" s="11" t="s">
        <v>37</v>
      </c>
    </row>
    <row r="4153">
      <c r="A4153" s="11" t="s">
        <v>151</v>
      </c>
    </row>
    <row r="4154">
      <c r="A4154" s="11" t="s">
        <v>16</v>
      </c>
    </row>
    <row r="4155">
      <c r="A4155" s="16">
        <v>1.0</v>
      </c>
    </row>
    <row r="4156">
      <c r="A4156" s="11" t="s">
        <v>25</v>
      </c>
    </row>
    <row r="4157">
      <c r="A4157" s="11" t="s">
        <v>26</v>
      </c>
    </row>
    <row r="4158">
      <c r="A4158" s="11" t="s">
        <v>17</v>
      </c>
    </row>
    <row r="4159">
      <c r="A4159" s="11">
        <v>353.0</v>
      </c>
    </row>
    <row r="4160">
      <c r="A4160" s="11" t="s">
        <v>18</v>
      </c>
    </row>
    <row r="4161">
      <c r="A4161" s="11" t="s">
        <v>1841</v>
      </c>
    </row>
    <row r="4162">
      <c r="A4162" s="11" t="s">
        <v>372</v>
      </c>
    </row>
    <row r="4163">
      <c r="A4163" s="11" t="s">
        <v>1843</v>
      </c>
    </row>
    <row r="4164">
      <c r="A4164" s="11" t="s">
        <v>335</v>
      </c>
    </row>
    <row r="4165">
      <c r="A4165" s="11" t="s">
        <v>151</v>
      </c>
    </row>
    <row r="4166">
      <c r="A4166" s="11" t="s">
        <v>16</v>
      </c>
    </row>
    <row r="4167">
      <c r="A4167" s="16">
        <v>8.0</v>
      </c>
    </row>
    <row r="4168">
      <c r="A4168" s="11" t="s">
        <v>25</v>
      </c>
    </row>
    <row r="4169">
      <c r="A4169" s="11" t="s">
        <v>26</v>
      </c>
    </row>
    <row r="4170">
      <c r="A4170" s="11" t="s">
        <v>17</v>
      </c>
    </row>
    <row r="4171">
      <c r="A4171" s="11">
        <v>354.0</v>
      </c>
    </row>
    <row r="4172">
      <c r="A4172" s="11" t="s">
        <v>18</v>
      </c>
    </row>
    <row r="4173">
      <c r="A4173" s="11" t="s">
        <v>1848</v>
      </c>
    </row>
    <row r="4174">
      <c r="A4174" s="11" t="s">
        <v>159</v>
      </c>
    </row>
    <row r="4175">
      <c r="A4175" s="11" t="s">
        <v>1849</v>
      </c>
    </row>
    <row r="4176">
      <c r="A4176" s="11" t="s">
        <v>31</v>
      </c>
    </row>
    <row r="4177">
      <c r="A4177" s="11" t="s">
        <v>151</v>
      </c>
    </row>
    <row r="4178">
      <c r="A4178" s="11" t="s">
        <v>16</v>
      </c>
    </row>
    <row r="4179">
      <c r="A4179" s="11" t="s">
        <v>151</v>
      </c>
    </row>
    <row r="4180">
      <c r="A4180" s="11" t="s">
        <v>25</v>
      </c>
    </row>
    <row r="4181">
      <c r="A4181" s="11" t="s">
        <v>26</v>
      </c>
    </row>
    <row r="4182">
      <c r="A4182" s="11" t="s">
        <v>17</v>
      </c>
    </row>
    <row r="4183">
      <c r="A4183" s="11">
        <v>355.0</v>
      </c>
    </row>
    <row r="4184">
      <c r="A4184" s="11" t="s">
        <v>18</v>
      </c>
    </row>
    <row r="4185">
      <c r="A4185" s="11" t="s">
        <v>1852</v>
      </c>
    </row>
    <row r="4186">
      <c r="A4186" s="11" t="s">
        <v>131</v>
      </c>
    </row>
    <row r="4187">
      <c r="A4187" s="11" t="s">
        <v>1855</v>
      </c>
    </row>
    <row r="4188">
      <c r="A4188" s="11" t="s">
        <v>62</v>
      </c>
    </row>
    <row r="4189">
      <c r="A4189" s="11" t="s">
        <v>151</v>
      </c>
    </row>
    <row r="4190">
      <c r="A4190" s="11" t="s">
        <v>16</v>
      </c>
    </row>
    <row r="4191">
      <c r="A4191" s="16">
        <v>1.0</v>
      </c>
    </row>
    <row r="4192">
      <c r="A4192" s="11" t="s">
        <v>25</v>
      </c>
    </row>
    <row r="4193">
      <c r="A4193" s="11" t="s">
        <v>26</v>
      </c>
    </row>
    <row r="4194">
      <c r="A4194" s="11" t="s">
        <v>17</v>
      </c>
    </row>
    <row r="4195">
      <c r="A4195" s="11">
        <v>356.0</v>
      </c>
    </row>
    <row r="4196">
      <c r="A4196" s="11" t="s">
        <v>18</v>
      </c>
    </row>
    <row r="4197">
      <c r="A4197" s="11" t="s">
        <v>1857</v>
      </c>
    </row>
    <row r="4198">
      <c r="A4198" s="11" t="s">
        <v>94</v>
      </c>
    </row>
    <row r="4199">
      <c r="A4199" s="11" t="s">
        <v>1860</v>
      </c>
    </row>
    <row r="4200">
      <c r="A4200" s="11" t="s">
        <v>98</v>
      </c>
    </row>
    <row r="4201">
      <c r="A4201" s="11" t="s">
        <v>151</v>
      </c>
    </row>
    <row r="4202">
      <c r="A4202" s="11" t="s">
        <v>16</v>
      </c>
    </row>
    <row r="4203">
      <c r="A4203" s="16">
        <v>1.0</v>
      </c>
    </row>
    <row r="4204">
      <c r="A4204" s="11" t="s">
        <v>25</v>
      </c>
    </row>
    <row r="4205">
      <c r="A4205" s="11" t="s">
        <v>26</v>
      </c>
    </row>
    <row r="4206">
      <c r="A4206" s="11" t="s">
        <v>17</v>
      </c>
    </row>
    <row r="4207">
      <c r="A4207" s="11">
        <v>357.0</v>
      </c>
    </row>
    <row r="4208">
      <c r="A4208" s="11" t="s">
        <v>18</v>
      </c>
    </row>
    <row r="4209">
      <c r="A4209" s="11" t="s">
        <v>1862</v>
      </c>
    </row>
    <row r="4210">
      <c r="A4210" s="11" t="s">
        <v>166</v>
      </c>
    </row>
    <row r="4211">
      <c r="A4211" s="11" t="s">
        <v>1864</v>
      </c>
    </row>
    <row r="4212">
      <c r="A4212" s="11" t="s">
        <v>44</v>
      </c>
    </row>
    <row r="4213">
      <c r="A4213" s="11" t="s">
        <v>151</v>
      </c>
    </row>
    <row r="4214">
      <c r="A4214" s="11" t="s">
        <v>16</v>
      </c>
    </row>
    <row r="4215">
      <c r="A4215" s="11" t="s">
        <v>151</v>
      </c>
    </row>
    <row r="4216">
      <c r="A4216" s="11" t="s">
        <v>25</v>
      </c>
    </row>
    <row r="4217">
      <c r="A4217" s="11" t="s">
        <v>26</v>
      </c>
    </row>
    <row r="4218">
      <c r="A4218" s="11" t="s">
        <v>17</v>
      </c>
    </row>
    <row r="4219">
      <c r="A4219" s="11">
        <v>358.0</v>
      </c>
    </row>
    <row r="4220">
      <c r="A4220" s="11" t="s">
        <v>18</v>
      </c>
    </row>
    <row r="4221">
      <c r="A4221" s="11" t="s">
        <v>1869</v>
      </c>
    </row>
    <row r="4222">
      <c r="A4222" s="11" t="s">
        <v>295</v>
      </c>
    </row>
    <row r="4223">
      <c r="A4223" s="11" t="s">
        <v>1870</v>
      </c>
    </row>
    <row r="4224">
      <c r="A4224" s="11" t="s">
        <v>62</v>
      </c>
    </row>
    <row r="4225">
      <c r="A4225" s="11" t="s">
        <v>151</v>
      </c>
    </row>
    <row r="4226">
      <c r="A4226" s="11" t="s">
        <v>16</v>
      </c>
    </row>
    <row r="4227">
      <c r="A4227" s="16">
        <v>2.0</v>
      </c>
    </row>
    <row r="4228">
      <c r="A4228" s="11" t="s">
        <v>25</v>
      </c>
    </row>
    <row r="4229">
      <c r="A4229" s="11" t="s">
        <v>26</v>
      </c>
    </row>
    <row r="4230">
      <c r="A4230" s="11" t="s">
        <v>17</v>
      </c>
    </row>
    <row r="4231">
      <c r="A4231" s="11">
        <v>359.0</v>
      </c>
    </row>
    <row r="4232">
      <c r="A4232" s="11" t="s">
        <v>18</v>
      </c>
    </row>
    <row r="4233">
      <c r="A4233" s="11" t="s">
        <v>1875</v>
      </c>
    </row>
    <row r="4234">
      <c r="A4234" s="11" t="s">
        <v>88</v>
      </c>
    </row>
    <row r="4235">
      <c r="A4235" s="11" t="s">
        <v>1877</v>
      </c>
    </row>
    <row r="4236">
      <c r="A4236" s="11" t="s">
        <v>23</v>
      </c>
    </row>
    <row r="4237">
      <c r="A4237" s="11" t="s">
        <v>151</v>
      </c>
    </row>
    <row r="4238">
      <c r="A4238" s="11" t="s">
        <v>16</v>
      </c>
    </row>
    <row r="4239">
      <c r="A4239" s="16">
        <v>2.0</v>
      </c>
    </row>
    <row r="4240">
      <c r="A4240" s="11" t="s">
        <v>25</v>
      </c>
    </row>
    <row r="4241">
      <c r="A4241" s="11" t="s">
        <v>26</v>
      </c>
    </row>
    <row r="4242">
      <c r="A4242" s="11" t="s">
        <v>17</v>
      </c>
    </row>
    <row r="4243">
      <c r="A4243" s="11">
        <v>360.0</v>
      </c>
    </row>
    <row r="4244">
      <c r="A4244" s="11" t="s">
        <v>1879</v>
      </c>
    </row>
    <row r="4245">
      <c r="A4245" s="11" t="s">
        <v>131</v>
      </c>
    </row>
    <row r="4246">
      <c r="A4246" s="11" t="s">
        <v>1882</v>
      </c>
    </row>
    <row r="4247">
      <c r="A4247" s="11" t="s">
        <v>62</v>
      </c>
    </row>
    <row r="4248">
      <c r="A4248" s="11" t="s">
        <v>151</v>
      </c>
    </row>
    <row r="4249">
      <c r="A4249" s="11" t="s">
        <v>16</v>
      </c>
    </row>
    <row r="4250">
      <c r="A4250" s="11" t="s">
        <v>151</v>
      </c>
    </row>
    <row r="4251">
      <c r="A4251" s="11" t="s">
        <v>25</v>
      </c>
    </row>
    <row r="4252">
      <c r="A4252" s="11" t="s">
        <v>26</v>
      </c>
    </row>
    <row r="4253">
      <c r="A4253" s="11" t="s">
        <v>17</v>
      </c>
    </row>
    <row r="4254">
      <c r="A4254" s="11">
        <v>361.0</v>
      </c>
    </row>
    <row r="4255">
      <c r="A4255" s="11" t="s">
        <v>18</v>
      </c>
    </row>
    <row r="4256">
      <c r="A4256" s="11" t="s">
        <v>964</v>
      </c>
    </row>
    <row r="4257">
      <c r="A4257" s="11" t="s">
        <v>131</v>
      </c>
    </row>
    <row r="4258">
      <c r="A4258" s="11" t="s">
        <v>1886</v>
      </c>
    </row>
    <row r="4259">
      <c r="A4259" s="11" t="s">
        <v>62</v>
      </c>
    </row>
    <row r="4260">
      <c r="A4260" s="11" t="s">
        <v>151</v>
      </c>
    </row>
    <row r="4261">
      <c r="A4261" s="11" t="s">
        <v>16</v>
      </c>
    </row>
    <row r="4262">
      <c r="A4262" s="16">
        <v>3.0</v>
      </c>
    </row>
    <row r="4263">
      <c r="A4263" s="11" t="s">
        <v>25</v>
      </c>
    </row>
    <row r="4264">
      <c r="A4264" s="11" t="s">
        <v>26</v>
      </c>
    </row>
    <row r="4265">
      <c r="A4265" s="11" t="s">
        <v>17</v>
      </c>
    </row>
    <row r="4266">
      <c r="A4266" s="11">
        <v>362.0</v>
      </c>
    </row>
    <row r="4267">
      <c r="A4267" s="11" t="s">
        <v>1888</v>
      </c>
    </row>
    <row r="4268">
      <c r="A4268" s="11" t="s">
        <v>113</v>
      </c>
    </row>
    <row r="4269">
      <c r="A4269" s="11" t="s">
        <v>1890</v>
      </c>
    </row>
    <row r="4270">
      <c r="A4270" s="11" t="s">
        <v>117</v>
      </c>
    </row>
    <row r="4271">
      <c r="A4271" s="11">
        <v>174.0</v>
      </c>
    </row>
    <row r="4272">
      <c r="A4272" s="11" t="s">
        <v>16</v>
      </c>
    </row>
    <row r="4273">
      <c r="A4273" s="11" t="s">
        <v>151</v>
      </c>
    </row>
    <row r="4274">
      <c r="A4274" s="11" t="s">
        <v>25</v>
      </c>
    </row>
    <row r="4275">
      <c r="A4275" s="11" t="s">
        <v>26</v>
      </c>
    </row>
    <row r="4276">
      <c r="A4276" s="11" t="s">
        <v>17</v>
      </c>
    </row>
    <row r="4277">
      <c r="A4277" s="11">
        <v>363.0</v>
      </c>
    </row>
    <row r="4278">
      <c r="A4278" s="11" t="s">
        <v>1893</v>
      </c>
    </row>
    <row r="4279">
      <c r="A4279" s="11" t="s">
        <v>266</v>
      </c>
    </row>
    <row r="4280">
      <c r="A4280" s="11" t="s">
        <v>1897</v>
      </c>
    </row>
    <row r="4281">
      <c r="A4281" s="11" t="s">
        <v>44</v>
      </c>
    </row>
    <row r="4282">
      <c r="A4282" s="11" t="s">
        <v>151</v>
      </c>
    </row>
    <row r="4283">
      <c r="A4283" s="11" t="s">
        <v>16</v>
      </c>
    </row>
    <row r="4284">
      <c r="A4284" s="11" t="s">
        <v>151</v>
      </c>
    </row>
    <row r="4285">
      <c r="A4285" s="11" t="s">
        <v>25</v>
      </c>
    </row>
    <row r="4286">
      <c r="A4286" s="11" t="s">
        <v>26</v>
      </c>
    </row>
    <row r="4287">
      <c r="A4287" s="11" t="s">
        <v>17</v>
      </c>
    </row>
    <row r="4288">
      <c r="A4288" s="11">
        <v>364.0</v>
      </c>
    </row>
    <row r="4289">
      <c r="A4289" s="11" t="s">
        <v>18</v>
      </c>
    </row>
    <row r="4290">
      <c r="A4290" s="11" t="s">
        <v>1899</v>
      </c>
    </row>
    <row r="4291">
      <c r="A4291" s="11" t="s">
        <v>47</v>
      </c>
    </row>
    <row r="4292">
      <c r="A4292" s="11" t="s">
        <v>1901</v>
      </c>
    </row>
    <row r="4293">
      <c r="A4293" s="11" t="s">
        <v>31</v>
      </c>
    </row>
    <row r="4294">
      <c r="A4294" s="11" t="s">
        <v>151</v>
      </c>
    </row>
    <row r="4295">
      <c r="A4295" s="11" t="s">
        <v>16</v>
      </c>
    </row>
    <row r="4296">
      <c r="A4296" s="11" t="s">
        <v>151</v>
      </c>
    </row>
    <row r="4297">
      <c r="A4297" s="11" t="s">
        <v>25</v>
      </c>
    </row>
    <row r="4298">
      <c r="A4298" s="11" t="s">
        <v>26</v>
      </c>
    </row>
    <row r="4299">
      <c r="A4299" s="11" t="s">
        <v>17</v>
      </c>
    </row>
    <row r="4300">
      <c r="A4300" s="11">
        <v>365.0</v>
      </c>
    </row>
    <row r="4301">
      <c r="A4301" s="11" t="s">
        <v>18</v>
      </c>
    </row>
    <row r="4302">
      <c r="A4302" s="11" t="s">
        <v>1904</v>
      </c>
    </row>
    <row r="4303">
      <c r="A4303" s="11" t="s">
        <v>113</v>
      </c>
    </row>
    <row r="4304">
      <c r="A4304" s="11" t="s">
        <v>1906</v>
      </c>
    </row>
    <row r="4305">
      <c r="A4305" s="11" t="s">
        <v>117</v>
      </c>
    </row>
    <row r="4306">
      <c r="A4306" s="11" t="s">
        <v>151</v>
      </c>
    </row>
    <row r="4307">
      <c r="A4307" s="11" t="s">
        <v>16</v>
      </c>
    </row>
    <row r="4308">
      <c r="A4308" s="11" t="s">
        <v>151</v>
      </c>
    </row>
    <row r="4309">
      <c r="A4309" s="11" t="s">
        <v>25</v>
      </c>
    </row>
    <row r="4310">
      <c r="A4310" s="11" t="s">
        <v>26</v>
      </c>
    </row>
    <row r="4311">
      <c r="A4311" s="11" t="s">
        <v>17</v>
      </c>
    </row>
    <row r="4312">
      <c r="A4312" s="11">
        <v>366.0</v>
      </c>
    </row>
    <row r="4313">
      <c r="A4313" s="11" t="s">
        <v>18</v>
      </c>
    </row>
    <row r="4314">
      <c r="A4314" s="11" t="s">
        <v>1910</v>
      </c>
    </row>
    <row r="4315">
      <c r="A4315" s="11" t="s">
        <v>59</v>
      </c>
    </row>
    <row r="4316">
      <c r="A4316" s="11" t="s">
        <v>1911</v>
      </c>
    </row>
    <row r="4317">
      <c r="A4317" s="11" t="s">
        <v>62</v>
      </c>
    </row>
    <row r="4318">
      <c r="A4318" s="11" t="s">
        <v>151</v>
      </c>
    </row>
    <row r="4319">
      <c r="A4319" s="11" t="s">
        <v>16</v>
      </c>
    </row>
    <row r="4320">
      <c r="A4320" s="11" t="s">
        <v>151</v>
      </c>
    </row>
    <row r="4321">
      <c r="A4321" s="11" t="s">
        <v>25</v>
      </c>
    </row>
    <row r="4322">
      <c r="A4322" s="11" t="s">
        <v>26</v>
      </c>
    </row>
    <row r="4323">
      <c r="A4323" s="11" t="s">
        <v>17</v>
      </c>
    </row>
    <row r="4324">
      <c r="A4324" s="11">
        <v>367.0</v>
      </c>
    </row>
    <row r="4325">
      <c r="A4325" s="11" t="s">
        <v>18</v>
      </c>
    </row>
    <row r="4326">
      <c r="A4326" s="11" t="s">
        <v>1511</v>
      </c>
    </row>
    <row r="4327">
      <c r="A4327" s="11" t="s">
        <v>259</v>
      </c>
    </row>
    <row r="4328">
      <c r="A4328" s="11" t="s">
        <v>1915</v>
      </c>
    </row>
    <row r="4329">
      <c r="A4329" s="11" t="s">
        <v>121</v>
      </c>
    </row>
    <row r="4330">
      <c r="A4330" s="11" t="s">
        <v>151</v>
      </c>
    </row>
    <row r="4331">
      <c r="A4331" s="11" t="s">
        <v>16</v>
      </c>
    </row>
    <row r="4332">
      <c r="A4332" s="16">
        <v>1.0</v>
      </c>
    </row>
    <row r="4333">
      <c r="A4333" s="11" t="s">
        <v>25</v>
      </c>
    </row>
    <row r="4334">
      <c r="A4334" s="11" t="s">
        <v>26</v>
      </c>
    </row>
    <row r="4335">
      <c r="A4335" s="11" t="s">
        <v>17</v>
      </c>
    </row>
    <row r="4336">
      <c r="A4336" s="11">
        <v>368.0</v>
      </c>
    </row>
    <row r="4337">
      <c r="A4337" s="11" t="s">
        <v>1920</v>
      </c>
    </row>
    <row r="4338">
      <c r="A4338" s="11" t="s">
        <v>183</v>
      </c>
    </row>
    <row r="4339">
      <c r="A4339" s="11" t="s">
        <v>1921</v>
      </c>
    </row>
    <row r="4340">
      <c r="A4340" s="11" t="s">
        <v>44</v>
      </c>
    </row>
    <row r="4341">
      <c r="A4341" s="11" t="s">
        <v>151</v>
      </c>
    </row>
    <row r="4342">
      <c r="A4342" s="11" t="s">
        <v>16</v>
      </c>
    </row>
    <row r="4343">
      <c r="A4343" s="16">
        <v>1.0</v>
      </c>
    </row>
    <row r="4344">
      <c r="A4344" s="11" t="s">
        <v>25</v>
      </c>
    </row>
    <row r="4345">
      <c r="A4345" s="11" t="s">
        <v>26</v>
      </c>
    </row>
    <row r="4346">
      <c r="A4346" s="11" t="s">
        <v>17</v>
      </c>
    </row>
    <row r="4347">
      <c r="A4347" s="11">
        <v>369.0</v>
      </c>
    </row>
    <row r="4348">
      <c r="A4348" s="11" t="s">
        <v>1926</v>
      </c>
    </row>
    <row r="4349">
      <c r="A4349" s="11" t="s">
        <v>47</v>
      </c>
    </row>
    <row r="4350">
      <c r="A4350" s="11" t="s">
        <v>1927</v>
      </c>
    </row>
    <row r="4351">
      <c r="A4351" s="11" t="s">
        <v>31</v>
      </c>
    </row>
    <row r="4352">
      <c r="A4352" s="11" t="s">
        <v>151</v>
      </c>
    </row>
    <row r="4353">
      <c r="A4353" s="11" t="s">
        <v>16</v>
      </c>
    </row>
    <row r="4354">
      <c r="A4354" s="11" t="s">
        <v>151</v>
      </c>
    </row>
    <row r="4355">
      <c r="A4355" s="11" t="s">
        <v>25</v>
      </c>
    </row>
    <row r="4356">
      <c r="A4356" s="11" t="s">
        <v>26</v>
      </c>
    </row>
    <row r="4357">
      <c r="A4357" s="11" t="s">
        <v>17</v>
      </c>
    </row>
    <row r="4358">
      <c r="A4358" s="11">
        <v>370.0</v>
      </c>
    </row>
    <row r="4359">
      <c r="A4359" s="11" t="s">
        <v>18</v>
      </c>
    </row>
    <row r="4360">
      <c r="A4360" s="11" t="s">
        <v>1930</v>
      </c>
    </row>
    <row r="4361">
      <c r="A4361" s="11" t="s">
        <v>159</v>
      </c>
    </row>
    <row r="4362">
      <c r="A4362" s="11" t="s">
        <v>1931</v>
      </c>
    </row>
    <row r="4363">
      <c r="A4363" s="11" t="s">
        <v>31</v>
      </c>
    </row>
    <row r="4364">
      <c r="A4364" s="11" t="s">
        <v>151</v>
      </c>
    </row>
    <row r="4365">
      <c r="A4365" s="11" t="s">
        <v>16</v>
      </c>
    </row>
    <row r="4366">
      <c r="A4366" s="11" t="s">
        <v>151</v>
      </c>
    </row>
    <row r="4367">
      <c r="A4367" s="11" t="s">
        <v>25</v>
      </c>
    </row>
    <row r="4368">
      <c r="A4368" s="11" t="s">
        <v>26</v>
      </c>
    </row>
    <row r="4369">
      <c r="A4369" s="11" t="s">
        <v>17</v>
      </c>
    </row>
    <row r="4370">
      <c r="A4370" s="11">
        <v>371.0</v>
      </c>
    </row>
    <row r="4371">
      <c r="A4371" s="11" t="s">
        <v>1935</v>
      </c>
    </row>
    <row r="4372">
      <c r="A4372" s="11" t="s">
        <v>53</v>
      </c>
    </row>
    <row r="4373">
      <c r="A4373" s="11" t="s">
        <v>1936</v>
      </c>
    </row>
    <row r="4374">
      <c r="A4374" s="11" t="s">
        <v>23</v>
      </c>
    </row>
    <row r="4375">
      <c r="A4375" s="11" t="s">
        <v>151</v>
      </c>
    </row>
    <row r="4376">
      <c r="A4376" s="11" t="s">
        <v>16</v>
      </c>
    </row>
    <row r="4377">
      <c r="A4377" s="11" t="s">
        <v>151</v>
      </c>
    </row>
    <row r="4378">
      <c r="A4378" s="11" t="s">
        <v>25</v>
      </c>
    </row>
    <row r="4379">
      <c r="A4379" s="11" t="s">
        <v>26</v>
      </c>
    </row>
    <row r="4380">
      <c r="A4380" s="11" t="s">
        <v>17</v>
      </c>
    </row>
    <row r="4381">
      <c r="A4381" s="11">
        <v>372.0</v>
      </c>
    </row>
    <row r="4382">
      <c r="A4382" s="11" t="s">
        <v>18</v>
      </c>
    </row>
    <row r="4383">
      <c r="A4383" s="11" t="s">
        <v>1940</v>
      </c>
    </row>
    <row r="4384">
      <c r="A4384" s="11" t="s">
        <v>88</v>
      </c>
    </row>
    <row r="4385">
      <c r="A4385" s="11" t="s">
        <v>1941</v>
      </c>
    </row>
    <row r="4386">
      <c r="A4386" s="11" t="s">
        <v>23</v>
      </c>
    </row>
    <row r="4387">
      <c r="A4387" s="11" t="s">
        <v>151</v>
      </c>
    </row>
    <row r="4388">
      <c r="A4388" s="11" t="s">
        <v>16</v>
      </c>
    </row>
    <row r="4389">
      <c r="A4389" s="11" t="s">
        <v>151</v>
      </c>
    </row>
    <row r="4390">
      <c r="A4390" s="11" t="s">
        <v>25</v>
      </c>
    </row>
    <row r="4391">
      <c r="A4391" s="11" t="s">
        <v>26</v>
      </c>
    </row>
    <row r="4392">
      <c r="A4392" s="11" t="s">
        <v>17</v>
      </c>
    </row>
    <row r="4393">
      <c r="A4393" s="11">
        <v>373.0</v>
      </c>
    </row>
    <row r="4394">
      <c r="A4394" s="11" t="s">
        <v>18</v>
      </c>
    </row>
    <row r="4395">
      <c r="A4395" s="11" t="s">
        <v>1944</v>
      </c>
    </row>
    <row r="4396">
      <c r="A4396" s="11" t="s">
        <v>206</v>
      </c>
    </row>
    <row r="4397">
      <c r="A4397" s="11" t="s">
        <v>1946</v>
      </c>
    </row>
    <row r="4398">
      <c r="A4398" s="11" t="s">
        <v>37</v>
      </c>
    </row>
    <row r="4399">
      <c r="A4399" s="11" t="s">
        <v>151</v>
      </c>
    </row>
    <row r="4400">
      <c r="A4400" s="11" t="s">
        <v>16</v>
      </c>
    </row>
    <row r="4401">
      <c r="A4401" s="16">
        <v>1.0</v>
      </c>
    </row>
    <row r="4402">
      <c r="A4402" s="11" t="s">
        <v>25</v>
      </c>
    </row>
    <row r="4403">
      <c r="A4403" s="11" t="s">
        <v>26</v>
      </c>
    </row>
    <row r="4404">
      <c r="A4404" s="11" t="s">
        <v>17</v>
      </c>
    </row>
    <row r="4405">
      <c r="A4405" s="11">
        <v>374.0</v>
      </c>
    </row>
    <row r="4406">
      <c r="A4406" s="11" t="s">
        <v>18</v>
      </c>
    </row>
    <row r="4407">
      <c r="A4407" s="11" t="s">
        <v>1948</v>
      </c>
    </row>
    <row r="4408">
      <c r="A4408" s="11" t="s">
        <v>295</v>
      </c>
    </row>
    <row r="4409">
      <c r="A4409" s="11" t="s">
        <v>1949</v>
      </c>
    </row>
    <row r="4410">
      <c r="A4410" s="11" t="s">
        <v>62</v>
      </c>
    </row>
    <row r="4411">
      <c r="A4411" s="11" t="s">
        <v>151</v>
      </c>
    </row>
    <row r="4412">
      <c r="A4412" s="11" t="s">
        <v>16</v>
      </c>
    </row>
    <row r="4413">
      <c r="A4413" s="16">
        <v>1.0</v>
      </c>
    </row>
    <row r="4414">
      <c r="A4414" s="11" t="s">
        <v>25</v>
      </c>
    </row>
    <row r="4415">
      <c r="A4415" s="11" t="s">
        <v>26</v>
      </c>
    </row>
    <row r="4416">
      <c r="A4416" s="11" t="s">
        <v>17</v>
      </c>
    </row>
    <row r="4417">
      <c r="A4417" s="11">
        <v>375.0</v>
      </c>
    </row>
    <row r="4418">
      <c r="A4418" s="11" t="s">
        <v>1954</v>
      </c>
    </row>
    <row r="4419">
      <c r="A4419" s="11" t="s">
        <v>333</v>
      </c>
    </row>
    <row r="4420">
      <c r="A4420" s="11" t="s">
        <v>1955</v>
      </c>
    </row>
    <row r="4421">
      <c r="A4421" s="11" t="s">
        <v>335</v>
      </c>
    </row>
    <row r="4422">
      <c r="A4422" s="11" t="s">
        <v>151</v>
      </c>
    </row>
    <row r="4423">
      <c r="A4423" s="11" t="s">
        <v>16</v>
      </c>
    </row>
    <row r="4424">
      <c r="A4424" s="11" t="s">
        <v>151</v>
      </c>
    </row>
    <row r="4425">
      <c r="A4425" s="11" t="s">
        <v>25</v>
      </c>
    </row>
    <row r="4426">
      <c r="A4426" s="11" t="s">
        <v>26</v>
      </c>
    </row>
    <row r="4427">
      <c r="A4427" s="11" t="s">
        <v>17</v>
      </c>
    </row>
    <row r="4428">
      <c r="A4428" s="11">
        <v>376.0</v>
      </c>
    </row>
    <row r="4429">
      <c r="A4429" s="11" t="s">
        <v>18</v>
      </c>
    </row>
    <row r="4430">
      <c r="A4430" s="11" t="s">
        <v>135</v>
      </c>
    </row>
    <row r="4431">
      <c r="A4431" s="11" t="s">
        <v>159</v>
      </c>
    </row>
    <row r="4432">
      <c r="A4432" s="11" t="s">
        <v>1957</v>
      </c>
    </row>
    <row r="4433">
      <c r="A4433" s="11" t="s">
        <v>31</v>
      </c>
    </row>
    <row r="4434">
      <c r="A4434" s="11" t="s">
        <v>151</v>
      </c>
    </row>
    <row r="4435">
      <c r="A4435" s="11" t="s">
        <v>16</v>
      </c>
    </row>
    <row r="4436">
      <c r="A4436" s="16">
        <v>2.0</v>
      </c>
    </row>
    <row r="4437">
      <c r="A4437" s="11" t="s">
        <v>25</v>
      </c>
    </row>
    <row r="4438">
      <c r="A4438" s="11" t="s">
        <v>26</v>
      </c>
    </row>
    <row r="4439">
      <c r="A4439" s="11" t="s">
        <v>17</v>
      </c>
    </row>
    <row r="4440">
      <c r="A4440" s="11">
        <v>377.0</v>
      </c>
    </row>
    <row r="4441">
      <c r="A4441" s="11" t="s">
        <v>18</v>
      </c>
    </row>
    <row r="4442">
      <c r="A4442" s="11" t="s">
        <v>1961</v>
      </c>
    </row>
    <row r="4443">
      <c r="A4443" s="11" t="s">
        <v>295</v>
      </c>
    </row>
    <row r="4444">
      <c r="A4444" s="11" t="s">
        <v>1963</v>
      </c>
    </row>
    <row r="4445">
      <c r="A4445" s="11" t="s">
        <v>62</v>
      </c>
    </row>
    <row r="4446">
      <c r="A4446" s="11" t="s">
        <v>151</v>
      </c>
    </row>
    <row r="4447">
      <c r="A4447" s="11" t="s">
        <v>16</v>
      </c>
    </row>
    <row r="4448">
      <c r="A4448" s="11" t="s">
        <v>151</v>
      </c>
    </row>
    <row r="4449">
      <c r="A4449" s="11" t="s">
        <v>25</v>
      </c>
    </row>
    <row r="4450">
      <c r="A4450" s="11" t="s">
        <v>26</v>
      </c>
    </row>
    <row r="4451">
      <c r="A4451" s="11" t="s">
        <v>17</v>
      </c>
    </row>
    <row r="4452">
      <c r="A4452" s="11">
        <v>378.0</v>
      </c>
    </row>
    <row r="4453">
      <c r="A4453" s="11" t="s">
        <v>18</v>
      </c>
    </row>
    <row r="4454">
      <c r="A4454" s="11" t="s">
        <v>1964</v>
      </c>
    </row>
    <row r="4455">
      <c r="A4455" s="11" t="s">
        <v>183</v>
      </c>
    </row>
    <row r="4456">
      <c r="A4456" s="11" t="s">
        <v>1965</v>
      </c>
    </row>
    <row r="4457">
      <c r="A4457" s="11" t="s">
        <v>44</v>
      </c>
    </row>
    <row r="4458">
      <c r="A4458" s="11">
        <v>200.0</v>
      </c>
    </row>
    <row r="4459">
      <c r="A4459" s="11" t="s">
        <v>16</v>
      </c>
    </row>
    <row r="4460">
      <c r="A4460" s="11" t="s">
        <v>151</v>
      </c>
    </row>
    <row r="4461">
      <c r="A4461" s="11" t="s">
        <v>25</v>
      </c>
    </row>
    <row r="4462">
      <c r="A4462" s="11" t="s">
        <v>26</v>
      </c>
    </row>
    <row r="4463">
      <c r="A4463" s="11" t="s">
        <v>17</v>
      </c>
    </row>
    <row r="4464">
      <c r="A4464" s="11">
        <v>379.0</v>
      </c>
    </row>
    <row r="4465">
      <c r="A4465" s="11" t="s">
        <v>18</v>
      </c>
    </row>
    <row r="4466">
      <c r="A4466" s="11" t="s">
        <v>1971</v>
      </c>
    </row>
    <row r="4467">
      <c r="A4467" s="11" t="s">
        <v>113</v>
      </c>
    </row>
    <row r="4468">
      <c r="A4468" s="11" t="s">
        <v>1973</v>
      </c>
    </row>
    <row r="4469">
      <c r="A4469" s="11" t="s">
        <v>117</v>
      </c>
    </row>
    <row r="4470">
      <c r="A4470" s="11" t="s">
        <v>151</v>
      </c>
    </row>
    <row r="4471">
      <c r="A4471" s="11" t="s">
        <v>16</v>
      </c>
    </row>
    <row r="4472">
      <c r="A4472" s="11" t="s">
        <v>151</v>
      </c>
    </row>
    <row r="4473">
      <c r="A4473" s="11" t="s">
        <v>25</v>
      </c>
    </row>
    <row r="4474">
      <c r="A4474" s="11" t="s">
        <v>26</v>
      </c>
    </row>
    <row r="4475">
      <c r="A4475" s="11" t="s">
        <v>17</v>
      </c>
    </row>
    <row r="4476">
      <c r="A4476" s="11">
        <v>380.0</v>
      </c>
    </row>
    <row r="4477">
      <c r="A4477" s="11" t="s">
        <v>18</v>
      </c>
    </row>
    <row r="4478">
      <c r="A4478" s="11" t="s">
        <v>1975</v>
      </c>
    </row>
    <row r="4479">
      <c r="A4479" s="11" t="s">
        <v>125</v>
      </c>
    </row>
    <row r="4480">
      <c r="A4480" s="11" t="s">
        <v>1977</v>
      </c>
    </row>
    <row r="4481">
      <c r="A4481" s="11" t="s">
        <v>37</v>
      </c>
    </row>
    <row r="4482">
      <c r="A4482" s="11" t="s">
        <v>151</v>
      </c>
    </row>
    <row r="4483">
      <c r="A4483" s="11" t="s">
        <v>16</v>
      </c>
    </row>
    <row r="4484">
      <c r="A4484" s="11" t="s">
        <v>151</v>
      </c>
    </row>
    <row r="4485">
      <c r="A4485" s="11" t="s">
        <v>25</v>
      </c>
    </row>
    <row r="4486">
      <c r="A4486" s="11" t="s">
        <v>26</v>
      </c>
    </row>
    <row r="4487">
      <c r="A4487" s="11" t="s">
        <v>17</v>
      </c>
    </row>
    <row r="4488">
      <c r="A4488" s="11">
        <v>381.0</v>
      </c>
    </row>
    <row r="4489">
      <c r="A4489" s="11" t="s">
        <v>1981</v>
      </c>
    </row>
    <row r="4490">
      <c r="A4490" s="11" t="s">
        <v>71</v>
      </c>
    </row>
    <row r="4491">
      <c r="A4491" s="11" t="s">
        <v>1982</v>
      </c>
    </row>
    <row r="4492">
      <c r="A4492" s="11" t="s">
        <v>23</v>
      </c>
    </row>
    <row r="4493">
      <c r="A4493" s="11" t="s">
        <v>151</v>
      </c>
    </row>
    <row r="4494">
      <c r="A4494" s="11" t="s">
        <v>16</v>
      </c>
    </row>
    <row r="4495">
      <c r="A4495" s="11" t="s">
        <v>151</v>
      </c>
    </row>
    <row r="4496">
      <c r="A4496" s="11" t="s">
        <v>25</v>
      </c>
    </row>
    <row r="4497">
      <c r="A4497" s="11" t="s">
        <v>26</v>
      </c>
    </row>
    <row r="4498">
      <c r="A4498" s="11" t="s">
        <v>17</v>
      </c>
    </row>
    <row r="4499">
      <c r="A4499" s="11">
        <v>382.0</v>
      </c>
    </row>
    <row r="4500">
      <c r="A4500" s="11" t="s">
        <v>18</v>
      </c>
    </row>
    <row r="4501">
      <c r="A4501" s="11" t="s">
        <v>1984</v>
      </c>
    </row>
    <row r="4502">
      <c r="A4502" s="11" t="s">
        <v>20</v>
      </c>
    </row>
    <row r="4503">
      <c r="A4503" s="11" t="s">
        <v>1987</v>
      </c>
    </row>
    <row r="4504">
      <c r="A4504" s="11" t="s">
        <v>23</v>
      </c>
    </row>
    <row r="4505">
      <c r="A4505" s="11" t="s">
        <v>151</v>
      </c>
    </row>
    <row r="4506">
      <c r="A4506" s="11" t="s">
        <v>16</v>
      </c>
    </row>
    <row r="4507">
      <c r="A4507" s="11" t="s">
        <v>151</v>
      </c>
    </row>
    <row r="4508">
      <c r="A4508" s="11" t="s">
        <v>25</v>
      </c>
    </row>
    <row r="4509">
      <c r="A4509" s="11" t="s">
        <v>26</v>
      </c>
    </row>
    <row r="4510">
      <c r="A4510" s="11" t="s">
        <v>17</v>
      </c>
    </row>
    <row r="4511">
      <c r="A4511" s="11">
        <v>383.0</v>
      </c>
    </row>
    <row r="4512">
      <c r="A4512" s="11" t="s">
        <v>18</v>
      </c>
    </row>
    <row r="4513">
      <c r="A4513" s="11" t="s">
        <v>1990</v>
      </c>
    </row>
    <row r="4514">
      <c r="A4514" s="11" t="s">
        <v>53</v>
      </c>
    </row>
    <row r="4515">
      <c r="A4515" s="11" t="s">
        <v>1992</v>
      </c>
    </row>
    <row r="4516">
      <c r="A4516" s="11" t="s">
        <v>23</v>
      </c>
    </row>
    <row r="4517">
      <c r="A4517" s="11" t="s">
        <v>151</v>
      </c>
    </row>
    <row r="4518">
      <c r="A4518" s="11" t="s">
        <v>16</v>
      </c>
    </row>
    <row r="4519">
      <c r="A4519" s="11" t="s">
        <v>151</v>
      </c>
    </row>
    <row r="4520">
      <c r="A4520" s="11" t="s">
        <v>25</v>
      </c>
    </row>
    <row r="4521">
      <c r="A4521" s="11" t="s">
        <v>26</v>
      </c>
    </row>
    <row r="4522">
      <c r="A4522" s="11" t="s">
        <v>17</v>
      </c>
    </row>
    <row r="4523">
      <c r="A4523" s="11">
        <v>384.0</v>
      </c>
    </row>
    <row r="4524">
      <c r="A4524" s="11" t="s">
        <v>18</v>
      </c>
    </row>
    <row r="4525">
      <c r="A4525" s="11" t="s">
        <v>1996</v>
      </c>
    </row>
    <row r="4526">
      <c r="A4526" s="11" t="s">
        <v>94</v>
      </c>
    </row>
    <row r="4527">
      <c r="A4527" s="11" t="s">
        <v>1997</v>
      </c>
    </row>
    <row r="4528">
      <c r="A4528" s="11" t="s">
        <v>98</v>
      </c>
    </row>
    <row r="4529">
      <c r="A4529" s="11" t="s">
        <v>151</v>
      </c>
    </row>
    <row r="4530">
      <c r="A4530" s="11" t="s">
        <v>16</v>
      </c>
    </row>
    <row r="4531">
      <c r="A4531" s="16">
        <v>2.0</v>
      </c>
    </row>
    <row r="4532">
      <c r="A4532" s="11" t="s">
        <v>25</v>
      </c>
    </row>
    <row r="4533">
      <c r="A4533" s="11" t="s">
        <v>26</v>
      </c>
    </row>
    <row r="4534">
      <c r="A4534" s="11" t="s">
        <v>17</v>
      </c>
    </row>
    <row r="4535">
      <c r="A4535" s="11">
        <v>385.0</v>
      </c>
    </row>
    <row r="4536">
      <c r="A4536" s="11" t="s">
        <v>18</v>
      </c>
    </row>
    <row r="4537">
      <c r="A4537" s="11" t="s">
        <v>1999</v>
      </c>
    </row>
    <row r="4538">
      <c r="A4538" s="11" t="s">
        <v>35</v>
      </c>
    </row>
    <row r="4539">
      <c r="A4539" s="11" t="s">
        <v>2001</v>
      </c>
    </row>
    <row r="4540">
      <c r="A4540" s="11" t="s">
        <v>37</v>
      </c>
    </row>
    <row r="4541">
      <c r="A4541" s="11" t="s">
        <v>151</v>
      </c>
    </row>
    <row r="4542">
      <c r="A4542" s="11" t="s">
        <v>16</v>
      </c>
    </row>
    <row r="4543">
      <c r="A4543" s="11" t="s">
        <v>151</v>
      </c>
    </row>
    <row r="4544">
      <c r="A4544" s="11" t="s">
        <v>25</v>
      </c>
    </row>
    <row r="4545">
      <c r="A4545" s="11" t="s">
        <v>26</v>
      </c>
    </row>
    <row r="4546">
      <c r="A4546" s="11" t="s">
        <v>17</v>
      </c>
    </row>
    <row r="4547">
      <c r="A4547" s="11">
        <v>386.0</v>
      </c>
    </row>
    <row r="4548">
      <c r="A4548" s="11" t="s">
        <v>18</v>
      </c>
    </row>
    <row r="4549">
      <c r="A4549" s="11" t="s">
        <v>2004</v>
      </c>
    </row>
    <row r="4550">
      <c r="A4550" s="11" t="s">
        <v>42</v>
      </c>
    </row>
    <row r="4551">
      <c r="A4551" s="11" t="s">
        <v>2005</v>
      </c>
    </row>
    <row r="4552">
      <c r="A4552" s="11" t="s">
        <v>44</v>
      </c>
    </row>
    <row r="4553">
      <c r="A4553" s="11" t="s">
        <v>151</v>
      </c>
    </row>
    <row r="4554">
      <c r="A4554" s="11" t="s">
        <v>16</v>
      </c>
    </row>
    <row r="4555">
      <c r="A4555" s="11" t="s">
        <v>151</v>
      </c>
    </row>
    <row r="4556">
      <c r="A4556" s="11" t="s">
        <v>25</v>
      </c>
    </row>
    <row r="4557">
      <c r="A4557" s="11" t="s">
        <v>26</v>
      </c>
    </row>
    <row r="4558">
      <c r="A4558" s="11" t="s">
        <v>17</v>
      </c>
    </row>
    <row r="4559">
      <c r="A4559" s="11">
        <v>387.0</v>
      </c>
    </row>
    <row r="4560">
      <c r="A4560" s="11" t="s">
        <v>18</v>
      </c>
    </row>
    <row r="4561">
      <c r="A4561" s="11" t="s">
        <v>2011</v>
      </c>
    </row>
    <row r="4562">
      <c r="A4562" s="11" t="s">
        <v>42</v>
      </c>
    </row>
    <row r="4563">
      <c r="A4563" s="11" t="s">
        <v>2012</v>
      </c>
    </row>
    <row r="4564">
      <c r="A4564" s="11" t="s">
        <v>44</v>
      </c>
    </row>
    <row r="4565">
      <c r="A4565" s="11" t="s">
        <v>151</v>
      </c>
    </row>
    <row r="4566">
      <c r="A4566" s="11" t="s">
        <v>16</v>
      </c>
    </row>
    <row r="4567">
      <c r="A4567" s="16">
        <v>1.0</v>
      </c>
    </row>
    <row r="4568">
      <c r="A4568" s="11" t="s">
        <v>25</v>
      </c>
    </row>
    <row r="4569">
      <c r="A4569" s="11" t="s">
        <v>26</v>
      </c>
    </row>
    <row r="4570">
      <c r="A4570" s="11" t="s">
        <v>17</v>
      </c>
    </row>
    <row r="4571">
      <c r="A4571" s="11">
        <v>388.0</v>
      </c>
    </row>
    <row r="4572">
      <c r="A4572" s="11" t="s">
        <v>18</v>
      </c>
    </row>
    <row r="4573">
      <c r="A4573" s="11" t="s">
        <v>2014</v>
      </c>
    </row>
    <row r="4574">
      <c r="A4574" s="11" t="s">
        <v>248</v>
      </c>
    </row>
    <row r="4575">
      <c r="A4575" s="11" t="s">
        <v>2017</v>
      </c>
    </row>
    <row r="4576">
      <c r="A4576" s="11" t="s">
        <v>98</v>
      </c>
    </row>
    <row r="4577">
      <c r="A4577" s="11">
        <v>207.0</v>
      </c>
    </row>
    <row r="4578">
      <c r="A4578" s="11" t="s">
        <v>16</v>
      </c>
    </row>
    <row r="4579">
      <c r="A4579" s="11" t="s">
        <v>151</v>
      </c>
    </row>
    <row r="4580">
      <c r="A4580" s="11" t="s">
        <v>25</v>
      </c>
    </row>
    <row r="4581">
      <c r="A4581" s="11" t="s">
        <v>26</v>
      </c>
    </row>
    <row r="4582">
      <c r="A4582" s="11" t="s">
        <v>17</v>
      </c>
    </row>
    <row r="4583">
      <c r="A4583" s="11">
        <v>389.0</v>
      </c>
    </row>
    <row r="4584">
      <c r="A4584" s="11" t="s">
        <v>18</v>
      </c>
    </row>
    <row r="4585">
      <c r="A4585" s="11" t="s">
        <v>2019</v>
      </c>
    </row>
    <row r="4586">
      <c r="A4586" s="11" t="s">
        <v>35</v>
      </c>
    </row>
    <row r="4587">
      <c r="A4587" s="11" t="s">
        <v>2020</v>
      </c>
    </row>
    <row r="4588">
      <c r="A4588" s="11" t="s">
        <v>37</v>
      </c>
    </row>
    <row r="4589">
      <c r="A4589" s="11" t="s">
        <v>151</v>
      </c>
    </row>
    <row r="4590">
      <c r="A4590" s="11" t="s">
        <v>16</v>
      </c>
    </row>
    <row r="4591">
      <c r="A4591" s="16">
        <v>1.0</v>
      </c>
    </row>
    <row r="4592">
      <c r="A4592" s="11" t="s">
        <v>25</v>
      </c>
    </row>
    <row r="4593">
      <c r="A4593" s="11" t="s">
        <v>26</v>
      </c>
    </row>
    <row r="4594">
      <c r="A4594" s="11" t="s">
        <v>17</v>
      </c>
    </row>
    <row r="4595">
      <c r="A4595" s="11">
        <v>390.0</v>
      </c>
    </row>
    <row r="4596">
      <c r="A4596" s="11" t="s">
        <v>2023</v>
      </c>
    </row>
    <row r="4597">
      <c r="A4597" s="11" t="s">
        <v>146</v>
      </c>
    </row>
    <row r="4598">
      <c r="A4598" s="11" t="s">
        <v>2024</v>
      </c>
    </row>
    <row r="4599">
      <c r="A4599" s="11" t="s">
        <v>117</v>
      </c>
    </row>
    <row r="4600">
      <c r="A4600" s="11" t="s">
        <v>151</v>
      </c>
    </row>
    <row r="4601">
      <c r="A4601" s="11" t="s">
        <v>16</v>
      </c>
    </row>
    <row r="4602">
      <c r="A4602" s="11" t="s">
        <v>151</v>
      </c>
    </row>
    <row r="4603">
      <c r="A4603" s="11" t="s">
        <v>25</v>
      </c>
    </row>
    <row r="4604">
      <c r="A4604" s="11" t="s">
        <v>26</v>
      </c>
    </row>
    <row r="4605">
      <c r="A4605" s="11" t="s">
        <v>17</v>
      </c>
    </row>
    <row r="4606">
      <c r="A4606" s="11">
        <v>391.0</v>
      </c>
    </row>
    <row r="4607">
      <c r="A4607" s="11" t="s">
        <v>2028</v>
      </c>
    </row>
    <row r="4608">
      <c r="A4608" s="11" t="s">
        <v>319</v>
      </c>
    </row>
    <row r="4609">
      <c r="A4609" s="11" t="s">
        <v>2029</v>
      </c>
    </row>
    <row r="4610">
      <c r="A4610" s="11" t="s">
        <v>121</v>
      </c>
    </row>
    <row r="4611">
      <c r="A4611" s="11" t="s">
        <v>151</v>
      </c>
    </row>
    <row r="4612">
      <c r="A4612" s="11" t="s">
        <v>16</v>
      </c>
    </row>
    <row r="4613">
      <c r="A4613" s="11" t="s">
        <v>151</v>
      </c>
    </row>
    <row r="4614">
      <c r="A4614" s="11" t="s">
        <v>25</v>
      </c>
    </row>
    <row r="4615">
      <c r="A4615" s="11" t="s">
        <v>26</v>
      </c>
    </row>
    <row r="4616">
      <c r="A4616" s="11" t="s">
        <v>17</v>
      </c>
    </row>
    <row r="4617">
      <c r="A4617" s="11">
        <v>392.0</v>
      </c>
    </row>
    <row r="4618">
      <c r="A4618" s="11" t="s">
        <v>18</v>
      </c>
    </row>
    <row r="4619">
      <c r="A4619" s="11" t="s">
        <v>2032</v>
      </c>
    </row>
    <row r="4620">
      <c r="A4620" s="11" t="s">
        <v>206</v>
      </c>
    </row>
    <row r="4621">
      <c r="A4621" s="11" t="s">
        <v>2033</v>
      </c>
    </row>
    <row r="4622">
      <c r="A4622" s="11" t="s">
        <v>37</v>
      </c>
    </row>
    <row r="4623">
      <c r="A4623" s="11" t="s">
        <v>151</v>
      </c>
    </row>
    <row r="4624">
      <c r="A4624" s="11" t="s">
        <v>16</v>
      </c>
    </row>
    <row r="4625">
      <c r="A4625" s="11" t="s">
        <v>151</v>
      </c>
    </row>
    <row r="4626">
      <c r="A4626" s="11" t="s">
        <v>25</v>
      </c>
    </row>
    <row r="4627">
      <c r="A4627" s="11" t="s">
        <v>26</v>
      </c>
    </row>
    <row r="4628">
      <c r="A4628" s="11" t="s">
        <v>17</v>
      </c>
    </row>
    <row r="4629">
      <c r="A4629" s="11">
        <v>393.0</v>
      </c>
    </row>
    <row r="4630">
      <c r="A4630" s="11" t="s">
        <v>2036</v>
      </c>
    </row>
    <row r="4631">
      <c r="A4631" s="11" t="s">
        <v>266</v>
      </c>
    </row>
    <row r="4632">
      <c r="A4632" s="11" t="s">
        <v>2039</v>
      </c>
    </row>
    <row r="4633">
      <c r="A4633" s="11" t="s">
        <v>44</v>
      </c>
    </row>
    <row r="4634">
      <c r="A4634" s="11">
        <v>176.0</v>
      </c>
    </row>
    <row r="4635">
      <c r="A4635" s="11" t="s">
        <v>16</v>
      </c>
    </row>
    <row r="4636">
      <c r="A4636" s="11" t="s">
        <v>151</v>
      </c>
    </row>
    <row r="4637">
      <c r="A4637" s="11" t="s">
        <v>25</v>
      </c>
    </row>
    <row r="4638">
      <c r="A4638" s="11" t="s">
        <v>26</v>
      </c>
    </row>
    <row r="4639">
      <c r="A4639" s="11" t="s">
        <v>17</v>
      </c>
    </row>
    <row r="4640">
      <c r="A4640" s="11">
        <v>394.0</v>
      </c>
    </row>
    <row r="4641">
      <c r="A4641" s="11" t="s">
        <v>18</v>
      </c>
    </row>
    <row r="4642">
      <c r="A4642" s="11" t="s">
        <v>2041</v>
      </c>
    </row>
    <row r="4643">
      <c r="A4643" s="11" t="s">
        <v>248</v>
      </c>
    </row>
    <row r="4644">
      <c r="A4644" s="11" t="s">
        <v>2042</v>
      </c>
    </row>
    <row r="4645">
      <c r="A4645" s="11" t="s">
        <v>98</v>
      </c>
    </row>
    <row r="4646">
      <c r="A4646" s="11" t="s">
        <v>151</v>
      </c>
    </row>
    <row r="4647">
      <c r="A4647" s="11" t="s">
        <v>16</v>
      </c>
    </row>
    <row r="4648">
      <c r="A4648" s="11" t="s">
        <v>151</v>
      </c>
    </row>
    <row r="4649">
      <c r="A4649" s="11" t="s">
        <v>25</v>
      </c>
    </row>
    <row r="4650">
      <c r="A4650" s="11" t="s">
        <v>26</v>
      </c>
    </row>
    <row r="4651">
      <c r="A4651" s="11" t="s">
        <v>17</v>
      </c>
    </row>
    <row r="4652">
      <c r="A4652" s="11">
        <v>395.0</v>
      </c>
    </row>
    <row r="4653">
      <c r="A4653" s="11" t="s">
        <v>18</v>
      </c>
    </row>
    <row r="4654">
      <c r="A4654" s="11" t="s">
        <v>2046</v>
      </c>
    </row>
    <row r="4655">
      <c r="A4655" s="11" t="s">
        <v>47</v>
      </c>
    </row>
    <row r="4656">
      <c r="A4656" s="11" t="s">
        <v>2048</v>
      </c>
    </row>
    <row r="4657">
      <c r="A4657" s="11" t="s">
        <v>31</v>
      </c>
    </row>
    <row r="4658">
      <c r="A4658" s="11" t="s">
        <v>151</v>
      </c>
    </row>
    <row r="4659">
      <c r="A4659" s="11" t="s">
        <v>16</v>
      </c>
    </row>
    <row r="4660">
      <c r="A4660" s="11" t="s">
        <v>151</v>
      </c>
    </row>
    <row r="4661">
      <c r="A4661" s="11" t="s">
        <v>25</v>
      </c>
    </row>
    <row r="4662">
      <c r="A4662" s="11" t="s">
        <v>26</v>
      </c>
    </row>
    <row r="4663">
      <c r="A4663" s="11" t="s">
        <v>17</v>
      </c>
    </row>
    <row r="4664">
      <c r="A4664" s="11">
        <v>396.0</v>
      </c>
    </row>
    <row r="4665">
      <c r="A4665" s="11" t="s">
        <v>18</v>
      </c>
    </row>
    <row r="4666">
      <c r="A4666" s="11" t="s">
        <v>2049</v>
      </c>
    </row>
    <row r="4667">
      <c r="A4667" s="11" t="s">
        <v>88</v>
      </c>
    </row>
    <row r="4668">
      <c r="A4668" s="11" t="s">
        <v>2051</v>
      </c>
    </row>
    <row r="4669">
      <c r="A4669" s="11" t="s">
        <v>23</v>
      </c>
    </row>
    <row r="4670">
      <c r="A4670" s="11" t="s">
        <v>151</v>
      </c>
    </row>
    <row r="4671">
      <c r="A4671" s="11" t="s">
        <v>16</v>
      </c>
    </row>
    <row r="4672">
      <c r="A4672" s="11" t="s">
        <v>151</v>
      </c>
    </row>
    <row r="4673">
      <c r="A4673" s="11" t="s">
        <v>25</v>
      </c>
    </row>
    <row r="4674">
      <c r="A4674" s="11" t="s">
        <v>26</v>
      </c>
    </row>
    <row r="4675">
      <c r="A4675" s="11" t="s">
        <v>17</v>
      </c>
    </row>
    <row r="4676">
      <c r="A4676" s="11">
        <v>397.0</v>
      </c>
    </row>
    <row r="4677">
      <c r="A4677" s="11" t="s">
        <v>18</v>
      </c>
    </row>
    <row r="4678">
      <c r="A4678" s="11" t="s">
        <v>2056</v>
      </c>
    </row>
    <row r="4679">
      <c r="A4679" s="11" t="s">
        <v>266</v>
      </c>
    </row>
    <row r="4680">
      <c r="A4680" s="11" t="s">
        <v>2058</v>
      </c>
    </row>
    <row r="4681">
      <c r="A4681" s="11" t="s">
        <v>44</v>
      </c>
    </row>
    <row r="4682">
      <c r="A4682" s="11" t="s">
        <v>151</v>
      </c>
    </row>
    <row r="4683">
      <c r="A4683" s="11" t="s">
        <v>16</v>
      </c>
    </row>
    <row r="4684">
      <c r="A4684" s="11" t="s">
        <v>151</v>
      </c>
    </row>
    <row r="4685">
      <c r="A4685" s="11" t="s">
        <v>25</v>
      </c>
    </row>
    <row r="4686">
      <c r="A4686" s="11" t="s">
        <v>26</v>
      </c>
    </row>
    <row r="4687">
      <c r="A4687" s="11" t="s">
        <v>17</v>
      </c>
    </row>
    <row r="4688">
      <c r="A4688" s="11">
        <v>398.0</v>
      </c>
    </row>
    <row r="4689">
      <c r="A4689" s="11" t="s">
        <v>2059</v>
      </c>
    </row>
    <row r="4690">
      <c r="A4690" s="11" t="s">
        <v>94</v>
      </c>
    </row>
    <row r="4691">
      <c r="A4691" s="11" t="s">
        <v>2060</v>
      </c>
    </row>
    <row r="4692">
      <c r="A4692" s="11" t="s">
        <v>98</v>
      </c>
    </row>
    <row r="4693">
      <c r="A4693" s="11" t="s">
        <v>151</v>
      </c>
    </row>
    <row r="4694">
      <c r="A4694" s="11" t="s">
        <v>16</v>
      </c>
    </row>
    <row r="4695">
      <c r="A4695" s="11" t="s">
        <v>151</v>
      </c>
    </row>
    <row r="4696">
      <c r="A4696" s="11" t="s">
        <v>25</v>
      </c>
    </row>
    <row r="4697">
      <c r="A4697" s="11" t="s">
        <v>26</v>
      </c>
    </row>
    <row r="4698">
      <c r="A4698" s="11" t="s">
        <v>17</v>
      </c>
    </row>
    <row r="4699">
      <c r="A4699" s="11">
        <v>399.0</v>
      </c>
    </row>
    <row r="4700">
      <c r="A4700" s="11" t="s">
        <v>18</v>
      </c>
    </row>
    <row r="4701">
      <c r="A4701" s="11" t="s">
        <v>2064</v>
      </c>
    </row>
    <row r="4702">
      <c r="A4702" s="11" t="s">
        <v>333</v>
      </c>
    </row>
    <row r="4703">
      <c r="A4703" s="11" t="s">
        <v>2065</v>
      </c>
    </row>
    <row r="4704">
      <c r="A4704" s="11" t="s">
        <v>335</v>
      </c>
    </row>
    <row r="4705">
      <c r="A4705" s="11" t="s">
        <v>151</v>
      </c>
    </row>
    <row r="4706">
      <c r="A4706" s="11" t="s">
        <v>16</v>
      </c>
    </row>
    <row r="4707">
      <c r="A4707" s="11" t="s">
        <v>151</v>
      </c>
    </row>
    <row r="4708">
      <c r="A4708" s="11" t="s">
        <v>25</v>
      </c>
    </row>
    <row r="4709">
      <c r="A4709" s="11" t="s">
        <v>26</v>
      </c>
    </row>
    <row r="4710">
      <c r="A4710" s="11" t="s">
        <v>17</v>
      </c>
    </row>
    <row r="4711">
      <c r="A4711" s="11">
        <v>400.0</v>
      </c>
    </row>
    <row r="4712">
      <c r="A4712" s="11" t="s">
        <v>18</v>
      </c>
    </row>
    <row r="4713">
      <c r="A4713" s="11" t="s">
        <v>2071</v>
      </c>
    </row>
    <row r="4714">
      <c r="A4714" s="11" t="s">
        <v>47</v>
      </c>
    </row>
    <row r="4715">
      <c r="A4715" s="11" t="s">
        <v>2072</v>
      </c>
    </row>
    <row r="4716">
      <c r="A4716" s="11" t="s">
        <v>31</v>
      </c>
    </row>
    <row r="4717">
      <c r="A4717" s="11" t="s">
        <v>151</v>
      </c>
    </row>
    <row r="4718">
      <c r="A4718" s="11" t="s">
        <v>16</v>
      </c>
    </row>
    <row r="4719">
      <c r="A4719" s="11" t="s">
        <v>151</v>
      </c>
    </row>
    <row r="4720">
      <c r="A4720" s="11" t="s">
        <v>25</v>
      </c>
    </row>
    <row r="4721">
      <c r="A4721" s="11" t="s">
        <v>26</v>
      </c>
    </row>
    <row r="4722">
      <c r="A4722" s="11" t="s">
        <v>17</v>
      </c>
    </row>
    <row r="4723">
      <c r="A4723" s="11">
        <v>401.0</v>
      </c>
    </row>
    <row r="4724">
      <c r="A4724" s="11" t="s">
        <v>18</v>
      </c>
    </row>
    <row r="4725">
      <c r="A4725" s="11" t="s">
        <v>327</v>
      </c>
    </row>
    <row r="4726">
      <c r="A4726" s="11" t="s">
        <v>248</v>
      </c>
    </row>
    <row r="4727">
      <c r="A4727" s="11" t="s">
        <v>2074</v>
      </c>
    </row>
    <row r="4728">
      <c r="A4728" s="11" t="s">
        <v>98</v>
      </c>
    </row>
    <row r="4729">
      <c r="A4729" s="11" t="s">
        <v>151</v>
      </c>
    </row>
    <row r="4730">
      <c r="A4730" s="11" t="s">
        <v>16</v>
      </c>
    </row>
    <row r="4731">
      <c r="A4731" s="11" t="s">
        <v>151</v>
      </c>
    </row>
    <row r="4732">
      <c r="A4732" s="11" t="s">
        <v>25</v>
      </c>
    </row>
    <row r="4733">
      <c r="A4733" s="11" t="s">
        <v>26</v>
      </c>
    </row>
    <row r="4734">
      <c r="A4734" s="11" t="s">
        <v>17</v>
      </c>
    </row>
    <row r="4735">
      <c r="A4735" s="11">
        <v>402.0</v>
      </c>
    </row>
    <row r="4736">
      <c r="A4736" s="11" t="s">
        <v>34</v>
      </c>
    </row>
    <row r="4737">
      <c r="A4737" s="11" t="s">
        <v>351</v>
      </c>
    </row>
    <row r="4738">
      <c r="A4738" s="11" t="s">
        <v>2079</v>
      </c>
    </row>
    <row r="4739">
      <c r="A4739" s="11" t="s">
        <v>62</v>
      </c>
    </row>
    <row r="4740">
      <c r="A4740" s="11" t="s">
        <v>151</v>
      </c>
    </row>
    <row r="4741">
      <c r="A4741" s="11" t="s">
        <v>16</v>
      </c>
    </row>
    <row r="4742">
      <c r="A4742" s="11" t="s">
        <v>151</v>
      </c>
    </row>
    <row r="4743">
      <c r="A4743" s="11" t="s">
        <v>25</v>
      </c>
    </row>
    <row r="4744">
      <c r="A4744" s="11" t="s">
        <v>26</v>
      </c>
    </row>
    <row r="4745">
      <c r="A4745" s="11" t="s">
        <v>17</v>
      </c>
    </row>
    <row r="4746">
      <c r="A4746" s="11">
        <v>403.0</v>
      </c>
    </row>
    <row r="4747">
      <c r="A4747" s="11" t="s">
        <v>18</v>
      </c>
    </row>
    <row r="4748">
      <c r="A4748" s="11" t="s">
        <v>2082</v>
      </c>
    </row>
    <row r="4749">
      <c r="A4749" s="11" t="s">
        <v>53</v>
      </c>
    </row>
    <row r="4750">
      <c r="A4750" s="11" t="s">
        <v>2084</v>
      </c>
    </row>
    <row r="4751">
      <c r="A4751" s="11" t="s">
        <v>23</v>
      </c>
    </row>
    <row r="4752">
      <c r="A4752" s="11" t="s">
        <v>151</v>
      </c>
    </row>
    <row r="4753">
      <c r="A4753" s="11" t="s">
        <v>16</v>
      </c>
    </row>
    <row r="4754">
      <c r="A4754" s="11" t="s">
        <v>151</v>
      </c>
    </row>
    <row r="4755">
      <c r="A4755" s="11" t="s">
        <v>25</v>
      </c>
    </row>
    <row r="4756">
      <c r="A4756" s="11" t="s">
        <v>26</v>
      </c>
    </row>
    <row r="4757">
      <c r="A4757" s="11" t="s">
        <v>17</v>
      </c>
    </row>
    <row r="4758">
      <c r="A4758" s="11">
        <v>404.0</v>
      </c>
    </row>
    <row r="4759">
      <c r="A4759" s="11" t="s">
        <v>18</v>
      </c>
    </row>
    <row r="4760">
      <c r="A4760" s="11" t="s">
        <v>2086</v>
      </c>
    </row>
    <row r="4761">
      <c r="A4761" s="11" t="s">
        <v>319</v>
      </c>
    </row>
    <row r="4762">
      <c r="A4762" s="11" t="s">
        <v>2088</v>
      </c>
    </row>
    <row r="4763">
      <c r="A4763" s="11" t="s">
        <v>121</v>
      </c>
    </row>
    <row r="4764">
      <c r="A4764" s="11" t="s">
        <v>151</v>
      </c>
    </row>
    <row r="4765">
      <c r="A4765" s="11" t="s">
        <v>16</v>
      </c>
    </row>
    <row r="4766">
      <c r="A4766" s="11" t="s">
        <v>151</v>
      </c>
    </row>
    <row r="4767">
      <c r="A4767" s="11" t="s">
        <v>25</v>
      </c>
    </row>
    <row r="4768">
      <c r="A4768" s="11" t="s">
        <v>26</v>
      </c>
    </row>
    <row r="4769">
      <c r="A4769" s="11" t="s">
        <v>17</v>
      </c>
    </row>
    <row r="4770">
      <c r="A4770" s="11">
        <v>405.0</v>
      </c>
    </row>
    <row r="4771">
      <c r="A4771" s="11" t="s">
        <v>2092</v>
      </c>
    </row>
    <row r="4772">
      <c r="A4772" s="11" t="s">
        <v>78</v>
      </c>
    </row>
    <row r="4773">
      <c r="A4773" s="11" t="s">
        <v>2093</v>
      </c>
    </row>
    <row r="4774">
      <c r="A4774" s="11" t="s">
        <v>37</v>
      </c>
    </row>
    <row r="4775">
      <c r="A4775" s="11" t="s">
        <v>151</v>
      </c>
    </row>
    <row r="4776">
      <c r="A4776" s="11" t="s">
        <v>16</v>
      </c>
    </row>
    <row r="4777">
      <c r="A4777" s="11" t="s">
        <v>151</v>
      </c>
    </row>
    <row r="4778">
      <c r="A4778" s="11" t="s">
        <v>25</v>
      </c>
    </row>
    <row r="4779">
      <c r="A4779" s="11" t="s">
        <v>26</v>
      </c>
    </row>
    <row r="4780">
      <c r="A4780" s="11" t="s">
        <v>17</v>
      </c>
    </row>
    <row r="4781">
      <c r="A4781" s="11">
        <v>406.0</v>
      </c>
    </row>
    <row r="4782">
      <c r="A4782" s="11" t="s">
        <v>18</v>
      </c>
    </row>
    <row r="4783">
      <c r="A4783" s="11" t="s">
        <v>2097</v>
      </c>
    </row>
    <row r="4784">
      <c r="A4784" s="11" t="s">
        <v>142</v>
      </c>
    </row>
    <row r="4785">
      <c r="A4785" s="11" t="s">
        <v>2098</v>
      </c>
    </row>
    <row r="4786">
      <c r="A4786" s="11" t="s">
        <v>31</v>
      </c>
    </row>
    <row r="4787">
      <c r="A4787" s="11" t="s">
        <v>151</v>
      </c>
    </row>
    <row r="4788">
      <c r="A4788" s="11" t="s">
        <v>16</v>
      </c>
    </row>
    <row r="4789">
      <c r="A4789" s="11" t="s">
        <v>151</v>
      </c>
    </row>
    <row r="4790">
      <c r="A4790" s="11" t="s">
        <v>25</v>
      </c>
    </row>
    <row r="4791">
      <c r="A4791" s="11" t="s">
        <v>26</v>
      </c>
    </row>
    <row r="4792">
      <c r="A4792" s="11" t="s">
        <v>17</v>
      </c>
    </row>
    <row r="4793">
      <c r="A4793" s="11">
        <v>407.0</v>
      </c>
    </row>
    <row r="4794">
      <c r="A4794" s="11" t="s">
        <v>2102</v>
      </c>
    </row>
    <row r="4795">
      <c r="A4795" s="11" t="s">
        <v>47</v>
      </c>
    </row>
    <row r="4796">
      <c r="A4796" s="11" t="s">
        <v>2103</v>
      </c>
    </row>
    <row r="4797">
      <c r="A4797" s="11" t="s">
        <v>31</v>
      </c>
    </row>
    <row r="4798">
      <c r="A4798" s="11" t="s">
        <v>151</v>
      </c>
    </row>
    <row r="4799">
      <c r="A4799" s="11" t="s">
        <v>16</v>
      </c>
    </row>
    <row r="4800">
      <c r="A4800" s="11" t="s">
        <v>151</v>
      </c>
    </row>
    <row r="4801">
      <c r="A4801" s="11" t="s">
        <v>25</v>
      </c>
    </row>
    <row r="4802">
      <c r="A4802" s="11" t="s">
        <v>26</v>
      </c>
    </row>
    <row r="4803">
      <c r="A4803" s="11" t="s">
        <v>17</v>
      </c>
    </row>
    <row r="4804">
      <c r="A4804" s="11">
        <v>408.0</v>
      </c>
    </row>
    <row r="4805">
      <c r="A4805" s="11" t="s">
        <v>2105</v>
      </c>
    </row>
    <row r="4806">
      <c r="A4806" s="11" t="s">
        <v>71</v>
      </c>
    </row>
    <row r="4807">
      <c r="A4807" s="11" t="s">
        <v>2107</v>
      </c>
    </row>
    <row r="4808">
      <c r="A4808" s="11" t="s">
        <v>23</v>
      </c>
    </row>
    <row r="4809">
      <c r="A4809" s="11" t="s">
        <v>151</v>
      </c>
    </row>
    <row r="4810">
      <c r="A4810" s="11" t="s">
        <v>16</v>
      </c>
    </row>
    <row r="4811">
      <c r="A4811" s="11" t="s">
        <v>151</v>
      </c>
    </row>
    <row r="4812">
      <c r="A4812" s="11" t="s">
        <v>25</v>
      </c>
    </row>
    <row r="4813">
      <c r="A4813" s="11" t="s">
        <v>26</v>
      </c>
    </row>
    <row r="4814">
      <c r="A4814" s="11" t="s">
        <v>17</v>
      </c>
    </row>
    <row r="4815">
      <c r="A4815" s="11">
        <v>409.0</v>
      </c>
    </row>
    <row r="4816">
      <c r="A4816" s="11" t="s">
        <v>18</v>
      </c>
    </row>
    <row r="4817">
      <c r="A4817" s="11" t="s">
        <v>2111</v>
      </c>
    </row>
    <row r="4818">
      <c r="A4818" s="11" t="s">
        <v>78</v>
      </c>
    </row>
    <row r="4819">
      <c r="A4819" s="11" t="s">
        <v>2113</v>
      </c>
    </row>
    <row r="4820">
      <c r="A4820" s="11" t="s">
        <v>37</v>
      </c>
    </row>
    <row r="4821">
      <c r="A4821" s="11" t="s">
        <v>151</v>
      </c>
    </row>
    <row r="4822">
      <c r="A4822" s="11" t="s">
        <v>16</v>
      </c>
    </row>
    <row r="4823">
      <c r="A4823" s="11" t="s">
        <v>151</v>
      </c>
    </row>
    <row r="4824">
      <c r="A4824" s="11" t="s">
        <v>25</v>
      </c>
    </row>
    <row r="4825">
      <c r="A4825" s="11" t="s">
        <v>26</v>
      </c>
    </row>
    <row r="4826">
      <c r="A4826" s="11" t="s">
        <v>17</v>
      </c>
    </row>
    <row r="4827">
      <c r="A4827" s="11">
        <v>410.0</v>
      </c>
    </row>
    <row r="4828">
      <c r="A4828" s="11" t="s">
        <v>2116</v>
      </c>
    </row>
    <row r="4829">
      <c r="A4829" s="11" t="s">
        <v>47</v>
      </c>
    </row>
    <row r="4830">
      <c r="A4830" s="11" t="s">
        <v>2118</v>
      </c>
    </row>
    <row r="4831">
      <c r="A4831" s="11" t="s">
        <v>31</v>
      </c>
    </row>
    <row r="4832">
      <c r="A4832" s="11" t="s">
        <v>151</v>
      </c>
    </row>
    <row r="4833">
      <c r="A4833" s="11" t="s">
        <v>16</v>
      </c>
    </row>
    <row r="4834">
      <c r="A4834" s="11" t="s">
        <v>151</v>
      </c>
    </row>
    <row r="4835">
      <c r="A4835" s="11" t="s">
        <v>25</v>
      </c>
    </row>
    <row r="4836">
      <c r="A4836" s="11" t="s">
        <v>26</v>
      </c>
    </row>
    <row r="4837">
      <c r="A4837" s="11" t="s">
        <v>17</v>
      </c>
    </row>
    <row r="4838">
      <c r="A4838" s="11">
        <v>411.0</v>
      </c>
    </row>
    <row r="4839">
      <c r="A4839" s="11" t="s">
        <v>18</v>
      </c>
    </row>
    <row r="4840">
      <c r="A4840" s="11" t="s">
        <v>2121</v>
      </c>
    </row>
    <row r="4841">
      <c r="A4841" s="11" t="s">
        <v>295</v>
      </c>
    </row>
    <row r="4842">
      <c r="A4842" s="11" t="s">
        <v>2123</v>
      </c>
    </row>
    <row r="4843">
      <c r="A4843" s="11" t="s">
        <v>62</v>
      </c>
    </row>
    <row r="4844">
      <c r="A4844" s="11" t="s">
        <v>151</v>
      </c>
    </row>
    <row r="4845">
      <c r="A4845" s="11" t="s">
        <v>16</v>
      </c>
    </row>
    <row r="4846">
      <c r="A4846" s="11" t="s">
        <v>151</v>
      </c>
    </row>
    <row r="4847">
      <c r="A4847" s="11" t="s">
        <v>25</v>
      </c>
    </row>
    <row r="4848">
      <c r="A4848" s="11" t="s">
        <v>26</v>
      </c>
    </row>
    <row r="4849">
      <c r="A4849" s="11" t="s">
        <v>17</v>
      </c>
    </row>
    <row r="4850">
      <c r="A4850" s="11">
        <v>412.0</v>
      </c>
    </row>
    <row r="4851">
      <c r="A4851" s="11" t="s">
        <v>2126</v>
      </c>
    </row>
    <row r="4852">
      <c r="A4852" s="11" t="s">
        <v>351</v>
      </c>
    </row>
    <row r="4853">
      <c r="A4853" s="11" t="s">
        <v>2128</v>
      </c>
    </row>
    <row r="4854">
      <c r="A4854" s="11" t="s">
        <v>62</v>
      </c>
    </row>
    <row r="4855">
      <c r="A4855" s="11" t="s">
        <v>151</v>
      </c>
    </row>
    <row r="4856">
      <c r="A4856" s="11" t="s">
        <v>16</v>
      </c>
    </row>
    <row r="4857">
      <c r="A4857" s="11" t="s">
        <v>151</v>
      </c>
    </row>
    <row r="4858">
      <c r="A4858" s="11" t="s">
        <v>25</v>
      </c>
    </row>
    <row r="4859">
      <c r="A4859" s="11" t="s">
        <v>26</v>
      </c>
    </row>
    <row r="4860">
      <c r="A4860" s="11" t="s">
        <v>17</v>
      </c>
    </row>
    <row r="4861">
      <c r="A4861" s="11">
        <v>413.0</v>
      </c>
    </row>
    <row r="4862">
      <c r="A4862" s="11" t="s">
        <v>18</v>
      </c>
    </row>
    <row r="4863">
      <c r="A4863" s="11" t="s">
        <v>2134</v>
      </c>
    </row>
    <row r="4864">
      <c r="A4864" s="11" t="s">
        <v>183</v>
      </c>
    </row>
    <row r="4865">
      <c r="A4865" s="11" t="s">
        <v>2135</v>
      </c>
    </row>
    <row r="4866">
      <c r="A4866" s="11" t="s">
        <v>44</v>
      </c>
    </row>
    <row r="4867">
      <c r="A4867" s="11" t="s">
        <v>151</v>
      </c>
    </row>
    <row r="4868">
      <c r="A4868" s="11" t="s">
        <v>16</v>
      </c>
    </row>
    <row r="4869">
      <c r="A4869" s="16">
        <v>1.0</v>
      </c>
    </row>
    <row r="4870">
      <c r="A4870" s="11" t="s">
        <v>25</v>
      </c>
    </row>
    <row r="4871">
      <c r="A4871" s="11" t="s">
        <v>26</v>
      </c>
    </row>
    <row r="4872">
      <c r="A4872" s="11" t="s">
        <v>17</v>
      </c>
    </row>
    <row r="4873">
      <c r="A4873" s="11">
        <v>414.0</v>
      </c>
    </row>
    <row r="4874">
      <c r="A4874" s="11" t="s">
        <v>18</v>
      </c>
    </row>
    <row r="4875">
      <c r="A4875" s="11" t="s">
        <v>2138</v>
      </c>
    </row>
    <row r="4876">
      <c r="A4876" s="11" t="s">
        <v>131</v>
      </c>
    </row>
    <row r="4877">
      <c r="A4877" s="11" t="s">
        <v>2139</v>
      </c>
    </row>
    <row r="4878">
      <c r="A4878" s="11" t="s">
        <v>62</v>
      </c>
    </row>
    <row r="4879">
      <c r="A4879" s="11" t="s">
        <v>151</v>
      </c>
    </row>
    <row r="4880">
      <c r="A4880" s="11" t="s">
        <v>16</v>
      </c>
    </row>
    <row r="4881">
      <c r="A4881" s="11" t="s">
        <v>151</v>
      </c>
    </row>
    <row r="4882">
      <c r="A4882" s="11" t="s">
        <v>25</v>
      </c>
    </row>
    <row r="4883">
      <c r="A4883" s="11" t="s">
        <v>26</v>
      </c>
    </row>
    <row r="4884">
      <c r="A4884" s="11" t="s">
        <v>17</v>
      </c>
    </row>
    <row r="4885">
      <c r="A4885" s="11">
        <v>415.0</v>
      </c>
    </row>
    <row r="4886">
      <c r="A4886" s="11" t="s">
        <v>18</v>
      </c>
    </row>
    <row r="4887">
      <c r="A4887" s="11" t="s">
        <v>2143</v>
      </c>
    </row>
    <row r="4888">
      <c r="A4888" s="11" t="s">
        <v>20</v>
      </c>
    </row>
    <row r="4889">
      <c r="A4889" s="11" t="s">
        <v>2144</v>
      </c>
    </row>
    <row r="4890">
      <c r="A4890" s="11" t="s">
        <v>23</v>
      </c>
    </row>
    <row r="4891">
      <c r="A4891" s="11" t="s">
        <v>151</v>
      </c>
    </row>
    <row r="4892">
      <c r="A4892" s="11" t="s">
        <v>16</v>
      </c>
    </row>
    <row r="4893">
      <c r="A4893" s="11" t="s">
        <v>151</v>
      </c>
    </row>
    <row r="4894">
      <c r="A4894" s="11" t="s">
        <v>25</v>
      </c>
    </row>
    <row r="4895">
      <c r="A4895" s="11" t="s">
        <v>26</v>
      </c>
    </row>
    <row r="4896">
      <c r="A4896" s="11" t="s">
        <v>17</v>
      </c>
    </row>
    <row r="4897">
      <c r="A4897" s="11">
        <v>416.0</v>
      </c>
    </row>
    <row r="4898">
      <c r="A4898" s="11" t="s">
        <v>18</v>
      </c>
    </row>
    <row r="4899">
      <c r="A4899" s="11" t="s">
        <v>174</v>
      </c>
    </row>
    <row r="4900">
      <c r="A4900" s="11" t="s">
        <v>259</v>
      </c>
    </row>
    <row r="4901">
      <c r="A4901" s="11" t="s">
        <v>2150</v>
      </c>
    </row>
    <row r="4902">
      <c r="A4902" s="11" t="s">
        <v>121</v>
      </c>
    </row>
    <row r="4903">
      <c r="A4903" s="11" t="s">
        <v>151</v>
      </c>
    </row>
    <row r="4904">
      <c r="A4904" s="11" t="s">
        <v>16</v>
      </c>
    </row>
    <row r="4905">
      <c r="A4905" s="11" t="s">
        <v>151</v>
      </c>
    </row>
    <row r="4906">
      <c r="A4906" s="11" t="s">
        <v>25</v>
      </c>
    </row>
    <row r="4907">
      <c r="A4907" s="11" t="s">
        <v>26</v>
      </c>
    </row>
    <row r="4908">
      <c r="A4908" s="11" t="s">
        <v>17</v>
      </c>
    </row>
    <row r="4909">
      <c r="A4909" s="11">
        <v>417.0</v>
      </c>
    </row>
    <row r="4910">
      <c r="A4910" s="11" t="s">
        <v>18</v>
      </c>
    </row>
    <row r="4911">
      <c r="A4911" s="11" t="s">
        <v>2153</v>
      </c>
    </row>
    <row r="4912">
      <c r="A4912" s="11" t="s">
        <v>59</v>
      </c>
    </row>
    <row r="4913">
      <c r="A4913" s="11" t="s">
        <v>2155</v>
      </c>
    </row>
    <row r="4914">
      <c r="A4914" s="11" t="s">
        <v>62</v>
      </c>
    </row>
    <row r="4915">
      <c r="A4915" s="11" t="s">
        <v>151</v>
      </c>
    </row>
    <row r="4916">
      <c r="A4916" s="11" t="s">
        <v>16</v>
      </c>
    </row>
    <row r="4917">
      <c r="A4917" s="11" t="s">
        <v>151</v>
      </c>
    </row>
    <row r="4918">
      <c r="A4918" s="11" t="s">
        <v>25</v>
      </c>
    </row>
    <row r="4919">
      <c r="A4919" s="11" t="s">
        <v>26</v>
      </c>
    </row>
    <row r="4920">
      <c r="A4920" s="11" t="s">
        <v>17</v>
      </c>
    </row>
    <row r="4921">
      <c r="A4921" s="11">
        <v>418.0</v>
      </c>
    </row>
    <row r="4922">
      <c r="A4922" s="11" t="s">
        <v>18</v>
      </c>
    </row>
    <row r="4923">
      <c r="A4923" s="11" t="s">
        <v>2158</v>
      </c>
    </row>
    <row r="4924">
      <c r="A4924" s="11" t="s">
        <v>42</v>
      </c>
    </row>
    <row r="4925">
      <c r="A4925" s="11" t="s">
        <v>2160</v>
      </c>
    </row>
    <row r="4926">
      <c r="A4926" s="11" t="s">
        <v>44</v>
      </c>
    </row>
    <row r="4927">
      <c r="A4927" s="11">
        <v>190.0</v>
      </c>
    </row>
    <row r="4928">
      <c r="A4928" s="11" t="s">
        <v>16</v>
      </c>
    </row>
    <row r="4929">
      <c r="A4929" s="16">
        <v>3.0</v>
      </c>
    </row>
    <row r="4930">
      <c r="A4930" s="11" t="s">
        <v>25</v>
      </c>
    </row>
    <row r="4931">
      <c r="A4931" s="11" t="s">
        <v>26</v>
      </c>
    </row>
    <row r="4932">
      <c r="A4932" s="11" t="s">
        <v>17</v>
      </c>
    </row>
    <row r="4933">
      <c r="A4933" s="11">
        <v>419.0</v>
      </c>
    </row>
    <row r="4934">
      <c r="A4934" s="11" t="s">
        <v>18</v>
      </c>
    </row>
    <row r="4935">
      <c r="A4935" s="11" t="s">
        <v>2165</v>
      </c>
    </row>
    <row r="4936">
      <c r="A4936" s="11" t="s">
        <v>236</v>
      </c>
    </row>
    <row r="4937">
      <c r="A4937" s="11" t="s">
        <v>2166</v>
      </c>
    </row>
    <row r="4938">
      <c r="A4938" s="11" t="s">
        <v>31</v>
      </c>
    </row>
    <row r="4939">
      <c r="A4939" s="11" t="s">
        <v>151</v>
      </c>
    </row>
    <row r="4940">
      <c r="A4940" s="11" t="s">
        <v>16</v>
      </c>
    </row>
    <row r="4941">
      <c r="A4941" s="16">
        <v>3.0</v>
      </c>
    </row>
    <row r="4942">
      <c r="A4942" s="11" t="s">
        <v>25</v>
      </c>
    </row>
    <row r="4943">
      <c r="A4943" s="11" t="s">
        <v>26</v>
      </c>
    </row>
    <row r="4944">
      <c r="A4944" s="11" t="s">
        <v>17</v>
      </c>
    </row>
    <row r="4945">
      <c r="A4945" s="11">
        <v>420.0</v>
      </c>
    </row>
    <row r="4946">
      <c r="A4946" s="11" t="s">
        <v>18</v>
      </c>
    </row>
    <row r="4947">
      <c r="A4947" s="11" t="s">
        <v>2169</v>
      </c>
    </row>
    <row r="4948">
      <c r="A4948" s="11" t="s">
        <v>253</v>
      </c>
    </row>
    <row r="4949">
      <c r="A4949" s="11" t="s">
        <v>2170</v>
      </c>
    </row>
    <row r="4950">
      <c r="A4950" s="11" t="s">
        <v>121</v>
      </c>
    </row>
    <row r="4951">
      <c r="A4951" s="11" t="s">
        <v>151</v>
      </c>
    </row>
    <row r="4952">
      <c r="A4952" s="11" t="s">
        <v>16</v>
      </c>
    </row>
    <row r="4953">
      <c r="A4953" s="11" t="s">
        <v>151</v>
      </c>
    </row>
    <row r="4954">
      <c r="A4954" s="11" t="s">
        <v>25</v>
      </c>
    </row>
    <row r="4955">
      <c r="A4955" s="11" t="s">
        <v>26</v>
      </c>
    </row>
    <row r="4956">
      <c r="A4956" s="11" t="s">
        <v>17</v>
      </c>
    </row>
    <row r="4957">
      <c r="A4957" s="11">
        <v>421.0</v>
      </c>
    </row>
    <row r="4958">
      <c r="A4958" s="11" t="s">
        <v>2171</v>
      </c>
    </row>
    <row r="4959">
      <c r="A4959" s="11" t="s">
        <v>295</v>
      </c>
    </row>
    <row r="4960">
      <c r="A4960" s="11" t="s">
        <v>2174</v>
      </c>
    </row>
    <row r="4961">
      <c r="A4961" s="11" t="s">
        <v>62</v>
      </c>
    </row>
    <row r="4962">
      <c r="A4962" s="11" t="s">
        <v>151</v>
      </c>
    </row>
    <row r="4963">
      <c r="A4963" s="11" t="s">
        <v>16</v>
      </c>
    </row>
    <row r="4964">
      <c r="A4964" s="11" t="s">
        <v>151</v>
      </c>
    </row>
    <row r="4965">
      <c r="A4965" s="11" t="s">
        <v>25</v>
      </c>
    </row>
    <row r="4966">
      <c r="A4966" s="11" t="s">
        <v>26</v>
      </c>
    </row>
    <row r="4967">
      <c r="A4967" s="11" t="s">
        <v>17</v>
      </c>
    </row>
    <row r="4968">
      <c r="A4968" s="11">
        <v>422.0</v>
      </c>
    </row>
    <row r="4969">
      <c r="A4969" s="11" t="s">
        <v>18</v>
      </c>
    </row>
    <row r="4970">
      <c r="A4970" s="11" t="s">
        <v>2176</v>
      </c>
    </row>
    <row r="4971">
      <c r="A4971" s="11" t="s">
        <v>266</v>
      </c>
    </row>
    <row r="4972">
      <c r="A4972" s="11" t="s">
        <v>2177</v>
      </c>
    </row>
    <row r="4973">
      <c r="A4973" s="11" t="s">
        <v>44</v>
      </c>
    </row>
    <row r="4974">
      <c r="A4974" s="11" t="s">
        <v>151</v>
      </c>
    </row>
    <row r="4975">
      <c r="A4975" s="11" t="s">
        <v>16</v>
      </c>
    </row>
    <row r="4976">
      <c r="A4976" s="11" t="s">
        <v>151</v>
      </c>
    </row>
    <row r="4977">
      <c r="A4977" s="11" t="s">
        <v>25</v>
      </c>
    </row>
    <row r="4978">
      <c r="A4978" s="11" t="s">
        <v>26</v>
      </c>
    </row>
    <row r="4979">
      <c r="A4979" s="11" t="s">
        <v>17</v>
      </c>
    </row>
    <row r="4980">
      <c r="A4980" s="11">
        <v>423.0</v>
      </c>
    </row>
    <row r="4981">
      <c r="A4981" s="11" t="s">
        <v>18</v>
      </c>
    </row>
    <row r="4982">
      <c r="A4982" s="11" t="s">
        <v>2181</v>
      </c>
    </row>
    <row r="4983">
      <c r="A4983" s="11" t="s">
        <v>248</v>
      </c>
    </row>
    <row r="4984">
      <c r="A4984" s="11" t="s">
        <v>2183</v>
      </c>
    </row>
    <row r="4985">
      <c r="A4985" s="11" t="s">
        <v>98</v>
      </c>
    </row>
    <row r="4986">
      <c r="A4986" s="11">
        <v>146.0</v>
      </c>
    </row>
    <row r="4987">
      <c r="A4987" s="11" t="s">
        <v>16</v>
      </c>
    </row>
    <row r="4988">
      <c r="A4988" s="16">
        <v>1.0</v>
      </c>
    </row>
    <row r="4989">
      <c r="A4989" s="11" t="s">
        <v>25</v>
      </c>
    </row>
    <row r="4990">
      <c r="A4990" s="11" t="s">
        <v>26</v>
      </c>
    </row>
    <row r="4991">
      <c r="A4991" s="11" t="s">
        <v>17</v>
      </c>
    </row>
    <row r="4992">
      <c r="A4992" s="11">
        <v>424.0</v>
      </c>
    </row>
    <row r="4993">
      <c r="A4993" s="11" t="s">
        <v>18</v>
      </c>
    </row>
    <row r="4994">
      <c r="A4994" s="11" t="s">
        <v>2186</v>
      </c>
    </row>
    <row r="4995">
      <c r="A4995" s="11" t="s">
        <v>71</v>
      </c>
    </row>
    <row r="4996">
      <c r="A4996" s="11" t="s">
        <v>2187</v>
      </c>
    </row>
    <row r="4997">
      <c r="A4997" s="11" t="s">
        <v>23</v>
      </c>
    </row>
    <row r="4998">
      <c r="A4998" s="11" t="s">
        <v>151</v>
      </c>
    </row>
    <row r="4999">
      <c r="A4999" s="11" t="s">
        <v>16</v>
      </c>
    </row>
    <row r="5000">
      <c r="A5000" s="11" t="s">
        <v>151</v>
      </c>
    </row>
    <row r="5001">
      <c r="A5001" s="11" t="s">
        <v>25</v>
      </c>
    </row>
    <row r="5002">
      <c r="A5002" s="11" t="s">
        <v>26</v>
      </c>
    </row>
    <row r="5003">
      <c r="A5003" s="11" t="s">
        <v>17</v>
      </c>
    </row>
    <row r="5004">
      <c r="A5004" s="11">
        <v>425.0</v>
      </c>
    </row>
    <row r="5005">
      <c r="A5005" s="11" t="s">
        <v>18</v>
      </c>
    </row>
    <row r="5006">
      <c r="A5006" s="11" t="s">
        <v>2189</v>
      </c>
    </row>
    <row r="5007">
      <c r="A5007" s="11" t="s">
        <v>206</v>
      </c>
    </row>
    <row r="5008">
      <c r="A5008" s="11" t="s">
        <v>2191</v>
      </c>
    </row>
    <row r="5009">
      <c r="A5009" s="11" t="s">
        <v>37</v>
      </c>
    </row>
    <row r="5010">
      <c r="A5010" s="11" t="s">
        <v>151</v>
      </c>
    </row>
    <row r="5011">
      <c r="A5011" s="11" t="s">
        <v>16</v>
      </c>
    </row>
    <row r="5012">
      <c r="A5012" s="11" t="s">
        <v>151</v>
      </c>
    </row>
    <row r="5013">
      <c r="A5013" s="11" t="s">
        <v>25</v>
      </c>
    </row>
    <row r="5014">
      <c r="A5014" s="11" t="s">
        <v>26</v>
      </c>
    </row>
    <row r="5015">
      <c r="A5015" s="11" t="s">
        <v>17</v>
      </c>
    </row>
    <row r="5016">
      <c r="A5016" s="11">
        <v>426.0</v>
      </c>
    </row>
    <row r="5017">
      <c r="A5017" s="11" t="s">
        <v>18</v>
      </c>
    </row>
    <row r="5018">
      <c r="A5018" s="11" t="s">
        <v>2194</v>
      </c>
    </row>
    <row r="5019">
      <c r="A5019" s="11" t="s">
        <v>183</v>
      </c>
    </row>
    <row r="5020">
      <c r="A5020" s="11" t="s">
        <v>2195</v>
      </c>
    </row>
    <row r="5021">
      <c r="A5021" s="11" t="s">
        <v>44</v>
      </c>
    </row>
    <row r="5022">
      <c r="A5022" s="11" t="s">
        <v>151</v>
      </c>
    </row>
    <row r="5023">
      <c r="A5023" s="11" t="s">
        <v>16</v>
      </c>
    </row>
    <row r="5024">
      <c r="A5024" s="11" t="s">
        <v>151</v>
      </c>
    </row>
    <row r="5025">
      <c r="A5025" s="11" t="s">
        <v>25</v>
      </c>
    </row>
    <row r="5026">
      <c r="A5026" s="11" t="s">
        <v>26</v>
      </c>
    </row>
    <row r="5027">
      <c r="A5027" s="11" t="s">
        <v>17</v>
      </c>
    </row>
    <row r="5028">
      <c r="A5028" s="11">
        <v>427.0</v>
      </c>
    </row>
    <row r="5029">
      <c r="A5029" s="11" t="s">
        <v>2197</v>
      </c>
    </row>
    <row r="5030">
      <c r="A5030" s="11" t="s">
        <v>372</v>
      </c>
    </row>
    <row r="5031">
      <c r="A5031" s="11" t="s">
        <v>2199</v>
      </c>
    </row>
    <row r="5032">
      <c r="A5032" s="11" t="s">
        <v>335</v>
      </c>
    </row>
    <row r="5033">
      <c r="A5033" s="11" t="s">
        <v>151</v>
      </c>
    </row>
    <row r="5034">
      <c r="A5034" s="11" t="s">
        <v>16</v>
      </c>
    </row>
    <row r="5035">
      <c r="A5035" s="11" t="s">
        <v>151</v>
      </c>
    </row>
    <row r="5036">
      <c r="A5036" s="11" t="s">
        <v>25</v>
      </c>
    </row>
    <row r="5037">
      <c r="A5037" s="11" t="s">
        <v>26</v>
      </c>
    </row>
    <row r="5038">
      <c r="A5038" s="11" t="s">
        <v>17</v>
      </c>
    </row>
    <row r="5039">
      <c r="A5039" s="11">
        <v>428.0</v>
      </c>
    </row>
    <row r="5040">
      <c r="A5040" s="11" t="s">
        <v>2204</v>
      </c>
    </row>
    <row r="5041">
      <c r="A5041" s="11" t="s">
        <v>183</v>
      </c>
    </row>
    <row r="5042">
      <c r="A5042" s="11" t="s">
        <v>2206</v>
      </c>
    </row>
    <row r="5043">
      <c r="A5043" s="11" t="s">
        <v>44</v>
      </c>
    </row>
    <row r="5044">
      <c r="A5044" s="11" t="s">
        <v>151</v>
      </c>
    </row>
    <row r="5045">
      <c r="A5045" s="11" t="s">
        <v>16</v>
      </c>
    </row>
    <row r="5046">
      <c r="A5046" s="11" t="s">
        <v>151</v>
      </c>
    </row>
    <row r="5047">
      <c r="A5047" s="11" t="s">
        <v>25</v>
      </c>
    </row>
    <row r="5048">
      <c r="A5048" s="11" t="s">
        <v>26</v>
      </c>
    </row>
    <row r="5049">
      <c r="A5049" s="11" t="s">
        <v>17</v>
      </c>
    </row>
    <row r="5050">
      <c r="A5050" s="11">
        <v>429.0</v>
      </c>
    </row>
    <row r="5051">
      <c r="A5051" s="11" t="s">
        <v>18</v>
      </c>
    </row>
    <row r="5052">
      <c r="A5052" s="11" t="s">
        <v>2207</v>
      </c>
    </row>
    <row r="5053">
      <c r="A5053" s="11" t="s">
        <v>59</v>
      </c>
    </row>
    <row r="5054">
      <c r="A5054" s="11" t="s">
        <v>2209</v>
      </c>
    </row>
    <row r="5055">
      <c r="A5055" s="11" t="s">
        <v>62</v>
      </c>
    </row>
    <row r="5056">
      <c r="A5056" s="11" t="s">
        <v>151</v>
      </c>
    </row>
    <row r="5057">
      <c r="A5057" s="11" t="s">
        <v>16</v>
      </c>
    </row>
    <row r="5058">
      <c r="A5058" s="11" t="s">
        <v>151</v>
      </c>
    </row>
    <row r="5059">
      <c r="A5059" s="11" t="s">
        <v>25</v>
      </c>
    </row>
    <row r="5060">
      <c r="A5060" s="11" t="s">
        <v>26</v>
      </c>
    </row>
    <row r="5061">
      <c r="A5061" s="11" t="s">
        <v>17</v>
      </c>
    </row>
    <row r="5062">
      <c r="A5062" s="11">
        <v>430.0</v>
      </c>
    </row>
    <row r="5063">
      <c r="A5063" s="11" t="s">
        <v>18</v>
      </c>
    </row>
    <row r="5064">
      <c r="A5064" s="11" t="s">
        <v>2212</v>
      </c>
    </row>
    <row r="5065">
      <c r="A5065" s="11" t="s">
        <v>266</v>
      </c>
    </row>
    <row r="5066">
      <c r="A5066" s="11" t="s">
        <v>2213</v>
      </c>
    </row>
    <row r="5067">
      <c r="A5067" s="11" t="s">
        <v>44</v>
      </c>
    </row>
    <row r="5068">
      <c r="A5068" s="11" t="s">
        <v>151</v>
      </c>
    </row>
    <row r="5069">
      <c r="A5069" s="11" t="s">
        <v>16</v>
      </c>
    </row>
    <row r="5070">
      <c r="A5070" s="11" t="s">
        <v>151</v>
      </c>
    </row>
    <row r="5071">
      <c r="A5071" s="11" t="s">
        <v>25</v>
      </c>
    </row>
    <row r="5072">
      <c r="A5072" s="11" t="s">
        <v>26</v>
      </c>
    </row>
    <row r="5073">
      <c r="A5073" s="11" t="s">
        <v>17</v>
      </c>
    </row>
    <row r="5074">
      <c r="A5074" s="11">
        <v>431.0</v>
      </c>
    </row>
    <row r="5075">
      <c r="A5075" s="11" t="s">
        <v>18</v>
      </c>
    </row>
    <row r="5076">
      <c r="A5076" s="11" t="s">
        <v>2214</v>
      </c>
    </row>
    <row r="5077">
      <c r="A5077" s="11" t="s">
        <v>125</v>
      </c>
    </row>
    <row r="5078">
      <c r="A5078" s="11" t="s">
        <v>2215</v>
      </c>
    </row>
    <row r="5079">
      <c r="A5079" s="11" t="s">
        <v>37</v>
      </c>
    </row>
    <row r="5080">
      <c r="A5080" s="11" t="s">
        <v>151</v>
      </c>
    </row>
    <row r="5081">
      <c r="A5081" s="11" t="s">
        <v>16</v>
      </c>
    </row>
    <row r="5082">
      <c r="A5082" s="11" t="s">
        <v>151</v>
      </c>
    </row>
    <row r="5083">
      <c r="A5083" s="11" t="s">
        <v>25</v>
      </c>
    </row>
    <row r="5084">
      <c r="A5084" s="11" t="s">
        <v>26</v>
      </c>
    </row>
    <row r="5085">
      <c r="A5085" s="11" t="s">
        <v>17</v>
      </c>
    </row>
    <row r="5086">
      <c r="A5086" s="11">
        <v>432.0</v>
      </c>
    </row>
    <row r="5087">
      <c r="A5087" s="11" t="s">
        <v>18</v>
      </c>
    </row>
    <row r="5088">
      <c r="A5088" s="11" t="s">
        <v>2219</v>
      </c>
    </row>
    <row r="5089">
      <c r="A5089" s="11" t="s">
        <v>319</v>
      </c>
    </row>
    <row r="5090">
      <c r="A5090" s="11" t="s">
        <v>2221</v>
      </c>
    </row>
    <row r="5091">
      <c r="A5091" s="11" t="s">
        <v>121</v>
      </c>
    </row>
    <row r="5092">
      <c r="A5092" s="11" t="s">
        <v>151</v>
      </c>
    </row>
    <row r="5093">
      <c r="A5093" s="11" t="s">
        <v>16</v>
      </c>
    </row>
    <row r="5094">
      <c r="A5094" s="16">
        <v>1.0</v>
      </c>
    </row>
    <row r="5095">
      <c r="A5095" s="11" t="s">
        <v>25</v>
      </c>
    </row>
    <row r="5096">
      <c r="A5096" s="11" t="s">
        <v>26</v>
      </c>
    </row>
    <row r="5097">
      <c r="A5097" s="11" t="s">
        <v>17</v>
      </c>
    </row>
    <row r="5098">
      <c r="A5098" s="11">
        <v>433.0</v>
      </c>
    </row>
    <row r="5099">
      <c r="A5099" s="11" t="s">
        <v>18</v>
      </c>
    </row>
    <row r="5100">
      <c r="A5100" s="11" t="s">
        <v>2222</v>
      </c>
    </row>
    <row r="5101">
      <c r="A5101" s="11" t="s">
        <v>295</v>
      </c>
    </row>
    <row r="5102">
      <c r="A5102" s="11" t="s">
        <v>2223</v>
      </c>
    </row>
    <row r="5103">
      <c r="A5103" s="11" t="s">
        <v>62</v>
      </c>
    </row>
    <row r="5104">
      <c r="A5104" s="11" t="s">
        <v>151</v>
      </c>
    </row>
    <row r="5105">
      <c r="A5105" s="11" t="s">
        <v>16</v>
      </c>
    </row>
    <row r="5106">
      <c r="A5106" s="11" t="s">
        <v>151</v>
      </c>
    </row>
    <row r="5107">
      <c r="A5107" s="11" t="s">
        <v>25</v>
      </c>
    </row>
    <row r="5108">
      <c r="A5108" s="11" t="s">
        <v>26</v>
      </c>
    </row>
    <row r="5109">
      <c r="A5109" s="11" t="s">
        <v>17</v>
      </c>
    </row>
    <row r="5110">
      <c r="A5110" s="11">
        <v>434.0</v>
      </c>
    </row>
    <row r="5111">
      <c r="A5111" s="11" t="s">
        <v>18</v>
      </c>
    </row>
    <row r="5112">
      <c r="A5112" s="11" t="s">
        <v>2227</v>
      </c>
    </row>
    <row r="5113">
      <c r="A5113" s="11" t="s">
        <v>295</v>
      </c>
    </row>
    <row r="5114">
      <c r="A5114" s="11" t="s">
        <v>2229</v>
      </c>
    </row>
    <row r="5115">
      <c r="A5115" s="11" t="s">
        <v>62</v>
      </c>
    </row>
    <row r="5116">
      <c r="A5116" s="11" t="s">
        <v>151</v>
      </c>
    </row>
    <row r="5117">
      <c r="A5117" s="11" t="s">
        <v>16</v>
      </c>
    </row>
    <row r="5118">
      <c r="A5118" s="11" t="s">
        <v>151</v>
      </c>
    </row>
    <row r="5119">
      <c r="A5119" s="11" t="s">
        <v>25</v>
      </c>
    </row>
    <row r="5120">
      <c r="A5120" s="11" t="s">
        <v>26</v>
      </c>
    </row>
    <row r="5121">
      <c r="A5121" s="11" t="s">
        <v>17</v>
      </c>
    </row>
    <row r="5122">
      <c r="A5122" s="11">
        <v>435.0</v>
      </c>
    </row>
    <row r="5123">
      <c r="A5123" s="11" t="s">
        <v>18</v>
      </c>
    </row>
    <row r="5124">
      <c r="A5124" s="11" t="s">
        <v>2230</v>
      </c>
    </row>
    <row r="5125">
      <c r="A5125" s="11" t="s">
        <v>113</v>
      </c>
    </row>
    <row r="5126">
      <c r="A5126" s="11" t="s">
        <v>2231</v>
      </c>
    </row>
    <row r="5127">
      <c r="A5127" s="11" t="s">
        <v>117</v>
      </c>
    </row>
    <row r="5128">
      <c r="A5128" s="11" t="s">
        <v>151</v>
      </c>
    </row>
    <row r="5129">
      <c r="A5129" s="11" t="s">
        <v>16</v>
      </c>
    </row>
    <row r="5130">
      <c r="A5130" s="11" t="s">
        <v>151</v>
      </c>
    </row>
    <row r="5131">
      <c r="A5131" s="11" t="s">
        <v>25</v>
      </c>
    </row>
    <row r="5132">
      <c r="A5132" s="11" t="s">
        <v>26</v>
      </c>
    </row>
    <row r="5133">
      <c r="A5133" s="11" t="s">
        <v>17</v>
      </c>
    </row>
    <row r="5134">
      <c r="A5134" s="11">
        <v>436.0</v>
      </c>
    </row>
    <row r="5135">
      <c r="A5135" s="11" t="s">
        <v>18</v>
      </c>
    </row>
    <row r="5136">
      <c r="A5136" s="11" t="s">
        <v>2236</v>
      </c>
    </row>
    <row r="5137">
      <c r="A5137" s="11" t="s">
        <v>42</v>
      </c>
    </row>
    <row r="5138">
      <c r="A5138" s="11" t="s">
        <v>2237</v>
      </c>
    </row>
    <row r="5139">
      <c r="A5139" s="11" t="s">
        <v>44</v>
      </c>
    </row>
    <row r="5140">
      <c r="A5140" s="11" t="s">
        <v>151</v>
      </c>
    </row>
    <row r="5141">
      <c r="A5141" s="11" t="s">
        <v>16</v>
      </c>
    </row>
    <row r="5142">
      <c r="A5142" s="11" t="s">
        <v>151</v>
      </c>
    </row>
    <row r="5143">
      <c r="A5143" s="11" t="s">
        <v>25</v>
      </c>
    </row>
    <row r="5144">
      <c r="A5144" s="11" t="s">
        <v>26</v>
      </c>
    </row>
    <row r="5145">
      <c r="A5145" s="11" t="s">
        <v>17</v>
      </c>
    </row>
    <row r="5146">
      <c r="A5146" s="11">
        <v>437.0</v>
      </c>
    </row>
    <row r="5147">
      <c r="A5147" s="11" t="s">
        <v>2238</v>
      </c>
    </row>
    <row r="5148">
      <c r="A5148" s="11" t="s">
        <v>78</v>
      </c>
    </row>
    <row r="5149">
      <c r="A5149" s="11" t="s">
        <v>2239</v>
      </c>
    </row>
    <row r="5150">
      <c r="A5150" s="11" t="s">
        <v>37</v>
      </c>
    </row>
    <row r="5151">
      <c r="A5151" s="11" t="s">
        <v>151</v>
      </c>
    </row>
    <row r="5152">
      <c r="A5152" s="11" t="s">
        <v>16</v>
      </c>
    </row>
    <row r="5153">
      <c r="A5153" s="11" t="s">
        <v>151</v>
      </c>
    </row>
    <row r="5154">
      <c r="A5154" s="11" t="s">
        <v>25</v>
      </c>
    </row>
    <row r="5155">
      <c r="A5155" s="11" t="s">
        <v>26</v>
      </c>
    </row>
    <row r="5156">
      <c r="A5156" s="11" t="s">
        <v>17</v>
      </c>
    </row>
    <row r="5157">
      <c r="A5157" s="11">
        <v>438.0</v>
      </c>
    </row>
    <row r="5158">
      <c r="A5158" s="11" t="s">
        <v>18</v>
      </c>
    </row>
    <row r="5159">
      <c r="A5159" s="11" t="s">
        <v>2243</v>
      </c>
    </row>
    <row r="5160">
      <c r="A5160" s="11" t="s">
        <v>236</v>
      </c>
    </row>
    <row r="5161">
      <c r="A5161" s="11" t="s">
        <v>2245</v>
      </c>
    </row>
    <row r="5162">
      <c r="A5162" s="11" t="s">
        <v>31</v>
      </c>
    </row>
    <row r="5163">
      <c r="A5163" s="11" t="s">
        <v>151</v>
      </c>
    </row>
    <row r="5164">
      <c r="A5164" s="11" t="s">
        <v>16</v>
      </c>
    </row>
    <row r="5165">
      <c r="A5165" s="11" t="s">
        <v>151</v>
      </c>
    </row>
    <row r="5166">
      <c r="A5166" s="11" t="s">
        <v>25</v>
      </c>
    </row>
    <row r="5167">
      <c r="A5167" s="11" t="s">
        <v>26</v>
      </c>
    </row>
    <row r="5168">
      <c r="A5168" s="11" t="s">
        <v>17</v>
      </c>
    </row>
    <row r="5169">
      <c r="A5169" s="11">
        <v>439.0</v>
      </c>
    </row>
    <row r="5170">
      <c r="A5170" s="11" t="s">
        <v>18</v>
      </c>
    </row>
    <row r="5171">
      <c r="A5171" s="11" t="s">
        <v>2247</v>
      </c>
    </row>
    <row r="5172">
      <c r="A5172" s="11" t="s">
        <v>142</v>
      </c>
    </row>
    <row r="5173">
      <c r="A5173" s="11" t="s">
        <v>2248</v>
      </c>
    </row>
    <row r="5174">
      <c r="A5174" s="11" t="s">
        <v>31</v>
      </c>
    </row>
    <row r="5175">
      <c r="A5175" s="11" t="s">
        <v>151</v>
      </c>
    </row>
    <row r="5176">
      <c r="A5176" s="11" t="s">
        <v>16</v>
      </c>
    </row>
    <row r="5177">
      <c r="A5177" s="11" t="s">
        <v>151</v>
      </c>
    </row>
    <row r="5178">
      <c r="A5178" s="11" t="s">
        <v>25</v>
      </c>
    </row>
    <row r="5179">
      <c r="A5179" s="11" t="s">
        <v>26</v>
      </c>
    </row>
    <row r="5180">
      <c r="A5180" s="11" t="s">
        <v>17</v>
      </c>
    </row>
    <row r="5181">
      <c r="A5181" s="11">
        <v>440.0</v>
      </c>
    </row>
    <row r="5182">
      <c r="A5182" s="11" t="s">
        <v>18</v>
      </c>
    </row>
    <row r="5183">
      <c r="A5183" s="11" t="s">
        <v>2250</v>
      </c>
    </row>
    <row r="5184">
      <c r="A5184" s="11" t="s">
        <v>119</v>
      </c>
    </row>
    <row r="5185">
      <c r="A5185" s="11" t="s">
        <v>2251</v>
      </c>
    </row>
    <row r="5186">
      <c r="A5186" s="11" t="s">
        <v>121</v>
      </c>
    </row>
    <row r="5187">
      <c r="A5187" s="11" t="s">
        <v>151</v>
      </c>
    </row>
    <row r="5188">
      <c r="A5188" s="11" t="s">
        <v>16</v>
      </c>
    </row>
    <row r="5189">
      <c r="A5189" s="11" t="s">
        <v>151</v>
      </c>
    </row>
    <row r="5190">
      <c r="A5190" s="11" t="s">
        <v>25</v>
      </c>
    </row>
    <row r="5191">
      <c r="A5191" s="11" t="s">
        <v>26</v>
      </c>
    </row>
    <row r="5192">
      <c r="A5192" s="11" t="s">
        <v>17</v>
      </c>
    </row>
    <row r="5193">
      <c r="A5193" s="11">
        <v>441.0</v>
      </c>
    </row>
    <row r="5194">
      <c r="A5194" s="11" t="s">
        <v>18</v>
      </c>
    </row>
    <row r="5195">
      <c r="A5195" s="11" t="s">
        <v>2254</v>
      </c>
    </row>
    <row r="5196">
      <c r="A5196" s="11" t="s">
        <v>146</v>
      </c>
    </row>
    <row r="5197">
      <c r="A5197" s="11" t="s">
        <v>2255</v>
      </c>
    </row>
    <row r="5198">
      <c r="A5198" s="11" t="s">
        <v>117</v>
      </c>
    </row>
    <row r="5199">
      <c r="A5199" s="11" t="s">
        <v>151</v>
      </c>
    </row>
    <row r="5200">
      <c r="A5200" s="11" t="s">
        <v>16</v>
      </c>
    </row>
    <row r="5201">
      <c r="A5201" s="11" t="s">
        <v>151</v>
      </c>
    </row>
    <row r="5202">
      <c r="A5202" s="11" t="s">
        <v>25</v>
      </c>
    </row>
    <row r="5203">
      <c r="A5203" s="11" t="s">
        <v>26</v>
      </c>
    </row>
    <row r="5204">
      <c r="A5204" s="11" t="s">
        <v>17</v>
      </c>
    </row>
    <row r="5205">
      <c r="A5205" s="11">
        <v>442.0</v>
      </c>
    </row>
    <row r="5206">
      <c r="A5206" s="11" t="s">
        <v>18</v>
      </c>
    </row>
    <row r="5207">
      <c r="A5207" s="11" t="s">
        <v>2262</v>
      </c>
    </row>
    <row r="5208">
      <c r="A5208" s="11" t="s">
        <v>166</v>
      </c>
    </row>
    <row r="5209">
      <c r="A5209" s="11" t="s">
        <v>2263</v>
      </c>
    </row>
    <row r="5210">
      <c r="A5210" s="11" t="s">
        <v>44</v>
      </c>
    </row>
    <row r="5211">
      <c r="A5211" s="11" t="s">
        <v>151</v>
      </c>
    </row>
    <row r="5212">
      <c r="A5212" s="11" t="s">
        <v>16</v>
      </c>
    </row>
    <row r="5213">
      <c r="A5213" s="11" t="s">
        <v>151</v>
      </c>
    </row>
    <row r="5214">
      <c r="A5214" s="11" t="s">
        <v>25</v>
      </c>
    </row>
    <row r="5215">
      <c r="A5215" s="11" t="s">
        <v>26</v>
      </c>
    </row>
    <row r="5216">
      <c r="A5216" s="11" t="s">
        <v>17</v>
      </c>
    </row>
    <row r="5217">
      <c r="A5217" s="11">
        <v>443.0</v>
      </c>
    </row>
    <row r="5218">
      <c r="A5218" s="11" t="s">
        <v>18</v>
      </c>
    </row>
    <row r="5219">
      <c r="A5219" s="11" t="s">
        <v>2266</v>
      </c>
    </row>
    <row r="5220">
      <c r="A5220" s="11" t="s">
        <v>47</v>
      </c>
    </row>
    <row r="5221">
      <c r="A5221" s="11" t="s">
        <v>2267</v>
      </c>
    </row>
    <row r="5222">
      <c r="A5222" s="11" t="s">
        <v>31</v>
      </c>
    </row>
    <row r="5223">
      <c r="A5223" s="11" t="s">
        <v>151</v>
      </c>
    </row>
    <row r="5224">
      <c r="A5224" s="11" t="s">
        <v>16</v>
      </c>
    </row>
    <row r="5225">
      <c r="A5225" s="11" t="s">
        <v>151</v>
      </c>
    </row>
    <row r="5226">
      <c r="A5226" s="11" t="s">
        <v>25</v>
      </c>
    </row>
    <row r="5227">
      <c r="A5227" s="11" t="s">
        <v>26</v>
      </c>
    </row>
    <row r="5228">
      <c r="A5228" s="11" t="s">
        <v>17</v>
      </c>
    </row>
    <row r="5229">
      <c r="A5229" s="11">
        <v>444.0</v>
      </c>
    </row>
    <row r="5230">
      <c r="A5230" s="11" t="s">
        <v>2270</v>
      </c>
    </row>
    <row r="5231">
      <c r="A5231" s="11" t="s">
        <v>253</v>
      </c>
    </row>
    <row r="5232">
      <c r="A5232" s="11" t="s">
        <v>2271</v>
      </c>
    </row>
    <row r="5233">
      <c r="A5233" s="11" t="s">
        <v>121</v>
      </c>
    </row>
    <row r="5234">
      <c r="A5234" s="11" t="s">
        <v>151</v>
      </c>
    </row>
    <row r="5235">
      <c r="A5235" s="11" t="s">
        <v>16</v>
      </c>
    </row>
    <row r="5236">
      <c r="A5236" s="11" t="s">
        <v>151</v>
      </c>
    </row>
    <row r="5237">
      <c r="A5237" s="11" t="s">
        <v>25</v>
      </c>
    </row>
    <row r="5238">
      <c r="A5238" s="11" t="s">
        <v>26</v>
      </c>
    </row>
    <row r="5239">
      <c r="A5239" s="11" t="s">
        <v>17</v>
      </c>
    </row>
    <row r="5240">
      <c r="A5240" s="11">
        <v>445.0</v>
      </c>
    </row>
    <row r="5241">
      <c r="A5241" s="11" t="s">
        <v>18</v>
      </c>
    </row>
    <row r="5242">
      <c r="A5242" s="11" t="s">
        <v>2273</v>
      </c>
    </row>
    <row r="5243">
      <c r="A5243" s="11" t="s">
        <v>66</v>
      </c>
    </row>
    <row r="5244">
      <c r="A5244" s="11" t="s">
        <v>2276</v>
      </c>
    </row>
    <row r="5245">
      <c r="A5245" s="11" t="s">
        <v>31</v>
      </c>
    </row>
    <row r="5246">
      <c r="A5246" s="11" t="s">
        <v>151</v>
      </c>
    </row>
    <row r="5247">
      <c r="A5247" s="11" t="s">
        <v>16</v>
      </c>
    </row>
    <row r="5248">
      <c r="A5248" s="11" t="s">
        <v>151</v>
      </c>
    </row>
    <row r="5249">
      <c r="A5249" s="11" t="s">
        <v>25</v>
      </c>
    </row>
    <row r="5250">
      <c r="A5250" s="11" t="s">
        <v>26</v>
      </c>
    </row>
    <row r="5251">
      <c r="A5251" s="11" t="s">
        <v>17</v>
      </c>
    </row>
    <row r="5252">
      <c r="A5252" s="11">
        <v>446.0</v>
      </c>
    </row>
    <row r="5253">
      <c r="A5253" s="11" t="s">
        <v>18</v>
      </c>
    </row>
    <row r="5254">
      <c r="A5254" s="11" t="s">
        <v>2277</v>
      </c>
    </row>
    <row r="5255">
      <c r="A5255" s="11" t="s">
        <v>42</v>
      </c>
    </row>
    <row r="5256">
      <c r="A5256" s="11" t="s">
        <v>2279</v>
      </c>
    </row>
    <row r="5257">
      <c r="A5257" s="11" t="s">
        <v>44</v>
      </c>
    </row>
    <row r="5258">
      <c r="A5258" s="11" t="s">
        <v>151</v>
      </c>
    </row>
    <row r="5259">
      <c r="A5259" s="11" t="s">
        <v>16</v>
      </c>
    </row>
    <row r="5260">
      <c r="A5260" s="11" t="s">
        <v>151</v>
      </c>
    </row>
    <row r="5261">
      <c r="A5261" s="11" t="s">
        <v>25</v>
      </c>
    </row>
    <row r="5262">
      <c r="A5262" s="11" t="s">
        <v>26</v>
      </c>
    </row>
    <row r="5263">
      <c r="A5263" s="11" t="s">
        <v>17</v>
      </c>
    </row>
    <row r="5264">
      <c r="A5264" s="11">
        <v>447.0</v>
      </c>
    </row>
    <row r="5265">
      <c r="A5265" s="11" t="s">
        <v>18</v>
      </c>
    </row>
    <row r="5266">
      <c r="A5266" s="11" t="s">
        <v>2283</v>
      </c>
    </row>
    <row r="5267">
      <c r="A5267" s="11" t="s">
        <v>333</v>
      </c>
    </row>
    <row r="5268">
      <c r="A5268" s="11" t="s">
        <v>2284</v>
      </c>
    </row>
    <row r="5269">
      <c r="A5269" s="11" t="s">
        <v>335</v>
      </c>
    </row>
    <row r="5270">
      <c r="A5270" s="11" t="s">
        <v>151</v>
      </c>
    </row>
    <row r="5271">
      <c r="A5271" s="11" t="s">
        <v>16</v>
      </c>
    </row>
    <row r="5272">
      <c r="A5272" s="11" t="s">
        <v>151</v>
      </c>
    </row>
    <row r="5273">
      <c r="A5273" s="11" t="s">
        <v>25</v>
      </c>
    </row>
    <row r="5274">
      <c r="A5274" s="11" t="s">
        <v>26</v>
      </c>
    </row>
    <row r="5275">
      <c r="A5275" s="11" t="s">
        <v>17</v>
      </c>
    </row>
    <row r="5276">
      <c r="A5276" s="11">
        <v>448.0</v>
      </c>
    </row>
    <row r="5277">
      <c r="A5277" s="11" t="s">
        <v>18</v>
      </c>
    </row>
    <row r="5278">
      <c r="A5278" s="11" t="s">
        <v>2286</v>
      </c>
    </row>
    <row r="5279">
      <c r="A5279" s="11" t="s">
        <v>319</v>
      </c>
    </row>
    <row r="5280">
      <c r="A5280" s="11" t="s">
        <v>2287</v>
      </c>
    </row>
    <row r="5281">
      <c r="A5281" s="11" t="s">
        <v>121</v>
      </c>
    </row>
    <row r="5282">
      <c r="A5282" s="11" t="s">
        <v>151</v>
      </c>
    </row>
    <row r="5283">
      <c r="A5283" s="11" t="s">
        <v>16</v>
      </c>
    </row>
    <row r="5284">
      <c r="A5284" s="11" t="s">
        <v>151</v>
      </c>
    </row>
    <row r="5285">
      <c r="A5285" s="11" t="s">
        <v>25</v>
      </c>
    </row>
    <row r="5286">
      <c r="A5286" s="11" t="s">
        <v>26</v>
      </c>
    </row>
    <row r="5287">
      <c r="A5287" s="11" t="s">
        <v>17</v>
      </c>
    </row>
    <row r="5288">
      <c r="A5288" s="11">
        <v>449.0</v>
      </c>
    </row>
    <row r="5289">
      <c r="A5289" s="11" t="s">
        <v>18</v>
      </c>
    </row>
    <row r="5290">
      <c r="A5290" s="11" t="s">
        <v>2292</v>
      </c>
    </row>
    <row r="5291">
      <c r="A5291" s="11" t="s">
        <v>119</v>
      </c>
    </row>
    <row r="5292">
      <c r="A5292" s="11" t="s">
        <v>2293</v>
      </c>
    </row>
    <row r="5293">
      <c r="A5293" s="11" t="s">
        <v>121</v>
      </c>
    </row>
    <row r="5294">
      <c r="A5294" s="11" t="s">
        <v>151</v>
      </c>
    </row>
    <row r="5295">
      <c r="A5295" s="11" t="s">
        <v>16</v>
      </c>
    </row>
    <row r="5296">
      <c r="A5296" s="11" t="s">
        <v>151</v>
      </c>
    </row>
    <row r="5297">
      <c r="A5297" s="11" t="s">
        <v>25</v>
      </c>
    </row>
    <row r="5298">
      <c r="A5298" s="11" t="s">
        <v>26</v>
      </c>
    </row>
    <row r="5299">
      <c r="A5299" s="11" t="s">
        <v>17</v>
      </c>
    </row>
    <row r="5300">
      <c r="A5300" s="11">
        <v>450.0</v>
      </c>
    </row>
    <row r="5301">
      <c r="A5301" s="11" t="s">
        <v>2294</v>
      </c>
    </row>
    <row r="5302">
      <c r="A5302" s="11" t="s">
        <v>71</v>
      </c>
    </row>
    <row r="5303">
      <c r="A5303" s="11" t="s">
        <v>2297</v>
      </c>
    </row>
    <row r="5304">
      <c r="A5304" s="11" t="s">
        <v>23</v>
      </c>
    </row>
    <row r="5305">
      <c r="A5305" s="11" t="s">
        <v>151</v>
      </c>
    </row>
    <row r="5306">
      <c r="A5306" s="11" t="s">
        <v>16</v>
      </c>
    </row>
    <row r="5307">
      <c r="A5307" s="11" t="s">
        <v>151</v>
      </c>
    </row>
    <row r="5308">
      <c r="A5308" s="11" t="s">
        <v>25</v>
      </c>
    </row>
    <row r="5309">
      <c r="A5309" s="11" t="s">
        <v>26</v>
      </c>
    </row>
    <row r="5310">
      <c r="A5310" s="11" t="s">
        <v>17</v>
      </c>
    </row>
    <row r="5311">
      <c r="A5311" s="11">
        <v>451.0</v>
      </c>
    </row>
    <row r="5312">
      <c r="A5312" s="11" t="s">
        <v>18</v>
      </c>
    </row>
    <row r="5313">
      <c r="A5313" s="11" t="s">
        <v>2302</v>
      </c>
    </row>
    <row r="5314">
      <c r="A5314" s="11" t="s">
        <v>20</v>
      </c>
    </row>
    <row r="5315">
      <c r="A5315" s="11" t="s">
        <v>2303</v>
      </c>
    </row>
    <row r="5316">
      <c r="A5316" s="11" t="s">
        <v>23</v>
      </c>
    </row>
    <row r="5317">
      <c r="A5317" s="11" t="s">
        <v>151</v>
      </c>
    </row>
    <row r="5318">
      <c r="A5318" s="11" t="s">
        <v>16</v>
      </c>
    </row>
    <row r="5319">
      <c r="A5319" s="11" t="s">
        <v>151</v>
      </c>
    </row>
    <row r="5320">
      <c r="A5320" s="11" t="s">
        <v>25</v>
      </c>
    </row>
    <row r="5321">
      <c r="A5321" s="11" t="s">
        <v>26</v>
      </c>
    </row>
    <row r="5322">
      <c r="A5322" s="11" t="s">
        <v>17</v>
      </c>
    </row>
    <row r="5323">
      <c r="A5323" s="11">
        <v>452.0</v>
      </c>
    </row>
    <row r="5324">
      <c r="A5324" s="11" t="s">
        <v>2305</v>
      </c>
    </row>
    <row r="5325">
      <c r="A5325" s="11" t="s">
        <v>206</v>
      </c>
    </row>
    <row r="5326">
      <c r="A5326" s="11" t="s">
        <v>2306</v>
      </c>
    </row>
    <row r="5327">
      <c r="A5327" s="11" t="s">
        <v>37</v>
      </c>
    </row>
    <row r="5328">
      <c r="A5328" s="11" t="s">
        <v>151</v>
      </c>
    </row>
    <row r="5329">
      <c r="A5329" s="11" t="s">
        <v>16</v>
      </c>
    </row>
    <row r="5330">
      <c r="A5330" s="11" t="s">
        <v>151</v>
      </c>
    </row>
    <row r="5331">
      <c r="A5331" s="11" t="s">
        <v>25</v>
      </c>
    </row>
    <row r="5332">
      <c r="A5332" s="11" t="s">
        <v>26</v>
      </c>
    </row>
    <row r="5333">
      <c r="A5333" s="11" t="s">
        <v>17</v>
      </c>
    </row>
    <row r="5334">
      <c r="A5334" s="11">
        <v>453.0</v>
      </c>
    </row>
    <row r="5335">
      <c r="A5335" s="11" t="s">
        <v>18</v>
      </c>
    </row>
    <row r="5336">
      <c r="A5336" s="11" t="s">
        <v>2310</v>
      </c>
    </row>
    <row r="5337">
      <c r="A5337" s="11" t="s">
        <v>206</v>
      </c>
    </row>
    <row r="5338">
      <c r="A5338" s="11" t="s">
        <v>2311</v>
      </c>
    </row>
    <row r="5339">
      <c r="A5339" s="11" t="s">
        <v>37</v>
      </c>
    </row>
    <row r="5340">
      <c r="A5340" s="11" t="s">
        <v>151</v>
      </c>
    </row>
    <row r="5341">
      <c r="A5341" s="11" t="s">
        <v>16</v>
      </c>
    </row>
    <row r="5342">
      <c r="A5342" s="11" t="s">
        <v>151</v>
      </c>
    </row>
    <row r="5343">
      <c r="A5343" s="11" t="s">
        <v>25</v>
      </c>
    </row>
    <row r="5344">
      <c r="A5344" s="11" t="s">
        <v>26</v>
      </c>
    </row>
    <row r="5345">
      <c r="A5345" s="11" t="s">
        <v>17</v>
      </c>
    </row>
    <row r="5346">
      <c r="A5346" s="11">
        <v>454.0</v>
      </c>
    </row>
    <row r="5347">
      <c r="A5347" s="11" t="s">
        <v>18</v>
      </c>
    </row>
    <row r="5348">
      <c r="A5348" s="11" t="s">
        <v>2313</v>
      </c>
    </row>
    <row r="5349">
      <c r="A5349" s="11" t="s">
        <v>146</v>
      </c>
    </row>
    <row r="5350">
      <c r="A5350" s="11" t="s">
        <v>2314</v>
      </c>
    </row>
    <row r="5351">
      <c r="A5351" s="11" t="s">
        <v>117</v>
      </c>
    </row>
    <row r="5352">
      <c r="A5352" s="11" t="s">
        <v>151</v>
      </c>
    </row>
    <row r="5353">
      <c r="A5353" s="11" t="s">
        <v>16</v>
      </c>
    </row>
    <row r="5354">
      <c r="A5354" s="11" t="s">
        <v>151</v>
      </c>
    </row>
    <row r="5355">
      <c r="A5355" s="11" t="s">
        <v>25</v>
      </c>
    </row>
    <row r="5356">
      <c r="A5356" s="11" t="s">
        <v>26</v>
      </c>
    </row>
    <row r="5357">
      <c r="A5357" s="11" t="s">
        <v>17</v>
      </c>
    </row>
    <row r="5358">
      <c r="A5358" s="11">
        <v>455.0</v>
      </c>
    </row>
    <row r="5359">
      <c r="A5359" s="11" t="s">
        <v>18</v>
      </c>
    </row>
    <row r="5360">
      <c r="A5360" s="11" t="s">
        <v>2317</v>
      </c>
    </row>
    <row r="5361">
      <c r="A5361" s="11" t="s">
        <v>29</v>
      </c>
    </row>
    <row r="5362">
      <c r="A5362" s="11" t="s">
        <v>2318</v>
      </c>
    </row>
    <row r="5363">
      <c r="A5363" s="11" t="s">
        <v>31</v>
      </c>
    </row>
    <row r="5364">
      <c r="A5364" s="11" t="s">
        <v>151</v>
      </c>
    </row>
    <row r="5365">
      <c r="A5365" s="11" t="s">
        <v>16</v>
      </c>
    </row>
    <row r="5366">
      <c r="A5366" s="11" t="s">
        <v>151</v>
      </c>
    </row>
    <row r="5367">
      <c r="A5367" s="11" t="s">
        <v>25</v>
      </c>
    </row>
    <row r="5368">
      <c r="A5368" s="11" t="s">
        <v>26</v>
      </c>
    </row>
    <row r="5369">
      <c r="A5369" s="11" t="s">
        <v>17</v>
      </c>
    </row>
    <row r="5370">
      <c r="A5370" s="11">
        <v>456.0</v>
      </c>
    </row>
    <row r="5371">
      <c r="A5371" s="11" t="s">
        <v>18</v>
      </c>
    </row>
    <row r="5372">
      <c r="A5372" s="11" t="s">
        <v>2321</v>
      </c>
    </row>
    <row r="5373">
      <c r="A5373" s="11" t="s">
        <v>88</v>
      </c>
    </row>
    <row r="5374">
      <c r="A5374" s="11" t="s">
        <v>2322</v>
      </c>
    </row>
    <row r="5375">
      <c r="A5375" s="11" t="s">
        <v>23</v>
      </c>
    </row>
    <row r="5376">
      <c r="A5376" s="11" t="s">
        <v>151</v>
      </c>
    </row>
    <row r="5377">
      <c r="A5377" s="11" t="s">
        <v>16</v>
      </c>
    </row>
    <row r="5378">
      <c r="A5378" s="11" t="s">
        <v>151</v>
      </c>
    </row>
    <row r="5379">
      <c r="A5379" s="11" t="s">
        <v>25</v>
      </c>
    </row>
    <row r="5380">
      <c r="A5380" s="11" t="s">
        <v>26</v>
      </c>
    </row>
    <row r="5381">
      <c r="A5381" s="11" t="s">
        <v>17</v>
      </c>
    </row>
    <row r="5382">
      <c r="A5382" s="11">
        <v>457.0</v>
      </c>
    </row>
    <row r="5383">
      <c r="A5383" s="11" t="s">
        <v>18</v>
      </c>
    </row>
    <row r="5384">
      <c r="A5384" s="11" t="s">
        <v>2325</v>
      </c>
    </row>
    <row r="5385">
      <c r="A5385" s="11" t="s">
        <v>146</v>
      </c>
    </row>
    <row r="5386">
      <c r="A5386" s="11" t="s">
        <v>2326</v>
      </c>
    </row>
    <row r="5387">
      <c r="A5387" s="11" t="s">
        <v>117</v>
      </c>
    </row>
    <row r="5388">
      <c r="A5388" s="11" t="s">
        <v>151</v>
      </c>
    </row>
    <row r="5389">
      <c r="A5389" s="11" t="s">
        <v>16</v>
      </c>
    </row>
    <row r="5390">
      <c r="A5390" s="11" t="s">
        <v>151</v>
      </c>
    </row>
    <row r="5391">
      <c r="A5391" s="11" t="s">
        <v>25</v>
      </c>
    </row>
    <row r="5392">
      <c r="A5392" s="11" t="s">
        <v>26</v>
      </c>
    </row>
    <row r="5393">
      <c r="A5393" s="11" t="s">
        <v>17</v>
      </c>
    </row>
    <row r="5394">
      <c r="A5394" s="11">
        <v>458.0</v>
      </c>
    </row>
    <row r="5395">
      <c r="A5395" s="11" t="s">
        <v>18</v>
      </c>
    </row>
    <row r="5396">
      <c r="A5396" s="11" t="s">
        <v>2328</v>
      </c>
    </row>
    <row r="5397">
      <c r="A5397" s="11" t="s">
        <v>53</v>
      </c>
    </row>
    <row r="5398">
      <c r="A5398" s="11" t="s">
        <v>2330</v>
      </c>
    </row>
    <row r="5399">
      <c r="A5399" s="11" t="s">
        <v>23</v>
      </c>
    </row>
    <row r="5400">
      <c r="A5400" s="11" t="s">
        <v>151</v>
      </c>
    </row>
    <row r="5401">
      <c r="A5401" s="11" t="s">
        <v>16</v>
      </c>
    </row>
    <row r="5402">
      <c r="A5402" s="11" t="s">
        <v>151</v>
      </c>
    </row>
    <row r="5403">
      <c r="A5403" s="11" t="s">
        <v>25</v>
      </c>
    </row>
    <row r="5404">
      <c r="A5404" s="11" t="s">
        <v>26</v>
      </c>
    </row>
    <row r="5405">
      <c r="A5405" s="11" t="s">
        <v>17</v>
      </c>
    </row>
    <row r="5406">
      <c r="A5406" s="11">
        <v>459.0</v>
      </c>
    </row>
    <row r="5407">
      <c r="A5407" s="11" t="s">
        <v>18</v>
      </c>
    </row>
    <row r="5408">
      <c r="A5408" s="11" t="s">
        <v>2332</v>
      </c>
    </row>
    <row r="5409">
      <c r="A5409" s="11" t="s">
        <v>351</v>
      </c>
    </row>
    <row r="5410">
      <c r="A5410" s="11" t="s">
        <v>2334</v>
      </c>
    </row>
    <row r="5411">
      <c r="A5411" s="11" t="s">
        <v>62</v>
      </c>
    </row>
    <row r="5412">
      <c r="A5412" s="11" t="s">
        <v>151</v>
      </c>
    </row>
    <row r="5413">
      <c r="A5413" s="11" t="s">
        <v>16</v>
      </c>
    </row>
    <row r="5414">
      <c r="A5414" s="11" t="s">
        <v>151</v>
      </c>
    </row>
    <row r="5415">
      <c r="A5415" s="11" t="s">
        <v>25</v>
      </c>
    </row>
    <row r="5416">
      <c r="A5416" s="11" t="s">
        <v>26</v>
      </c>
    </row>
    <row r="5417">
      <c r="A5417" s="11" t="s">
        <v>17</v>
      </c>
    </row>
    <row r="5418">
      <c r="A5418" s="11">
        <v>460.0</v>
      </c>
    </row>
    <row r="5419">
      <c r="A5419" s="11" t="s">
        <v>2337</v>
      </c>
    </row>
    <row r="5420">
      <c r="A5420" s="11" t="s">
        <v>183</v>
      </c>
    </row>
    <row r="5421">
      <c r="A5421" s="11" t="s">
        <v>2339</v>
      </c>
    </row>
    <row r="5422">
      <c r="A5422" s="11" t="s">
        <v>44</v>
      </c>
    </row>
    <row r="5423">
      <c r="A5423" s="11" t="s">
        <v>151</v>
      </c>
    </row>
    <row r="5424">
      <c r="A5424" s="11" t="s">
        <v>16</v>
      </c>
    </row>
    <row r="5425">
      <c r="A5425" s="11" t="s">
        <v>151</v>
      </c>
    </row>
    <row r="5426">
      <c r="A5426" s="11" t="s">
        <v>25</v>
      </c>
    </row>
    <row r="5427">
      <c r="A5427" s="11" t="s">
        <v>26</v>
      </c>
    </row>
    <row r="5428">
      <c r="A5428" s="11" t="s">
        <v>17</v>
      </c>
    </row>
    <row r="5429">
      <c r="A5429" s="11">
        <v>461.0</v>
      </c>
    </row>
    <row r="5430">
      <c r="A5430" s="11" t="s">
        <v>18</v>
      </c>
    </row>
    <row r="5431">
      <c r="A5431" s="11" t="s">
        <v>2342</v>
      </c>
    </row>
    <row r="5432">
      <c r="A5432" s="11" t="s">
        <v>29</v>
      </c>
    </row>
    <row r="5433">
      <c r="A5433" s="11" t="s">
        <v>2344</v>
      </c>
    </row>
    <row r="5434">
      <c r="A5434" s="11" t="s">
        <v>31</v>
      </c>
    </row>
    <row r="5435">
      <c r="A5435" s="11" t="s">
        <v>151</v>
      </c>
    </row>
    <row r="5436">
      <c r="A5436" s="11" t="s">
        <v>16</v>
      </c>
    </row>
    <row r="5437">
      <c r="A5437" s="11" t="s">
        <v>151</v>
      </c>
    </row>
    <row r="5438">
      <c r="A5438" s="11" t="s">
        <v>25</v>
      </c>
    </row>
    <row r="5439">
      <c r="A5439" s="11" t="s">
        <v>26</v>
      </c>
    </row>
    <row r="5440">
      <c r="A5440" s="11" t="s">
        <v>17</v>
      </c>
    </row>
    <row r="5441">
      <c r="A5441" s="11">
        <v>462.0</v>
      </c>
    </row>
    <row r="5442">
      <c r="A5442" s="11" t="s">
        <v>18</v>
      </c>
    </row>
    <row r="5443">
      <c r="A5443" s="11" t="s">
        <v>2346</v>
      </c>
    </row>
    <row r="5444">
      <c r="A5444" s="11" t="s">
        <v>35</v>
      </c>
    </row>
    <row r="5445">
      <c r="A5445" s="11" t="s">
        <v>2348</v>
      </c>
    </row>
    <row r="5446">
      <c r="A5446" s="11" t="s">
        <v>37</v>
      </c>
    </row>
    <row r="5447">
      <c r="A5447" s="11" t="s">
        <v>151</v>
      </c>
    </row>
    <row r="5448">
      <c r="A5448" s="11" t="s">
        <v>16</v>
      </c>
    </row>
    <row r="5449">
      <c r="A5449" s="11" t="s">
        <v>151</v>
      </c>
    </row>
    <row r="5450">
      <c r="A5450" s="11" t="s">
        <v>25</v>
      </c>
    </row>
    <row r="5451">
      <c r="A5451" s="11" t="s">
        <v>26</v>
      </c>
    </row>
    <row r="5452">
      <c r="A5452" s="11" t="s">
        <v>17</v>
      </c>
    </row>
    <row r="5453">
      <c r="A5453" s="11">
        <v>463.0</v>
      </c>
    </row>
    <row r="5454">
      <c r="A5454" s="11" t="s">
        <v>18</v>
      </c>
    </row>
    <row r="5455">
      <c r="A5455" s="11" t="s">
        <v>2352</v>
      </c>
    </row>
    <row r="5456">
      <c r="A5456" s="11" t="s">
        <v>159</v>
      </c>
    </row>
    <row r="5457">
      <c r="A5457" s="11" t="s">
        <v>2353</v>
      </c>
    </row>
    <row r="5458">
      <c r="A5458" s="11" t="s">
        <v>31</v>
      </c>
    </row>
    <row r="5459">
      <c r="A5459" s="11" t="s">
        <v>151</v>
      </c>
    </row>
    <row r="5460">
      <c r="A5460" s="11" t="s">
        <v>16</v>
      </c>
    </row>
    <row r="5461">
      <c r="A5461" s="11" t="s">
        <v>151</v>
      </c>
    </row>
    <row r="5462">
      <c r="A5462" s="11" t="s">
        <v>25</v>
      </c>
    </row>
    <row r="5463">
      <c r="A5463" s="11" t="s">
        <v>26</v>
      </c>
    </row>
    <row r="5464">
      <c r="A5464" s="11" t="s">
        <v>17</v>
      </c>
    </row>
    <row r="5465">
      <c r="A5465" s="11">
        <v>464.0</v>
      </c>
    </row>
    <row r="5466">
      <c r="A5466" s="11" t="s">
        <v>2355</v>
      </c>
    </row>
    <row r="5467">
      <c r="A5467" s="11" t="s">
        <v>125</v>
      </c>
    </row>
    <row r="5468">
      <c r="A5468" s="11" t="s">
        <v>2356</v>
      </c>
    </row>
    <row r="5469">
      <c r="A5469" s="11" t="s">
        <v>37</v>
      </c>
    </row>
    <row r="5470">
      <c r="A5470" s="11" t="s">
        <v>151</v>
      </c>
    </row>
    <row r="5471">
      <c r="A5471" s="11" t="s">
        <v>16</v>
      </c>
    </row>
    <row r="5472">
      <c r="A5472" s="11" t="s">
        <v>151</v>
      </c>
    </row>
    <row r="5473">
      <c r="A5473" s="11" t="s">
        <v>25</v>
      </c>
    </row>
    <row r="5474">
      <c r="A5474" s="11" t="s">
        <v>26</v>
      </c>
    </row>
    <row r="5475">
      <c r="A5475" s="11" t="s">
        <v>17</v>
      </c>
    </row>
    <row r="5476">
      <c r="A5476" s="11">
        <v>465.0</v>
      </c>
    </row>
    <row r="5477">
      <c r="A5477" s="11" t="s">
        <v>18</v>
      </c>
    </row>
    <row r="5478">
      <c r="A5478" s="11" t="s">
        <v>2359</v>
      </c>
    </row>
    <row r="5479">
      <c r="A5479" s="11" t="s">
        <v>372</v>
      </c>
    </row>
    <row r="5480">
      <c r="A5480" s="11" t="s">
        <v>2361</v>
      </c>
    </row>
    <row r="5481">
      <c r="A5481" s="11" t="s">
        <v>335</v>
      </c>
    </row>
    <row r="5482">
      <c r="A5482" s="11" t="s">
        <v>151</v>
      </c>
    </row>
    <row r="5483">
      <c r="A5483" s="11" t="s">
        <v>16</v>
      </c>
    </row>
    <row r="5484">
      <c r="A5484" s="11" t="s">
        <v>151</v>
      </c>
    </row>
    <row r="5485">
      <c r="A5485" s="11" t="s">
        <v>25</v>
      </c>
    </row>
    <row r="5486">
      <c r="A5486" s="11" t="s">
        <v>26</v>
      </c>
    </row>
    <row r="5487">
      <c r="A5487" s="11" t="s">
        <v>17</v>
      </c>
    </row>
    <row r="5488">
      <c r="A5488" s="11">
        <v>466.0</v>
      </c>
    </row>
    <row r="5489">
      <c r="A5489" s="11" t="s">
        <v>2362</v>
      </c>
    </row>
    <row r="5490">
      <c r="A5490" s="11" t="s">
        <v>66</v>
      </c>
    </row>
    <row r="5491">
      <c r="A5491" s="11" t="s">
        <v>2363</v>
      </c>
    </row>
    <row r="5492">
      <c r="A5492" s="11" t="s">
        <v>31</v>
      </c>
    </row>
    <row r="5493">
      <c r="A5493" s="11" t="s">
        <v>151</v>
      </c>
    </row>
    <row r="5494">
      <c r="A5494" s="11" t="s">
        <v>16</v>
      </c>
    </row>
    <row r="5495">
      <c r="A5495" s="11" t="s">
        <v>151</v>
      </c>
    </row>
    <row r="5496">
      <c r="A5496" s="11" t="s">
        <v>25</v>
      </c>
    </row>
    <row r="5497">
      <c r="A5497" s="11" t="s">
        <v>26</v>
      </c>
    </row>
    <row r="5498">
      <c r="A5498" s="11" t="s">
        <v>17</v>
      </c>
    </row>
    <row r="5499">
      <c r="A5499" s="11">
        <v>467.0</v>
      </c>
    </row>
    <row r="5500">
      <c r="A5500" s="11" t="s">
        <v>18</v>
      </c>
    </row>
    <row r="5501">
      <c r="A5501" s="11" t="s">
        <v>2367</v>
      </c>
    </row>
    <row r="5502">
      <c r="A5502" s="11" t="s">
        <v>29</v>
      </c>
    </row>
    <row r="5503">
      <c r="A5503" s="11" t="s">
        <v>2368</v>
      </c>
    </row>
    <row r="5504">
      <c r="A5504" s="11" t="s">
        <v>31</v>
      </c>
    </row>
    <row r="5505">
      <c r="A5505" s="11" t="s">
        <v>151</v>
      </c>
    </row>
    <row r="5506">
      <c r="A5506" s="11" t="s">
        <v>16</v>
      </c>
    </row>
    <row r="5507">
      <c r="A5507" s="11" t="s">
        <v>151</v>
      </c>
    </row>
    <row r="5508">
      <c r="A5508" s="11" t="s">
        <v>25</v>
      </c>
    </row>
    <row r="5509">
      <c r="A5509" s="11" t="s">
        <v>26</v>
      </c>
    </row>
    <row r="5510">
      <c r="A5510" s="11" t="s">
        <v>17</v>
      </c>
    </row>
    <row r="5511">
      <c r="A5511" s="11">
        <v>468.0</v>
      </c>
    </row>
    <row r="5512">
      <c r="A5512" s="11" t="s">
        <v>2371</v>
      </c>
    </row>
    <row r="5513">
      <c r="A5513" s="11" t="s">
        <v>146</v>
      </c>
    </row>
    <row r="5514">
      <c r="A5514" s="11" t="s">
        <v>2373</v>
      </c>
    </row>
    <row r="5515">
      <c r="A5515" s="11" t="s">
        <v>117</v>
      </c>
    </row>
    <row r="5516">
      <c r="A5516" s="11" t="s">
        <v>151</v>
      </c>
    </row>
    <row r="5517">
      <c r="A5517" s="11" t="s">
        <v>16</v>
      </c>
    </row>
    <row r="5518">
      <c r="A5518" s="11" t="s">
        <v>151</v>
      </c>
    </row>
    <row r="5519">
      <c r="A5519" s="11" t="s">
        <v>25</v>
      </c>
    </row>
    <row r="5520">
      <c r="A5520" s="11" t="s">
        <v>26</v>
      </c>
    </row>
    <row r="5521">
      <c r="A5521" s="11" t="s">
        <v>17</v>
      </c>
    </row>
    <row r="5522">
      <c r="A5522" s="11">
        <v>469.0</v>
      </c>
    </row>
    <row r="5523">
      <c r="A5523" s="11" t="s">
        <v>18</v>
      </c>
    </row>
    <row r="5524">
      <c r="A5524" s="11" t="s">
        <v>2377</v>
      </c>
    </row>
    <row r="5525">
      <c r="A5525" s="11" t="s">
        <v>206</v>
      </c>
    </row>
    <row r="5526">
      <c r="A5526" s="11" t="s">
        <v>2378</v>
      </c>
    </row>
    <row r="5527">
      <c r="A5527" s="11" t="s">
        <v>37</v>
      </c>
    </row>
    <row r="5528">
      <c r="A5528" s="11" t="s">
        <v>151</v>
      </c>
    </row>
    <row r="5529">
      <c r="A5529" s="11" t="s">
        <v>16</v>
      </c>
    </row>
    <row r="5530">
      <c r="A5530" s="11" t="s">
        <v>151</v>
      </c>
    </row>
    <row r="5531">
      <c r="A5531" s="11" t="s">
        <v>25</v>
      </c>
    </row>
    <row r="5532">
      <c r="A5532" s="11" t="s">
        <v>26</v>
      </c>
    </row>
    <row r="5533">
      <c r="A5533" s="11" t="s">
        <v>17</v>
      </c>
    </row>
    <row r="5534">
      <c r="A5534" s="11">
        <v>470.0</v>
      </c>
    </row>
    <row r="5535">
      <c r="A5535" s="11" t="s">
        <v>18</v>
      </c>
    </row>
    <row r="5536">
      <c r="A5536" s="11" t="s">
        <v>2380</v>
      </c>
    </row>
    <row r="5537">
      <c r="A5537" s="11" t="s">
        <v>113</v>
      </c>
    </row>
    <row r="5538">
      <c r="A5538" s="11" t="s">
        <v>2382</v>
      </c>
    </row>
    <row r="5539">
      <c r="A5539" s="11" t="s">
        <v>117</v>
      </c>
    </row>
    <row r="5540">
      <c r="A5540" s="11" t="s">
        <v>151</v>
      </c>
    </row>
    <row r="5541">
      <c r="A5541" s="11" t="s">
        <v>16</v>
      </c>
    </row>
    <row r="5542">
      <c r="A5542" s="11" t="s">
        <v>151</v>
      </c>
    </row>
    <row r="5543">
      <c r="A5543" s="11" t="s">
        <v>25</v>
      </c>
    </row>
    <row r="5544">
      <c r="A5544" s="11" t="s">
        <v>26</v>
      </c>
    </row>
    <row r="5545">
      <c r="A5545" s="11" t="s">
        <v>17</v>
      </c>
    </row>
    <row r="5546">
      <c r="A5546" s="11">
        <v>471.0</v>
      </c>
    </row>
    <row r="5547">
      <c r="A5547" s="11" t="s">
        <v>564</v>
      </c>
    </row>
    <row r="5548">
      <c r="A5548" s="11" t="s">
        <v>351</v>
      </c>
    </row>
    <row r="5549">
      <c r="A5549" s="11" t="s">
        <v>2385</v>
      </c>
    </row>
    <row r="5550">
      <c r="A5550" s="11" t="s">
        <v>62</v>
      </c>
    </row>
    <row r="5551">
      <c r="A5551" s="11" t="s">
        <v>151</v>
      </c>
    </row>
    <row r="5552">
      <c r="A5552" s="11" t="s">
        <v>16</v>
      </c>
    </row>
    <row r="5553">
      <c r="A5553" s="11" t="s">
        <v>151</v>
      </c>
    </row>
    <row r="5554">
      <c r="A5554" s="11" t="s">
        <v>25</v>
      </c>
    </row>
    <row r="5555">
      <c r="A5555" s="11" t="s">
        <v>26</v>
      </c>
    </row>
    <row r="5556">
      <c r="A5556" s="11" t="s">
        <v>17</v>
      </c>
    </row>
    <row r="5557">
      <c r="A5557" s="11">
        <v>472.0</v>
      </c>
    </row>
    <row r="5558">
      <c r="A5558" s="11" t="s">
        <v>18</v>
      </c>
    </row>
    <row r="5559">
      <c r="A5559" s="11" t="s">
        <v>2389</v>
      </c>
    </row>
    <row r="5560">
      <c r="A5560" s="11" t="s">
        <v>295</v>
      </c>
    </row>
    <row r="5561">
      <c r="A5561" s="11" t="s">
        <v>2390</v>
      </c>
    </row>
    <row r="5562">
      <c r="A5562" s="11" t="s">
        <v>62</v>
      </c>
    </row>
    <row r="5563">
      <c r="A5563" s="11" t="s">
        <v>151</v>
      </c>
    </row>
    <row r="5564">
      <c r="A5564" s="11" t="s">
        <v>16</v>
      </c>
    </row>
    <row r="5565">
      <c r="A5565" s="11" t="s">
        <v>151</v>
      </c>
    </row>
    <row r="5566">
      <c r="A5566" s="11" t="s">
        <v>25</v>
      </c>
    </row>
    <row r="5567">
      <c r="A5567" s="11" t="s">
        <v>26</v>
      </c>
    </row>
    <row r="5568">
      <c r="A5568" s="11" t="s">
        <v>17</v>
      </c>
    </row>
    <row r="5569">
      <c r="A5569" s="11">
        <v>473.0</v>
      </c>
    </row>
    <row r="5570">
      <c r="A5570" s="11" t="s">
        <v>18</v>
      </c>
    </row>
    <row r="5571">
      <c r="A5571" s="11" t="s">
        <v>2392</v>
      </c>
    </row>
    <row r="5572">
      <c r="A5572" s="11" t="s">
        <v>248</v>
      </c>
    </row>
    <row r="5573">
      <c r="A5573" s="11" t="s">
        <v>2393</v>
      </c>
    </row>
    <row r="5574">
      <c r="A5574" s="11" t="s">
        <v>98</v>
      </c>
    </row>
    <row r="5575">
      <c r="A5575" s="11" t="s">
        <v>151</v>
      </c>
    </row>
    <row r="5576">
      <c r="A5576" s="11" t="s">
        <v>16</v>
      </c>
    </row>
    <row r="5577">
      <c r="A5577" s="11" t="s">
        <v>151</v>
      </c>
    </row>
    <row r="5578">
      <c r="A5578" s="11" t="s">
        <v>25</v>
      </c>
    </row>
    <row r="5579">
      <c r="A5579" s="11" t="s">
        <v>26</v>
      </c>
    </row>
    <row r="5580">
      <c r="A5580" s="11" t="s">
        <v>17</v>
      </c>
    </row>
    <row r="5581">
      <c r="A5581" s="11">
        <v>474.0</v>
      </c>
    </row>
    <row r="5582">
      <c r="A5582" s="11" t="s">
        <v>18</v>
      </c>
    </row>
    <row r="5583">
      <c r="A5583" s="11" t="s">
        <v>2397</v>
      </c>
    </row>
    <row r="5584">
      <c r="A5584" s="11" t="s">
        <v>259</v>
      </c>
    </row>
    <row r="5585">
      <c r="A5585" s="11" t="s">
        <v>2399</v>
      </c>
    </row>
    <row r="5586">
      <c r="A5586" s="11" t="s">
        <v>121</v>
      </c>
    </row>
    <row r="5587">
      <c r="A5587" s="11" t="s">
        <v>151</v>
      </c>
    </row>
    <row r="5588">
      <c r="A5588" s="11" t="s">
        <v>16</v>
      </c>
    </row>
    <row r="5589">
      <c r="A5589" s="11" t="s">
        <v>151</v>
      </c>
    </row>
    <row r="5590">
      <c r="A5590" s="11" t="s">
        <v>25</v>
      </c>
    </row>
    <row r="5591">
      <c r="A5591" s="11" t="s">
        <v>26</v>
      </c>
    </row>
    <row r="5592">
      <c r="A5592" s="11" t="s">
        <v>17</v>
      </c>
    </row>
    <row r="5593">
      <c r="A5593" s="11">
        <v>475.0</v>
      </c>
    </row>
    <row r="5594">
      <c r="A5594" s="11" t="s">
        <v>18</v>
      </c>
    </row>
    <row r="5595">
      <c r="A5595" s="11" t="s">
        <v>2401</v>
      </c>
    </row>
    <row r="5596">
      <c r="A5596" s="11" t="s">
        <v>42</v>
      </c>
    </row>
    <row r="5597">
      <c r="A5597" s="11" t="s">
        <v>2402</v>
      </c>
    </row>
    <row r="5598">
      <c r="A5598" s="11" t="s">
        <v>44</v>
      </c>
    </row>
    <row r="5599">
      <c r="A5599" s="11" t="s">
        <v>151</v>
      </c>
    </row>
    <row r="5600">
      <c r="A5600" s="11" t="s">
        <v>16</v>
      </c>
    </row>
    <row r="5601">
      <c r="A5601" s="11" t="s">
        <v>151</v>
      </c>
    </row>
    <row r="5602">
      <c r="A5602" s="11" t="s">
        <v>25</v>
      </c>
    </row>
    <row r="5603">
      <c r="A5603" s="11" t="s">
        <v>26</v>
      </c>
    </row>
    <row r="5604">
      <c r="A5604" s="11" t="s">
        <v>17</v>
      </c>
    </row>
    <row r="5605">
      <c r="A5605" s="11">
        <v>476.0</v>
      </c>
    </row>
    <row r="5606">
      <c r="A5606" s="11" t="s">
        <v>18</v>
      </c>
    </row>
    <row r="5607">
      <c r="A5607" s="11" t="s">
        <v>2407</v>
      </c>
    </row>
    <row r="5608">
      <c r="A5608" s="11" t="s">
        <v>146</v>
      </c>
    </row>
    <row r="5609">
      <c r="A5609" s="11" t="s">
        <v>2408</v>
      </c>
    </row>
    <row r="5610">
      <c r="A5610" s="11" t="s">
        <v>117</v>
      </c>
    </row>
    <row r="5611">
      <c r="A5611" s="11" t="s">
        <v>151</v>
      </c>
    </row>
    <row r="5612">
      <c r="A5612" s="11" t="s">
        <v>16</v>
      </c>
    </row>
    <row r="5613">
      <c r="A5613" s="11" t="s">
        <v>151</v>
      </c>
    </row>
    <row r="5614">
      <c r="A5614" s="11" t="s">
        <v>25</v>
      </c>
    </row>
    <row r="5615">
      <c r="A5615" s="11" t="s">
        <v>26</v>
      </c>
    </row>
    <row r="5616">
      <c r="A5616" s="11" t="s">
        <v>17</v>
      </c>
    </row>
    <row r="5617">
      <c r="A5617" s="11">
        <v>477.0</v>
      </c>
    </row>
    <row r="5618">
      <c r="A5618" s="11" t="s">
        <v>18</v>
      </c>
    </row>
    <row r="5619">
      <c r="A5619" s="11" t="s">
        <v>2410</v>
      </c>
    </row>
    <row r="5620">
      <c r="A5620" s="11" t="s">
        <v>59</v>
      </c>
    </row>
    <row r="5621">
      <c r="A5621" s="11" t="s">
        <v>2412</v>
      </c>
    </row>
    <row r="5622">
      <c r="A5622" s="11" t="s">
        <v>62</v>
      </c>
    </row>
    <row r="5623">
      <c r="A5623" s="11" t="s">
        <v>151</v>
      </c>
    </row>
    <row r="5624">
      <c r="A5624" s="11" t="s">
        <v>16</v>
      </c>
    </row>
    <row r="5625">
      <c r="A5625" s="11" t="s">
        <v>151</v>
      </c>
    </row>
    <row r="5626">
      <c r="A5626" s="11" t="s">
        <v>25</v>
      </c>
    </row>
    <row r="5627">
      <c r="A5627" s="11" t="s">
        <v>26</v>
      </c>
    </row>
    <row r="5628">
      <c r="A5628" s="11" t="s">
        <v>17</v>
      </c>
    </row>
    <row r="5629">
      <c r="A5629" s="11">
        <v>478.0</v>
      </c>
    </row>
    <row r="5630">
      <c r="A5630" s="11" t="s">
        <v>18</v>
      </c>
    </row>
    <row r="5631">
      <c r="A5631" s="11" t="s">
        <v>2415</v>
      </c>
    </row>
    <row r="5632">
      <c r="A5632" s="11" t="s">
        <v>351</v>
      </c>
    </row>
    <row r="5633">
      <c r="A5633" s="11" t="s">
        <v>2416</v>
      </c>
    </row>
    <row r="5634">
      <c r="A5634" s="11" t="s">
        <v>62</v>
      </c>
    </row>
    <row r="5635">
      <c r="A5635" s="11" t="s">
        <v>151</v>
      </c>
    </row>
    <row r="5636">
      <c r="A5636" s="11" t="s">
        <v>16</v>
      </c>
    </row>
    <row r="5637">
      <c r="A5637" s="11" t="s">
        <v>151</v>
      </c>
    </row>
    <row r="5638">
      <c r="A5638" s="11" t="s">
        <v>25</v>
      </c>
    </row>
    <row r="5639">
      <c r="A5639" s="11" t="s">
        <v>26</v>
      </c>
    </row>
    <row r="5640">
      <c r="A5640" s="11" t="s">
        <v>17</v>
      </c>
    </row>
    <row r="5641">
      <c r="A5641" s="11">
        <v>479.0</v>
      </c>
    </row>
    <row r="5642">
      <c r="A5642" s="11" t="s">
        <v>2417</v>
      </c>
    </row>
    <row r="5643">
      <c r="A5643" s="11" t="s">
        <v>35</v>
      </c>
    </row>
    <row r="5644">
      <c r="A5644" s="11" t="s">
        <v>2419</v>
      </c>
    </row>
    <row r="5645">
      <c r="A5645" s="11" t="s">
        <v>37</v>
      </c>
    </row>
    <row r="5646">
      <c r="A5646" s="11" t="s">
        <v>151</v>
      </c>
    </row>
    <row r="5647">
      <c r="A5647" s="11" t="s">
        <v>16</v>
      </c>
    </row>
    <row r="5648">
      <c r="A5648" s="11" t="s">
        <v>151</v>
      </c>
    </row>
    <row r="5649">
      <c r="A5649" s="11" t="s">
        <v>25</v>
      </c>
    </row>
    <row r="5650">
      <c r="A5650" s="11" t="s">
        <v>26</v>
      </c>
    </row>
    <row r="5651">
      <c r="A5651" s="11" t="s">
        <v>17</v>
      </c>
    </row>
    <row r="5652">
      <c r="A5652" s="11">
        <v>480.0</v>
      </c>
    </row>
    <row r="5653">
      <c r="A5653" s="11" t="s">
        <v>18</v>
      </c>
    </row>
    <row r="5654">
      <c r="A5654" s="11" t="s">
        <v>2425</v>
      </c>
    </row>
    <row r="5655">
      <c r="A5655" s="11" t="s">
        <v>131</v>
      </c>
    </row>
    <row r="5656">
      <c r="A5656" s="11" t="s">
        <v>2426</v>
      </c>
    </row>
    <row r="5657">
      <c r="A5657" s="11" t="s">
        <v>62</v>
      </c>
    </row>
    <row r="5658">
      <c r="A5658" s="11" t="s">
        <v>151</v>
      </c>
    </row>
    <row r="5659">
      <c r="A5659" s="11" t="s">
        <v>16</v>
      </c>
    </row>
    <row r="5660">
      <c r="A5660" s="11" t="s">
        <v>151</v>
      </c>
    </row>
    <row r="5661">
      <c r="A5661" s="11" t="s">
        <v>25</v>
      </c>
    </row>
    <row r="5662">
      <c r="A5662" s="11" t="s">
        <v>26</v>
      </c>
    </row>
    <row r="5663">
      <c r="A5663" s="11" t="s">
        <v>17</v>
      </c>
    </row>
    <row r="5664">
      <c r="A5664" s="11">
        <v>481.0</v>
      </c>
    </row>
    <row r="5665">
      <c r="A5665" s="11" t="s">
        <v>2429</v>
      </c>
    </row>
    <row r="5666">
      <c r="A5666" s="11" t="s">
        <v>159</v>
      </c>
    </row>
    <row r="5667">
      <c r="A5667" s="11" t="s">
        <v>2430</v>
      </c>
    </row>
    <row r="5668">
      <c r="A5668" s="11" t="s">
        <v>31</v>
      </c>
    </row>
    <row r="5669">
      <c r="A5669" s="11" t="s">
        <v>151</v>
      </c>
    </row>
    <row r="5670">
      <c r="A5670" s="11" t="s">
        <v>16</v>
      </c>
    </row>
    <row r="5671">
      <c r="A5671" s="11" t="s">
        <v>151</v>
      </c>
    </row>
    <row r="5672">
      <c r="A5672" s="11" t="s">
        <v>25</v>
      </c>
    </row>
    <row r="5673">
      <c r="A5673" s="11" t="s">
        <v>26</v>
      </c>
    </row>
    <row r="5674">
      <c r="A5674" s="11" t="s">
        <v>17</v>
      </c>
    </row>
    <row r="5675">
      <c r="A5675" s="11">
        <v>482.0</v>
      </c>
    </row>
    <row r="5676">
      <c r="A5676" s="11" t="s">
        <v>18</v>
      </c>
    </row>
    <row r="5677">
      <c r="A5677" s="11" t="s">
        <v>2434</v>
      </c>
    </row>
    <row r="5678">
      <c r="A5678" s="11" t="s">
        <v>206</v>
      </c>
    </row>
    <row r="5679">
      <c r="A5679" s="11" t="s">
        <v>2435</v>
      </c>
    </row>
    <row r="5680">
      <c r="A5680" s="11" t="s">
        <v>37</v>
      </c>
    </row>
    <row r="5681">
      <c r="A5681" s="11" t="s">
        <v>151</v>
      </c>
    </row>
    <row r="5682">
      <c r="A5682" s="11" t="s">
        <v>16</v>
      </c>
    </row>
    <row r="5683">
      <c r="A5683" s="11" t="s">
        <v>151</v>
      </c>
    </row>
    <row r="5684">
      <c r="A5684" s="11" t="s">
        <v>25</v>
      </c>
    </row>
    <row r="5685">
      <c r="A5685" s="11" t="s">
        <v>26</v>
      </c>
    </row>
    <row r="5686">
      <c r="A5686" s="11" t="s">
        <v>17</v>
      </c>
    </row>
    <row r="5687">
      <c r="A5687" s="11">
        <v>483.0</v>
      </c>
    </row>
    <row r="5688">
      <c r="A5688" s="11" t="s">
        <v>18</v>
      </c>
    </row>
    <row r="5689">
      <c r="A5689" s="11" t="s">
        <v>2438</v>
      </c>
    </row>
    <row r="5690">
      <c r="A5690" s="11" t="s">
        <v>159</v>
      </c>
    </row>
    <row r="5691">
      <c r="A5691" s="11" t="s">
        <v>2442</v>
      </c>
    </row>
    <row r="5692">
      <c r="A5692" s="11" t="s">
        <v>31</v>
      </c>
    </row>
    <row r="5693">
      <c r="A5693" s="11" t="s">
        <v>151</v>
      </c>
    </row>
    <row r="5694">
      <c r="A5694" s="11" t="s">
        <v>16</v>
      </c>
    </row>
    <row r="5695">
      <c r="A5695" s="11" t="s">
        <v>151</v>
      </c>
    </row>
    <row r="5696">
      <c r="A5696" s="11" t="s">
        <v>25</v>
      </c>
    </row>
    <row r="5697">
      <c r="A5697" s="11" t="s">
        <v>26</v>
      </c>
    </row>
    <row r="5698">
      <c r="A5698" s="11" t="s">
        <v>17</v>
      </c>
    </row>
    <row r="5699">
      <c r="A5699" s="11">
        <v>484.0</v>
      </c>
    </row>
    <row r="5700">
      <c r="A5700" s="11" t="s">
        <v>18</v>
      </c>
    </row>
    <row r="5701">
      <c r="A5701" s="11" t="s">
        <v>2444</v>
      </c>
    </row>
    <row r="5702">
      <c r="A5702" s="11" t="s">
        <v>259</v>
      </c>
    </row>
    <row r="5703">
      <c r="A5703" s="11" t="s">
        <v>2445</v>
      </c>
    </row>
    <row r="5704">
      <c r="A5704" s="11" t="s">
        <v>121</v>
      </c>
    </row>
    <row r="5705">
      <c r="A5705" s="11" t="s">
        <v>151</v>
      </c>
    </row>
    <row r="5706">
      <c r="A5706" s="11" t="s">
        <v>16</v>
      </c>
    </row>
    <row r="5707">
      <c r="A5707" s="11" t="s">
        <v>151</v>
      </c>
    </row>
    <row r="5708">
      <c r="A5708" s="11" t="s">
        <v>25</v>
      </c>
    </row>
    <row r="5709">
      <c r="A5709" s="11" t="s">
        <v>26</v>
      </c>
    </row>
    <row r="5710">
      <c r="A5710" s="11" t="s">
        <v>17</v>
      </c>
    </row>
    <row r="5711">
      <c r="A5711" s="11">
        <v>485.0</v>
      </c>
    </row>
    <row r="5712">
      <c r="A5712" s="11" t="s">
        <v>18</v>
      </c>
    </row>
    <row r="5713">
      <c r="A5713" s="11" t="s">
        <v>2448</v>
      </c>
    </row>
    <row r="5714">
      <c r="A5714" s="11" t="s">
        <v>66</v>
      </c>
    </row>
    <row r="5715">
      <c r="A5715" s="11" t="s">
        <v>2450</v>
      </c>
    </row>
    <row r="5716">
      <c r="A5716" s="11" t="s">
        <v>31</v>
      </c>
    </row>
    <row r="5717">
      <c r="A5717" s="11" t="s">
        <v>151</v>
      </c>
    </row>
    <row r="5718">
      <c r="A5718" s="11" t="s">
        <v>16</v>
      </c>
    </row>
    <row r="5719">
      <c r="A5719" s="11" t="s">
        <v>151</v>
      </c>
    </row>
    <row r="5720">
      <c r="A5720" s="11" t="s">
        <v>25</v>
      </c>
    </row>
    <row r="5721">
      <c r="A5721" s="11" t="s">
        <v>26</v>
      </c>
    </row>
    <row r="5722">
      <c r="A5722" s="11" t="s">
        <v>17</v>
      </c>
    </row>
    <row r="5723">
      <c r="A5723" s="11">
        <v>486.0</v>
      </c>
    </row>
    <row r="5724">
      <c r="A5724" s="11" t="s">
        <v>2453</v>
      </c>
    </row>
    <row r="5725">
      <c r="A5725" s="11" t="s">
        <v>351</v>
      </c>
    </row>
    <row r="5726">
      <c r="A5726" s="11" t="s">
        <v>2454</v>
      </c>
    </row>
    <row r="5727">
      <c r="A5727" s="11" t="s">
        <v>62</v>
      </c>
    </row>
    <row r="5728">
      <c r="A5728" s="11" t="s">
        <v>151</v>
      </c>
    </row>
    <row r="5729">
      <c r="A5729" s="11" t="s">
        <v>16</v>
      </c>
    </row>
    <row r="5730">
      <c r="A5730" s="11" t="s">
        <v>151</v>
      </c>
    </row>
    <row r="5731">
      <c r="A5731" s="11" t="s">
        <v>25</v>
      </c>
    </row>
    <row r="5732">
      <c r="A5732" s="11" t="s">
        <v>26</v>
      </c>
    </row>
    <row r="5733">
      <c r="A5733" s="11" t="s">
        <v>17</v>
      </c>
    </row>
    <row r="5734">
      <c r="A5734" s="11">
        <v>487.0</v>
      </c>
    </row>
    <row r="5735">
      <c r="A5735" s="11" t="s">
        <v>18</v>
      </c>
    </row>
    <row r="5736">
      <c r="A5736" s="11" t="s">
        <v>2457</v>
      </c>
    </row>
    <row r="5737">
      <c r="A5737" s="11" t="s">
        <v>372</v>
      </c>
    </row>
    <row r="5738">
      <c r="A5738" s="11" t="s">
        <v>2458</v>
      </c>
    </row>
    <row r="5739">
      <c r="A5739" s="11" t="s">
        <v>335</v>
      </c>
    </row>
    <row r="5740">
      <c r="A5740" s="11" t="s">
        <v>151</v>
      </c>
    </row>
    <row r="5741">
      <c r="A5741" s="11" t="s">
        <v>16</v>
      </c>
    </row>
    <row r="5742">
      <c r="A5742" s="11" t="s">
        <v>151</v>
      </c>
    </row>
    <row r="5743">
      <c r="A5743" s="11" t="s">
        <v>25</v>
      </c>
    </row>
    <row r="5744">
      <c r="A5744" s="11" t="s">
        <v>26</v>
      </c>
    </row>
    <row r="5745">
      <c r="A5745" s="11" t="s">
        <v>17</v>
      </c>
    </row>
    <row r="5746">
      <c r="A5746" s="11">
        <v>488.0</v>
      </c>
    </row>
    <row r="5747">
      <c r="A5747" s="11" t="s">
        <v>18</v>
      </c>
    </row>
    <row r="5748">
      <c r="A5748" s="11" t="s">
        <v>2461</v>
      </c>
    </row>
    <row r="5749">
      <c r="A5749" s="11" t="s">
        <v>20</v>
      </c>
    </row>
    <row r="5750">
      <c r="A5750" s="11" t="s">
        <v>2462</v>
      </c>
    </row>
    <row r="5751">
      <c r="A5751" s="11" t="s">
        <v>23</v>
      </c>
    </row>
    <row r="5752">
      <c r="A5752" s="11" t="s">
        <v>151</v>
      </c>
    </row>
    <row r="5753">
      <c r="A5753" s="11" t="s">
        <v>16</v>
      </c>
    </row>
    <row r="5754">
      <c r="A5754" s="11" t="s">
        <v>151</v>
      </c>
    </row>
    <row r="5755">
      <c r="A5755" s="11" t="s">
        <v>25</v>
      </c>
    </row>
    <row r="5756">
      <c r="A5756" s="11" t="s">
        <v>26</v>
      </c>
    </row>
    <row r="5757">
      <c r="A5757" s="11" t="s">
        <v>17</v>
      </c>
    </row>
    <row r="5758">
      <c r="A5758" s="11">
        <v>489.0</v>
      </c>
    </row>
    <row r="5759">
      <c r="A5759" s="11" t="s">
        <v>18</v>
      </c>
    </row>
    <row r="5760">
      <c r="A5760" s="11" t="s">
        <v>2466</v>
      </c>
    </row>
    <row r="5761">
      <c r="A5761" s="11" t="s">
        <v>333</v>
      </c>
    </row>
    <row r="5762">
      <c r="A5762" s="11" t="s">
        <v>2468</v>
      </c>
    </row>
    <row r="5763">
      <c r="A5763" s="11" t="s">
        <v>335</v>
      </c>
    </row>
    <row r="5764">
      <c r="A5764" s="11" t="s">
        <v>151</v>
      </c>
    </row>
    <row r="5765">
      <c r="A5765" s="11" t="s">
        <v>16</v>
      </c>
    </row>
    <row r="5766">
      <c r="A5766" s="11" t="s">
        <v>151</v>
      </c>
    </row>
    <row r="5767">
      <c r="A5767" s="11" t="s">
        <v>25</v>
      </c>
    </row>
    <row r="5768">
      <c r="A5768" s="11" t="s">
        <v>26</v>
      </c>
    </row>
    <row r="5769">
      <c r="A5769" s="11" t="s">
        <v>17</v>
      </c>
    </row>
    <row r="5770">
      <c r="A5770" s="11">
        <v>490.0</v>
      </c>
    </row>
    <row r="5771">
      <c r="A5771" s="11" t="s">
        <v>18</v>
      </c>
    </row>
    <row r="5772">
      <c r="A5772" s="11" t="s">
        <v>964</v>
      </c>
    </row>
    <row r="5773">
      <c r="A5773" s="11" t="s">
        <v>59</v>
      </c>
    </row>
    <row r="5774">
      <c r="A5774" s="11" t="s">
        <v>2471</v>
      </c>
    </row>
    <row r="5775">
      <c r="A5775" s="11" t="s">
        <v>62</v>
      </c>
    </row>
    <row r="5776">
      <c r="A5776" s="11" t="s">
        <v>151</v>
      </c>
    </row>
    <row r="5777">
      <c r="A5777" s="11" t="s">
        <v>16</v>
      </c>
    </row>
    <row r="5778">
      <c r="A5778" s="11" t="s">
        <v>151</v>
      </c>
    </row>
    <row r="5779">
      <c r="A5779" s="11" t="s">
        <v>25</v>
      </c>
    </row>
    <row r="5780">
      <c r="A5780" s="11" t="s">
        <v>26</v>
      </c>
    </row>
    <row r="5781">
      <c r="A5781" s="11" t="s">
        <v>17</v>
      </c>
    </row>
    <row r="5782">
      <c r="A5782" s="11">
        <v>491.0</v>
      </c>
    </row>
    <row r="5783">
      <c r="A5783" s="11" t="s">
        <v>2472</v>
      </c>
    </row>
    <row r="5784">
      <c r="A5784" s="11" t="s">
        <v>166</v>
      </c>
    </row>
    <row r="5785">
      <c r="A5785" s="11" t="s">
        <v>2474</v>
      </c>
    </row>
    <row r="5786">
      <c r="A5786" s="11" t="s">
        <v>44</v>
      </c>
    </row>
    <row r="5787">
      <c r="A5787" s="11" t="s">
        <v>151</v>
      </c>
    </row>
    <row r="5788">
      <c r="A5788" s="11" t="s">
        <v>16</v>
      </c>
    </row>
    <row r="5789">
      <c r="A5789" s="11" t="s">
        <v>151</v>
      </c>
    </row>
    <row r="5790">
      <c r="A5790" s="11" t="s">
        <v>25</v>
      </c>
    </row>
    <row r="5791">
      <c r="A5791" s="11" t="s">
        <v>26</v>
      </c>
    </row>
    <row r="5792">
      <c r="A5792" s="11" t="s">
        <v>17</v>
      </c>
    </row>
    <row r="5793">
      <c r="A5793" s="11">
        <v>492.0</v>
      </c>
    </row>
    <row r="5794">
      <c r="A5794" s="11" t="s">
        <v>2477</v>
      </c>
    </row>
    <row r="5795">
      <c r="A5795" s="11" t="s">
        <v>88</v>
      </c>
    </row>
    <row r="5796">
      <c r="A5796" s="11" t="s">
        <v>2479</v>
      </c>
    </row>
    <row r="5797">
      <c r="A5797" s="11" t="s">
        <v>23</v>
      </c>
    </row>
    <row r="5798">
      <c r="A5798" s="11" t="s">
        <v>151</v>
      </c>
    </row>
    <row r="5799">
      <c r="A5799" s="11" t="s">
        <v>16</v>
      </c>
    </row>
    <row r="5800">
      <c r="A5800" s="11" t="s">
        <v>151</v>
      </c>
    </row>
    <row r="5801">
      <c r="A5801" s="11" t="s">
        <v>25</v>
      </c>
    </row>
    <row r="5802">
      <c r="A5802" s="11" t="s">
        <v>26</v>
      </c>
    </row>
    <row r="5803">
      <c r="A5803" s="11" t="s">
        <v>17</v>
      </c>
    </row>
    <row r="5804">
      <c r="A5804" s="11">
        <v>493.0</v>
      </c>
    </row>
    <row r="5805">
      <c r="A5805" s="11" t="s">
        <v>18</v>
      </c>
    </row>
    <row r="5806">
      <c r="A5806" s="11" t="s">
        <v>2482</v>
      </c>
    </row>
    <row r="5807">
      <c r="A5807" s="11" t="s">
        <v>183</v>
      </c>
    </row>
    <row r="5808">
      <c r="A5808" s="11" t="s">
        <v>2484</v>
      </c>
    </row>
    <row r="5809">
      <c r="A5809" s="11" t="s">
        <v>44</v>
      </c>
    </row>
    <row r="5810">
      <c r="A5810" s="11" t="s">
        <v>151</v>
      </c>
    </row>
    <row r="5811">
      <c r="A5811" s="11" t="s">
        <v>16</v>
      </c>
    </row>
    <row r="5812">
      <c r="A5812" s="11" t="s">
        <v>151</v>
      </c>
    </row>
    <row r="5813">
      <c r="A5813" s="11" t="s">
        <v>25</v>
      </c>
    </row>
    <row r="5814">
      <c r="A5814" s="11" t="s">
        <v>26</v>
      </c>
    </row>
    <row r="5815">
      <c r="A5815" s="11" t="s">
        <v>17</v>
      </c>
    </row>
    <row r="5816">
      <c r="A5816" s="11">
        <v>494.0</v>
      </c>
    </row>
    <row r="5817">
      <c r="A5817" s="11" t="s">
        <v>18</v>
      </c>
    </row>
    <row r="5818">
      <c r="A5818" s="11" t="s">
        <v>2485</v>
      </c>
    </row>
    <row r="5819">
      <c r="A5819" s="11" t="s">
        <v>113</v>
      </c>
    </row>
    <row r="5820">
      <c r="A5820" s="11" t="s">
        <v>2488</v>
      </c>
    </row>
    <row r="5821">
      <c r="A5821" s="11" t="s">
        <v>117</v>
      </c>
    </row>
    <row r="5822">
      <c r="A5822" s="11" t="s">
        <v>151</v>
      </c>
    </row>
    <row r="5823">
      <c r="A5823" s="11" t="s">
        <v>16</v>
      </c>
    </row>
    <row r="5824">
      <c r="A5824" s="16">
        <v>1.0</v>
      </c>
    </row>
    <row r="5825">
      <c r="A5825" s="11" t="s">
        <v>25</v>
      </c>
    </row>
    <row r="5826">
      <c r="A5826" s="11" t="s">
        <v>26</v>
      </c>
    </row>
    <row r="5827">
      <c r="A5827" s="11" t="s">
        <v>17</v>
      </c>
    </row>
    <row r="5828">
      <c r="A5828" s="11">
        <v>495.0</v>
      </c>
    </row>
    <row r="5829">
      <c r="A5829" s="11" t="s">
        <v>18</v>
      </c>
    </row>
    <row r="5830">
      <c r="A5830" s="11" t="s">
        <v>2492</v>
      </c>
    </row>
    <row r="5831">
      <c r="A5831" s="11" t="s">
        <v>142</v>
      </c>
    </row>
    <row r="5832">
      <c r="A5832" s="11" t="s">
        <v>2493</v>
      </c>
    </row>
    <row r="5833">
      <c r="A5833" s="11" t="s">
        <v>31</v>
      </c>
    </row>
    <row r="5834">
      <c r="A5834" s="11" t="s">
        <v>151</v>
      </c>
    </row>
    <row r="5835">
      <c r="A5835" s="11" t="s">
        <v>16</v>
      </c>
    </row>
    <row r="5836">
      <c r="A5836" s="11" t="s">
        <v>151</v>
      </c>
    </row>
    <row r="5837">
      <c r="A5837" s="11" t="s">
        <v>25</v>
      </c>
    </row>
    <row r="5838">
      <c r="A5838" s="11" t="s">
        <v>26</v>
      </c>
    </row>
    <row r="5839">
      <c r="A5839" s="11" t="s">
        <v>17</v>
      </c>
    </row>
    <row r="5840">
      <c r="A5840" s="11">
        <v>496.0</v>
      </c>
    </row>
    <row r="5841">
      <c r="A5841" s="11" t="s">
        <v>18</v>
      </c>
    </row>
    <row r="5842">
      <c r="A5842" s="11" t="s">
        <v>2495</v>
      </c>
    </row>
    <row r="5843">
      <c r="A5843" s="11" t="s">
        <v>119</v>
      </c>
    </row>
    <row r="5844">
      <c r="A5844" s="11" t="s">
        <v>2497</v>
      </c>
    </row>
    <row r="5845">
      <c r="A5845" s="11" t="s">
        <v>121</v>
      </c>
    </row>
    <row r="5846">
      <c r="A5846" s="11" t="s">
        <v>151</v>
      </c>
    </row>
    <row r="5847">
      <c r="A5847" s="11" t="s">
        <v>16</v>
      </c>
    </row>
    <row r="5848">
      <c r="A5848" s="11" t="s">
        <v>151</v>
      </c>
    </row>
    <row r="5849">
      <c r="A5849" s="11" t="s">
        <v>25</v>
      </c>
    </row>
    <row r="5850">
      <c r="A5850" s="11" t="s">
        <v>26</v>
      </c>
    </row>
    <row r="5851">
      <c r="A5851" s="11" t="s">
        <v>17</v>
      </c>
    </row>
    <row r="5852">
      <c r="A5852" s="11">
        <v>497.0</v>
      </c>
    </row>
    <row r="5853">
      <c r="A5853" s="11" t="s">
        <v>18</v>
      </c>
    </row>
    <row r="5854">
      <c r="A5854" s="11" t="s">
        <v>2500</v>
      </c>
    </row>
    <row r="5855">
      <c r="A5855" s="11" t="s">
        <v>266</v>
      </c>
    </row>
    <row r="5856">
      <c r="A5856" s="11" t="s">
        <v>2501</v>
      </c>
    </row>
    <row r="5857">
      <c r="A5857" s="11" t="s">
        <v>44</v>
      </c>
    </row>
    <row r="5858">
      <c r="A5858" s="11" t="s">
        <v>151</v>
      </c>
    </row>
    <row r="5859">
      <c r="A5859" s="11" t="s">
        <v>16</v>
      </c>
    </row>
    <row r="5860">
      <c r="A5860" s="11" t="s">
        <v>151</v>
      </c>
    </row>
    <row r="5861">
      <c r="A5861" s="11" t="s">
        <v>25</v>
      </c>
    </row>
    <row r="5862">
      <c r="A5862" s="11" t="s">
        <v>26</v>
      </c>
    </row>
    <row r="5863">
      <c r="A5863" s="11" t="s">
        <v>17</v>
      </c>
    </row>
    <row r="5864">
      <c r="A5864" s="11">
        <v>498.0</v>
      </c>
    </row>
    <row r="5865">
      <c r="A5865" s="11" t="s">
        <v>18</v>
      </c>
    </row>
    <row r="5866">
      <c r="A5866" s="11" t="s">
        <v>2505</v>
      </c>
    </row>
    <row r="5867">
      <c r="A5867" s="11" t="s">
        <v>113</v>
      </c>
    </row>
    <row r="5868">
      <c r="A5868" s="11" t="s">
        <v>2507</v>
      </c>
    </row>
    <row r="5869">
      <c r="A5869" s="11" t="s">
        <v>117</v>
      </c>
    </row>
    <row r="5870">
      <c r="A5870" s="11" t="s">
        <v>151</v>
      </c>
    </row>
    <row r="5871">
      <c r="A5871" s="11" t="s">
        <v>16</v>
      </c>
    </row>
    <row r="5872">
      <c r="A5872" s="11" t="s">
        <v>151</v>
      </c>
    </row>
    <row r="5873">
      <c r="A5873" s="11" t="s">
        <v>25</v>
      </c>
    </row>
    <row r="5874">
      <c r="A5874" s="11" t="s">
        <v>26</v>
      </c>
    </row>
    <row r="5875">
      <c r="A5875" s="11" t="s">
        <v>17</v>
      </c>
    </row>
    <row r="5876">
      <c r="A5876" s="11">
        <v>499.0</v>
      </c>
    </row>
    <row r="5877">
      <c r="A5877" s="11" t="s">
        <v>18</v>
      </c>
    </row>
    <row r="5878">
      <c r="A5878" s="11" t="s">
        <v>2509</v>
      </c>
    </row>
    <row r="5879">
      <c r="A5879" s="11" t="s">
        <v>119</v>
      </c>
    </row>
    <row r="5880">
      <c r="A5880" s="11" t="s">
        <v>2510</v>
      </c>
    </row>
    <row r="5881">
      <c r="A5881" s="11" t="s">
        <v>121</v>
      </c>
    </row>
    <row r="5882">
      <c r="A5882" s="11" t="s">
        <v>151</v>
      </c>
    </row>
    <row r="5883">
      <c r="A5883" s="11" t="s">
        <v>16</v>
      </c>
    </row>
    <row r="5884">
      <c r="A5884" s="16">
        <v>1.0</v>
      </c>
    </row>
    <row r="5885">
      <c r="A5885" s="11" t="s">
        <v>25</v>
      </c>
    </row>
    <row r="5886">
      <c r="A5886" s="11" t="s">
        <v>26</v>
      </c>
    </row>
    <row r="5887">
      <c r="A5887" s="11" t="s">
        <v>17</v>
      </c>
    </row>
    <row r="5888">
      <c r="A5888" s="11">
        <v>500.0</v>
      </c>
    </row>
    <row r="5889">
      <c r="A5889" s="11" t="s">
        <v>2514</v>
      </c>
    </row>
    <row r="5890">
      <c r="A5890" s="11" t="s">
        <v>125</v>
      </c>
    </row>
    <row r="5891">
      <c r="A5891" s="11" t="s">
        <v>2515</v>
      </c>
    </row>
    <row r="5892">
      <c r="A5892" s="11" t="s">
        <v>37</v>
      </c>
    </row>
    <row r="5893">
      <c r="A5893" s="11" t="s">
        <v>151</v>
      </c>
    </row>
    <row r="5894">
      <c r="A5894" s="11" t="s">
        <v>16</v>
      </c>
    </row>
    <row r="5895">
      <c r="A5895" s="11" t="s">
        <v>151</v>
      </c>
    </row>
    <row r="5896">
      <c r="A5896" s="11" t="s">
        <v>25</v>
      </c>
    </row>
    <row r="5897">
      <c r="A5897" s="11" t="s">
        <v>26</v>
      </c>
    </row>
    <row r="5898">
      <c r="A5898" s="11" t="s">
        <v>17</v>
      </c>
    </row>
    <row r="5899">
      <c r="A5899" s="11">
        <v>501.0</v>
      </c>
    </row>
    <row r="5900">
      <c r="A5900" s="11" t="s">
        <v>2517</v>
      </c>
    </row>
    <row r="5901">
      <c r="A5901" s="11" t="s">
        <v>206</v>
      </c>
    </row>
    <row r="5902">
      <c r="A5902" s="11" t="s">
        <v>2519</v>
      </c>
    </row>
    <row r="5903">
      <c r="A5903" s="11" t="s">
        <v>37</v>
      </c>
    </row>
    <row r="5904">
      <c r="A5904" s="11" t="s">
        <v>151</v>
      </c>
    </row>
    <row r="5905">
      <c r="A5905" s="11" t="s">
        <v>16</v>
      </c>
    </row>
    <row r="5906">
      <c r="A5906" s="11" t="s">
        <v>151</v>
      </c>
    </row>
    <row r="5907">
      <c r="A5907" s="11" t="s">
        <v>25</v>
      </c>
    </row>
    <row r="5908">
      <c r="A5908" s="11" t="s">
        <v>26</v>
      </c>
    </row>
    <row r="5909">
      <c r="A5909" s="11" t="s">
        <v>17</v>
      </c>
    </row>
    <row r="5910">
      <c r="A5910" s="11">
        <v>502.0</v>
      </c>
    </row>
    <row r="5911">
      <c r="A5911" s="11" t="s">
        <v>18</v>
      </c>
    </row>
    <row r="5912">
      <c r="A5912" s="11" t="s">
        <v>2521</v>
      </c>
    </row>
    <row r="5913">
      <c r="A5913" s="11" t="s">
        <v>159</v>
      </c>
    </row>
    <row r="5914">
      <c r="A5914" s="11" t="s">
        <v>2524</v>
      </c>
    </row>
    <row r="5915">
      <c r="A5915" s="11" t="s">
        <v>31</v>
      </c>
    </row>
    <row r="5916">
      <c r="A5916" s="11" t="s">
        <v>151</v>
      </c>
    </row>
    <row r="5917">
      <c r="A5917" s="11" t="s">
        <v>16</v>
      </c>
    </row>
    <row r="5918">
      <c r="A5918" s="16">
        <v>2.0</v>
      </c>
    </row>
    <row r="5919">
      <c r="A5919" s="11" t="s">
        <v>25</v>
      </c>
    </row>
    <row r="5920">
      <c r="A5920" s="11" t="s">
        <v>26</v>
      </c>
    </row>
    <row r="5921">
      <c r="A5921" s="11" t="s">
        <v>17</v>
      </c>
    </row>
    <row r="5922">
      <c r="A5922" s="11">
        <v>503.0</v>
      </c>
    </row>
    <row r="5923">
      <c r="A5923" s="11" t="s">
        <v>2526</v>
      </c>
    </row>
    <row r="5924">
      <c r="A5924" s="11" t="s">
        <v>166</v>
      </c>
    </row>
    <row r="5925">
      <c r="A5925" s="11" t="s">
        <v>2527</v>
      </c>
    </row>
    <row r="5926">
      <c r="A5926" s="11" t="s">
        <v>44</v>
      </c>
    </row>
    <row r="5927">
      <c r="A5927" s="11" t="s">
        <v>151</v>
      </c>
    </row>
    <row r="5928">
      <c r="A5928" s="11" t="s">
        <v>16</v>
      </c>
    </row>
    <row r="5929">
      <c r="A5929" s="11" t="s">
        <v>151</v>
      </c>
    </row>
    <row r="5930">
      <c r="A5930" s="11" t="s">
        <v>25</v>
      </c>
    </row>
    <row r="5931">
      <c r="A5931" s="11" t="s">
        <v>26</v>
      </c>
    </row>
    <row r="5932">
      <c r="A5932" s="11" t="s">
        <v>17</v>
      </c>
    </row>
    <row r="5933">
      <c r="A5933" s="11">
        <v>504.0</v>
      </c>
    </row>
    <row r="5934">
      <c r="A5934" s="11" t="s">
        <v>18</v>
      </c>
    </row>
    <row r="5935">
      <c r="A5935" s="11" t="s">
        <v>2530</v>
      </c>
    </row>
    <row r="5936">
      <c r="A5936" s="11" t="s">
        <v>248</v>
      </c>
    </row>
    <row r="5937">
      <c r="A5937" s="11" t="s">
        <v>2532</v>
      </c>
    </row>
    <row r="5938">
      <c r="A5938" s="11" t="s">
        <v>98</v>
      </c>
    </row>
    <row r="5939">
      <c r="A5939" s="11" t="s">
        <v>151</v>
      </c>
    </row>
    <row r="5940">
      <c r="A5940" s="11" t="s">
        <v>16</v>
      </c>
    </row>
    <row r="5941">
      <c r="A5941" s="11" t="s">
        <v>151</v>
      </c>
    </row>
    <row r="5942">
      <c r="A5942" s="11" t="s">
        <v>25</v>
      </c>
    </row>
    <row r="5943">
      <c r="A5943" s="11" t="s">
        <v>26</v>
      </c>
    </row>
    <row r="5944">
      <c r="A5944" s="11" t="s">
        <v>17</v>
      </c>
    </row>
    <row r="5945">
      <c r="A5945" s="11">
        <v>505.0</v>
      </c>
    </row>
    <row r="5946">
      <c r="A5946" s="11" t="s">
        <v>2534</v>
      </c>
    </row>
    <row r="5947">
      <c r="A5947" s="11" t="s">
        <v>351</v>
      </c>
    </row>
    <row r="5948">
      <c r="A5948" s="11" t="s">
        <v>2535</v>
      </c>
    </row>
    <row r="5949">
      <c r="A5949" s="11" t="s">
        <v>62</v>
      </c>
    </row>
    <row r="5950">
      <c r="A5950" s="11" t="s">
        <v>151</v>
      </c>
    </row>
    <row r="5951">
      <c r="A5951" s="11" t="s">
        <v>16</v>
      </c>
    </row>
    <row r="5952">
      <c r="A5952" s="11" t="s">
        <v>151</v>
      </c>
    </row>
    <row r="5953">
      <c r="A5953" s="11" t="s">
        <v>25</v>
      </c>
    </row>
    <row r="5954">
      <c r="A5954" s="11" t="s">
        <v>26</v>
      </c>
    </row>
    <row r="5955">
      <c r="A5955" s="11" t="s">
        <v>17</v>
      </c>
    </row>
    <row r="5956">
      <c r="A5956" s="11">
        <v>506.0</v>
      </c>
    </row>
    <row r="5957">
      <c r="A5957" s="11" t="s">
        <v>18</v>
      </c>
    </row>
    <row r="5958">
      <c r="A5958" s="11" t="s">
        <v>2540</v>
      </c>
    </row>
    <row r="5959">
      <c r="A5959" s="11" t="s">
        <v>236</v>
      </c>
    </row>
    <row r="5960">
      <c r="A5960" s="11" t="s">
        <v>2541</v>
      </c>
    </row>
    <row r="5961">
      <c r="A5961" s="11" t="s">
        <v>31</v>
      </c>
    </row>
    <row r="5962">
      <c r="A5962" s="11" t="s">
        <v>151</v>
      </c>
    </row>
    <row r="5963">
      <c r="A5963" s="11" t="s">
        <v>16</v>
      </c>
    </row>
    <row r="5964">
      <c r="A5964" s="11" t="s">
        <v>151</v>
      </c>
    </row>
    <row r="5965">
      <c r="A5965" s="11" t="s">
        <v>25</v>
      </c>
    </row>
    <row r="5966">
      <c r="A5966" s="11" t="s">
        <v>26</v>
      </c>
    </row>
    <row r="5967">
      <c r="A5967" s="11" t="s">
        <v>17</v>
      </c>
    </row>
    <row r="5968">
      <c r="A5968" s="11">
        <v>507.0</v>
      </c>
    </row>
    <row r="5969">
      <c r="A5969" s="11" t="s">
        <v>18</v>
      </c>
    </row>
    <row r="5970">
      <c r="A5970" s="11" t="s">
        <v>2542</v>
      </c>
    </row>
    <row r="5971">
      <c r="A5971" s="11" t="s">
        <v>35</v>
      </c>
    </row>
    <row r="5972">
      <c r="A5972" s="11" t="s">
        <v>2544</v>
      </c>
    </row>
    <row r="5973">
      <c r="A5973" s="11" t="s">
        <v>37</v>
      </c>
    </row>
    <row r="5974">
      <c r="A5974" s="11" t="s">
        <v>151</v>
      </c>
    </row>
    <row r="5975">
      <c r="A5975" s="11" t="s">
        <v>16</v>
      </c>
    </row>
    <row r="5976">
      <c r="A5976" s="11" t="s">
        <v>151</v>
      </c>
    </row>
    <row r="5977">
      <c r="A5977" s="11" t="s">
        <v>25</v>
      </c>
    </row>
    <row r="5978">
      <c r="A5978" s="11" t="s">
        <v>26</v>
      </c>
    </row>
    <row r="5979">
      <c r="A5979" s="11" t="s">
        <v>17</v>
      </c>
    </row>
    <row r="5980">
      <c r="A5980" s="11">
        <v>508.0</v>
      </c>
    </row>
    <row r="5981">
      <c r="A5981" s="11" t="s">
        <v>18</v>
      </c>
    </row>
    <row r="5982">
      <c r="A5982" s="11" t="s">
        <v>2549</v>
      </c>
    </row>
    <row r="5983">
      <c r="A5983" s="11" t="s">
        <v>42</v>
      </c>
    </row>
    <row r="5984">
      <c r="A5984" s="11" t="s">
        <v>2550</v>
      </c>
    </row>
    <row r="5985">
      <c r="A5985" s="11" t="s">
        <v>44</v>
      </c>
    </row>
    <row r="5986">
      <c r="A5986" s="11" t="s">
        <v>151</v>
      </c>
    </row>
    <row r="5987">
      <c r="A5987" s="11" t="s">
        <v>16</v>
      </c>
    </row>
    <row r="5988">
      <c r="A5988" s="11" t="s">
        <v>151</v>
      </c>
    </row>
    <row r="5989">
      <c r="A5989" s="11" t="s">
        <v>25</v>
      </c>
    </row>
    <row r="5990">
      <c r="A5990" s="11" t="s">
        <v>26</v>
      </c>
    </row>
    <row r="5991">
      <c r="A5991" s="11" t="s">
        <v>17</v>
      </c>
    </row>
    <row r="5992">
      <c r="A5992" s="11">
        <v>509.0</v>
      </c>
    </row>
    <row r="5993">
      <c r="A5993" s="11" t="s">
        <v>2552</v>
      </c>
    </row>
    <row r="5994">
      <c r="A5994" s="11" t="s">
        <v>253</v>
      </c>
    </row>
    <row r="5995">
      <c r="A5995" s="11" t="s">
        <v>2553</v>
      </c>
    </row>
    <row r="5996">
      <c r="A5996" s="11" t="s">
        <v>121</v>
      </c>
    </row>
    <row r="5997">
      <c r="A5997" s="11" t="s">
        <v>151</v>
      </c>
    </row>
    <row r="5998">
      <c r="A5998" s="11" t="s">
        <v>16</v>
      </c>
    </row>
    <row r="5999">
      <c r="A5999" s="11" t="s">
        <v>151</v>
      </c>
    </row>
    <row r="6000">
      <c r="A6000" s="11" t="s">
        <v>25</v>
      </c>
    </row>
    <row r="6001">
      <c r="A6001" s="11" t="s">
        <v>26</v>
      </c>
    </row>
    <row r="6002">
      <c r="A6002" s="11" t="s">
        <v>17</v>
      </c>
    </row>
    <row r="6003">
      <c r="A6003" s="11">
        <v>510.0</v>
      </c>
    </row>
    <row r="6004">
      <c r="A6004" s="11" t="s">
        <v>18</v>
      </c>
    </row>
    <row r="6005">
      <c r="A6005" s="11" t="s">
        <v>2558</v>
      </c>
    </row>
    <row r="6006">
      <c r="A6006" s="11" t="s">
        <v>146</v>
      </c>
    </row>
    <row r="6007">
      <c r="A6007" s="11" t="s">
        <v>2559</v>
      </c>
    </row>
    <row r="6008">
      <c r="A6008" s="11" t="s">
        <v>117</v>
      </c>
    </row>
    <row r="6009">
      <c r="A6009" s="11" t="s">
        <v>151</v>
      </c>
    </row>
    <row r="6010">
      <c r="A6010" s="11" t="s">
        <v>16</v>
      </c>
    </row>
    <row r="6011">
      <c r="A6011" s="11" t="s">
        <v>151</v>
      </c>
    </row>
    <row r="6012">
      <c r="A6012" s="11" t="s">
        <v>25</v>
      </c>
    </row>
    <row r="6013">
      <c r="A6013" s="11" t="s">
        <v>26</v>
      </c>
    </row>
    <row r="6014">
      <c r="A6014" s="11" t="s">
        <v>17</v>
      </c>
    </row>
    <row r="6015">
      <c r="A6015" s="11">
        <v>511.0</v>
      </c>
    </row>
    <row r="6016">
      <c r="A6016" s="11" t="s">
        <v>18</v>
      </c>
    </row>
    <row r="6017">
      <c r="A6017" s="11" t="s">
        <v>2562</v>
      </c>
    </row>
    <row r="6018">
      <c r="A6018" s="11" t="s">
        <v>166</v>
      </c>
    </row>
    <row r="6019">
      <c r="A6019" s="11" t="s">
        <v>2563</v>
      </c>
    </row>
    <row r="6020">
      <c r="A6020" s="11" t="s">
        <v>44</v>
      </c>
    </row>
    <row r="6021">
      <c r="A6021" s="11" t="s">
        <v>151</v>
      </c>
    </row>
    <row r="6022">
      <c r="A6022" s="11" t="s">
        <v>16</v>
      </c>
    </row>
    <row r="6023">
      <c r="A6023" s="11" t="s">
        <v>151</v>
      </c>
    </row>
    <row r="6024">
      <c r="A6024" s="11" t="s">
        <v>25</v>
      </c>
    </row>
    <row r="6025">
      <c r="A6025" s="11" t="s">
        <v>26</v>
      </c>
    </row>
    <row r="6026">
      <c r="A6026" s="11" t="s">
        <v>17</v>
      </c>
    </row>
    <row r="6027">
      <c r="A6027" s="11">
        <v>512.0</v>
      </c>
    </row>
    <row r="6028">
      <c r="A6028" s="11" t="s">
        <v>18</v>
      </c>
    </row>
    <row r="6029">
      <c r="A6029" s="11" t="s">
        <v>2568</v>
      </c>
    </row>
    <row r="6030">
      <c r="A6030" s="11" t="s">
        <v>142</v>
      </c>
    </row>
    <row r="6031">
      <c r="A6031" s="11" t="s">
        <v>2569</v>
      </c>
    </row>
    <row r="6032">
      <c r="A6032" s="11" t="s">
        <v>31</v>
      </c>
    </row>
    <row r="6033">
      <c r="A6033" s="11" t="s">
        <v>151</v>
      </c>
    </row>
    <row r="6034">
      <c r="A6034" s="11" t="s">
        <v>16</v>
      </c>
    </row>
    <row r="6035">
      <c r="A6035" s="11" t="s">
        <v>151</v>
      </c>
    </row>
    <row r="6036">
      <c r="A6036" s="11" t="s">
        <v>25</v>
      </c>
    </row>
    <row r="6037">
      <c r="A6037" s="11" t="s">
        <v>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/>
      <c r="B1" s="23"/>
      <c r="C1" s="25" t="s">
        <v>75</v>
      </c>
      <c r="G1" s="25" t="s">
        <v>81</v>
      </c>
      <c r="K1" s="25" t="s">
        <v>5</v>
      </c>
    </row>
    <row r="2">
      <c r="A2" s="26" t="s">
        <v>84</v>
      </c>
      <c r="B2" s="27" t="s">
        <v>87</v>
      </c>
      <c r="C2" s="28" t="s">
        <v>16</v>
      </c>
      <c r="D2" s="26" t="s">
        <v>90</v>
      </c>
      <c r="E2" s="26" t="s">
        <v>91</v>
      </c>
      <c r="F2" s="26" t="s">
        <v>92</v>
      </c>
      <c r="G2" s="28" t="s">
        <v>16</v>
      </c>
      <c r="H2" s="26" t="s">
        <v>90</v>
      </c>
      <c r="I2" s="26" t="s">
        <v>91</v>
      </c>
      <c r="J2" s="26" t="s">
        <v>92</v>
      </c>
      <c r="K2" s="28" t="s">
        <v>16</v>
      </c>
      <c r="L2" s="26" t="s">
        <v>90</v>
      </c>
      <c r="M2" s="26" t="s">
        <v>91</v>
      </c>
      <c r="N2" s="26" t="s">
        <v>92</v>
      </c>
    </row>
    <row r="3">
      <c r="A3" s="29">
        <v>1.0</v>
      </c>
      <c r="B3" s="31" t="s">
        <v>103</v>
      </c>
      <c r="C3" s="32">
        <v>1.0</v>
      </c>
      <c r="D3" s="29" t="s">
        <v>21</v>
      </c>
      <c r="E3" s="33">
        <f t="shared" ref="E3:E4" si="1">+0</f>
        <v>0</v>
      </c>
      <c r="F3" s="34"/>
      <c r="G3" s="32">
        <v>1.0</v>
      </c>
      <c r="H3" s="29" t="s">
        <v>21</v>
      </c>
      <c r="I3" s="33">
        <f t="shared" ref="I3:I4" si="2">+0</f>
        <v>0</v>
      </c>
      <c r="J3" s="34"/>
      <c r="K3" s="32">
        <v>2.0</v>
      </c>
      <c r="L3" s="29" t="s">
        <v>32</v>
      </c>
      <c r="M3" s="35">
        <f>+1</f>
        <v>1</v>
      </c>
      <c r="N3" s="34"/>
    </row>
    <row r="4">
      <c r="A4" s="29">
        <v>2.0</v>
      </c>
      <c r="B4" s="31" t="s">
        <v>140</v>
      </c>
      <c r="C4" s="32">
        <v>2.0</v>
      </c>
      <c r="D4" s="29" t="s">
        <v>32</v>
      </c>
      <c r="E4" s="33">
        <f t="shared" si="1"/>
        <v>0</v>
      </c>
      <c r="F4" s="34"/>
      <c r="G4" s="32">
        <v>2.0</v>
      </c>
      <c r="H4" s="29" t="s">
        <v>32</v>
      </c>
      <c r="I4" s="33">
        <f t="shared" si="2"/>
        <v>0</v>
      </c>
      <c r="J4" s="34"/>
      <c r="K4" s="32">
        <v>1.0</v>
      </c>
      <c r="L4" s="29" t="s">
        <v>21</v>
      </c>
      <c r="M4" s="36">
        <v>-1.0</v>
      </c>
      <c r="N4" s="34"/>
    </row>
    <row r="5">
      <c r="A5" s="29">
        <v>3.0</v>
      </c>
      <c r="B5" s="31" t="s">
        <v>158</v>
      </c>
      <c r="C5" s="32">
        <v>6.0</v>
      </c>
      <c r="D5" s="29" t="s">
        <v>38</v>
      </c>
      <c r="E5" s="35">
        <f>+3</f>
        <v>3</v>
      </c>
      <c r="F5" s="34"/>
      <c r="G5" s="32">
        <v>7.0</v>
      </c>
      <c r="H5" s="29" t="s">
        <v>60</v>
      </c>
      <c r="I5" s="35">
        <f>+4</f>
        <v>4</v>
      </c>
      <c r="J5" s="34"/>
      <c r="K5" s="32">
        <v>9.0</v>
      </c>
      <c r="L5" s="29" t="s">
        <v>60</v>
      </c>
      <c r="M5" s="35">
        <f>+6</f>
        <v>6</v>
      </c>
      <c r="N5" s="34"/>
    </row>
    <row r="6">
      <c r="A6" s="29">
        <v>4.0</v>
      </c>
      <c r="B6" s="31" t="s">
        <v>180</v>
      </c>
      <c r="C6" s="32">
        <v>8.0</v>
      </c>
      <c r="D6" s="29" t="s">
        <v>60</v>
      </c>
      <c r="E6" s="35">
        <f>+4</f>
        <v>4</v>
      </c>
      <c r="F6" s="34"/>
      <c r="G6" s="32">
        <v>4.0</v>
      </c>
      <c r="H6" s="29" t="s">
        <v>38</v>
      </c>
      <c r="I6" s="33">
        <f>+0</f>
        <v>0</v>
      </c>
      <c r="J6" s="34"/>
      <c r="K6" s="32">
        <v>6.0</v>
      </c>
      <c r="L6" s="29" t="s">
        <v>38</v>
      </c>
      <c r="M6" s="35">
        <f>+2</f>
        <v>2</v>
      </c>
      <c r="N6" s="34"/>
    </row>
    <row r="7">
      <c r="A7" s="29">
        <v>5.0</v>
      </c>
      <c r="B7" s="31" t="s">
        <v>203</v>
      </c>
      <c r="C7" s="32">
        <v>10.0</v>
      </c>
      <c r="D7" s="29" t="s">
        <v>82</v>
      </c>
      <c r="E7" s="35">
        <f>+5</f>
        <v>5</v>
      </c>
      <c r="F7" s="34"/>
      <c r="G7" s="32">
        <v>8.0</v>
      </c>
      <c r="H7" s="29" t="s">
        <v>82</v>
      </c>
      <c r="I7" s="35">
        <f>+3</f>
        <v>3</v>
      </c>
      <c r="J7" s="34"/>
      <c r="K7" s="32">
        <v>10.0</v>
      </c>
      <c r="L7" s="29" t="s">
        <v>82</v>
      </c>
      <c r="M7" s="35">
        <f>+5</f>
        <v>5</v>
      </c>
      <c r="N7" s="34"/>
    </row>
    <row r="8">
      <c r="A8" s="29">
        <v>6.0</v>
      </c>
      <c r="B8" s="31" t="s">
        <v>221</v>
      </c>
      <c r="C8" s="32">
        <v>7.0</v>
      </c>
      <c r="D8" s="29" t="s">
        <v>95</v>
      </c>
      <c r="E8" s="35">
        <f>+1</f>
        <v>1</v>
      </c>
      <c r="F8" s="34"/>
      <c r="G8" s="32">
        <v>6.0</v>
      </c>
      <c r="H8" s="29" t="s">
        <v>70</v>
      </c>
      <c r="I8" s="33">
        <f>+0</f>
        <v>0</v>
      </c>
      <c r="J8" s="34"/>
      <c r="K8" s="32">
        <v>5.0</v>
      </c>
      <c r="L8" s="29" t="s">
        <v>70</v>
      </c>
      <c r="M8" s="36">
        <v>-1.0</v>
      </c>
      <c r="N8" s="34"/>
    </row>
    <row r="9">
      <c r="A9" s="29">
        <v>7.0</v>
      </c>
      <c r="B9" s="31" t="s">
        <v>241</v>
      </c>
      <c r="C9" s="32">
        <v>5.0</v>
      </c>
      <c r="D9" s="29" t="s">
        <v>70</v>
      </c>
      <c r="E9" s="36">
        <v>-2.0</v>
      </c>
      <c r="F9" s="34"/>
      <c r="G9" s="32">
        <v>5.0</v>
      </c>
      <c r="H9" s="29" t="s">
        <v>55</v>
      </c>
      <c r="I9" s="36">
        <v>-2.0</v>
      </c>
      <c r="J9" s="34"/>
      <c r="K9" s="32">
        <v>4.0</v>
      </c>
      <c r="L9" s="29" t="s">
        <v>55</v>
      </c>
      <c r="M9" s="36">
        <v>-3.0</v>
      </c>
      <c r="N9" s="34"/>
    </row>
    <row r="10">
      <c r="A10" s="29">
        <v>8.0</v>
      </c>
      <c r="B10" s="31" t="s">
        <v>252</v>
      </c>
      <c r="C10" s="32">
        <v>3.0</v>
      </c>
      <c r="D10" s="29" t="s">
        <v>46</v>
      </c>
      <c r="E10" s="36">
        <v>-5.0</v>
      </c>
      <c r="F10" s="34"/>
      <c r="G10" s="32">
        <v>3.0</v>
      </c>
      <c r="H10" s="29" t="s">
        <v>46</v>
      </c>
      <c r="I10" s="36">
        <v>-5.0</v>
      </c>
      <c r="J10" s="34"/>
      <c r="K10" s="32">
        <v>3.0</v>
      </c>
      <c r="L10" s="29" t="s">
        <v>46</v>
      </c>
      <c r="M10" s="36">
        <v>-5.0</v>
      </c>
      <c r="N10" s="34"/>
    </row>
    <row r="11">
      <c r="A11" s="29">
        <v>9.0</v>
      </c>
      <c r="B11" s="31" t="s">
        <v>270</v>
      </c>
      <c r="C11" s="32">
        <v>4.0</v>
      </c>
      <c r="D11" s="29" t="s">
        <v>55</v>
      </c>
      <c r="E11" s="36">
        <v>-5.0</v>
      </c>
      <c r="F11" s="34"/>
      <c r="G11" s="32">
        <v>11.0</v>
      </c>
      <c r="H11" s="29" t="s">
        <v>110</v>
      </c>
      <c r="I11" s="35">
        <f>+2</f>
        <v>2</v>
      </c>
      <c r="J11" s="34"/>
      <c r="K11" s="32">
        <v>7.0</v>
      </c>
      <c r="L11" s="29" t="s">
        <v>95</v>
      </c>
      <c r="M11" s="36">
        <v>-2.0</v>
      </c>
      <c r="N11" s="34"/>
    </row>
    <row r="12">
      <c r="A12" s="29">
        <v>10.0</v>
      </c>
      <c r="B12" s="31" t="s">
        <v>285</v>
      </c>
      <c r="C12" s="32">
        <v>16.0</v>
      </c>
      <c r="D12" s="29" t="s">
        <v>109</v>
      </c>
      <c r="E12" s="35">
        <f>+6</f>
        <v>6</v>
      </c>
      <c r="F12" s="34"/>
      <c r="G12" s="32">
        <v>15.0</v>
      </c>
      <c r="H12" s="29" t="s">
        <v>144</v>
      </c>
      <c r="I12" s="35">
        <f>+5</f>
        <v>5</v>
      </c>
      <c r="J12" s="34"/>
      <c r="K12" s="32">
        <v>18.0</v>
      </c>
      <c r="L12" s="29" t="s">
        <v>144</v>
      </c>
      <c r="M12" s="35">
        <f>+8</f>
        <v>8</v>
      </c>
      <c r="N12" s="34"/>
    </row>
    <row r="13">
      <c r="A13" s="29">
        <v>11.0</v>
      </c>
      <c r="B13" s="31" t="s">
        <v>309</v>
      </c>
      <c r="C13" s="32">
        <v>22.0</v>
      </c>
      <c r="D13" s="29" t="s">
        <v>179</v>
      </c>
      <c r="E13" s="35">
        <f>+11</f>
        <v>11</v>
      </c>
      <c r="F13" s="34"/>
      <c r="G13" s="32">
        <v>13.0</v>
      </c>
      <c r="H13" s="29" t="s">
        <v>109</v>
      </c>
      <c r="I13" s="35">
        <f>+2</f>
        <v>2</v>
      </c>
      <c r="J13" s="34"/>
      <c r="K13" s="32">
        <v>15.0</v>
      </c>
      <c r="L13" s="29" t="s">
        <v>109</v>
      </c>
      <c r="M13" s="35">
        <f>+4</f>
        <v>4</v>
      </c>
      <c r="N13" s="34"/>
    </row>
    <row r="14">
      <c r="A14" s="29">
        <v>12.0</v>
      </c>
      <c r="B14" s="31" t="s">
        <v>330</v>
      </c>
      <c r="C14" s="32">
        <v>30.0</v>
      </c>
      <c r="D14" s="29" t="s">
        <v>261</v>
      </c>
      <c r="E14" s="35">
        <f>+18</f>
        <v>18</v>
      </c>
      <c r="F14" s="34"/>
      <c r="G14" s="32">
        <v>18.0</v>
      </c>
      <c r="H14" s="29" t="s">
        <v>155</v>
      </c>
      <c r="I14" s="35">
        <f>+6</f>
        <v>6</v>
      </c>
      <c r="J14" s="34"/>
      <c r="K14" s="32">
        <v>20.0</v>
      </c>
      <c r="L14" s="29" t="s">
        <v>155</v>
      </c>
      <c r="M14" s="35">
        <f>+8</f>
        <v>8</v>
      </c>
      <c r="N14" s="34"/>
    </row>
    <row r="15">
      <c r="A15" s="29">
        <v>13.0</v>
      </c>
      <c r="B15" s="31" t="s">
        <v>348</v>
      </c>
      <c r="C15" s="32">
        <v>12.0</v>
      </c>
      <c r="D15" s="29" t="s">
        <v>128</v>
      </c>
      <c r="E15" s="36">
        <v>-1.0</v>
      </c>
      <c r="F15" s="34"/>
      <c r="G15" s="32">
        <v>12.0</v>
      </c>
      <c r="H15" s="29" t="s">
        <v>128</v>
      </c>
      <c r="I15" s="36">
        <v>-1.0</v>
      </c>
      <c r="J15" s="34"/>
      <c r="K15" s="32">
        <v>14.0</v>
      </c>
      <c r="L15" s="29" t="s">
        <v>168</v>
      </c>
      <c r="M15" s="35">
        <f>+1</f>
        <v>1</v>
      </c>
      <c r="N15" s="34"/>
    </row>
    <row r="16">
      <c r="A16" s="29">
        <v>14.0</v>
      </c>
      <c r="B16" s="31" t="s">
        <v>361</v>
      </c>
      <c r="C16" s="32">
        <v>11.0</v>
      </c>
      <c r="D16" s="29" t="s">
        <v>110</v>
      </c>
      <c r="E16" s="36">
        <v>-3.0</v>
      </c>
      <c r="F16" s="34"/>
      <c r="G16" s="32">
        <v>9.0</v>
      </c>
      <c r="H16" s="29" t="s">
        <v>95</v>
      </c>
      <c r="I16" s="36">
        <v>-5.0</v>
      </c>
      <c r="J16" s="34"/>
      <c r="K16" s="32">
        <v>11.0</v>
      </c>
      <c r="L16" s="29" t="s">
        <v>110</v>
      </c>
      <c r="M16" s="36">
        <v>-3.0</v>
      </c>
      <c r="N16" s="34"/>
    </row>
    <row r="17">
      <c r="A17" s="29">
        <v>15.0</v>
      </c>
      <c r="B17" s="31" t="s">
        <v>377</v>
      </c>
      <c r="C17" s="32">
        <v>29.0</v>
      </c>
      <c r="D17" s="29" t="s">
        <v>226</v>
      </c>
      <c r="E17" s="35">
        <f>+14</f>
        <v>14</v>
      </c>
      <c r="F17" s="34"/>
      <c r="G17" s="32">
        <v>27.0</v>
      </c>
      <c r="H17" s="29" t="s">
        <v>226</v>
      </c>
      <c r="I17" s="35">
        <f>+12</f>
        <v>12</v>
      </c>
      <c r="J17" s="34"/>
      <c r="K17" s="32">
        <v>26.0</v>
      </c>
      <c r="L17" s="29" t="s">
        <v>187</v>
      </c>
      <c r="M17" s="35">
        <f>+11</f>
        <v>11</v>
      </c>
      <c r="N17" s="34"/>
    </row>
    <row r="18">
      <c r="A18" s="29">
        <v>16.0</v>
      </c>
      <c r="B18" s="31" t="s">
        <v>392</v>
      </c>
      <c r="C18" s="32">
        <v>27.0</v>
      </c>
      <c r="D18" s="29" t="s">
        <v>195</v>
      </c>
      <c r="E18" s="35">
        <f>+11</f>
        <v>11</v>
      </c>
      <c r="F18" s="34"/>
      <c r="G18" s="32">
        <v>26.0</v>
      </c>
      <c r="H18" s="29" t="s">
        <v>195</v>
      </c>
      <c r="I18" s="35">
        <f>+10</f>
        <v>10</v>
      </c>
      <c r="J18" s="34"/>
      <c r="K18" s="32">
        <v>34.0</v>
      </c>
      <c r="L18" s="29" t="s">
        <v>261</v>
      </c>
      <c r="M18" s="35">
        <f>+18</f>
        <v>18</v>
      </c>
      <c r="N18" s="34"/>
    </row>
    <row r="19">
      <c r="A19" s="29">
        <v>17.0</v>
      </c>
      <c r="B19" s="31" t="s">
        <v>405</v>
      </c>
      <c r="C19" s="32">
        <v>14.0</v>
      </c>
      <c r="D19" s="29" t="s">
        <v>175</v>
      </c>
      <c r="E19" s="36">
        <v>-3.0</v>
      </c>
      <c r="F19" s="34"/>
      <c r="G19" s="32">
        <v>19.0</v>
      </c>
      <c r="H19" s="29" t="s">
        <v>175</v>
      </c>
      <c r="I19" s="35">
        <f>+2</f>
        <v>2</v>
      </c>
      <c r="J19" s="34"/>
      <c r="K19" s="32">
        <v>16.0</v>
      </c>
      <c r="L19" s="29" t="s">
        <v>175</v>
      </c>
      <c r="M19" s="36">
        <v>-1.0</v>
      </c>
      <c r="N19" s="34"/>
    </row>
    <row r="20">
      <c r="A20" s="29">
        <v>18.0</v>
      </c>
      <c r="B20" s="31" t="s">
        <v>417</v>
      </c>
      <c r="C20" s="32">
        <v>19.0</v>
      </c>
      <c r="D20" s="29" t="s">
        <v>144</v>
      </c>
      <c r="E20" s="35">
        <f>+1</f>
        <v>1</v>
      </c>
      <c r="F20" s="34"/>
      <c r="G20" s="32">
        <v>21.0</v>
      </c>
      <c r="H20" s="29" t="s">
        <v>179</v>
      </c>
      <c r="I20" s="35">
        <f>+3</f>
        <v>3</v>
      </c>
      <c r="J20" s="34"/>
      <c r="K20" s="32">
        <v>21.0</v>
      </c>
      <c r="L20" s="29" t="s">
        <v>179</v>
      </c>
      <c r="M20" s="35">
        <f>+3</f>
        <v>3</v>
      </c>
      <c r="N20" s="34"/>
    </row>
    <row r="21">
      <c r="A21" s="29">
        <v>19.0</v>
      </c>
      <c r="B21" s="31" t="s">
        <v>432</v>
      </c>
      <c r="C21" s="32">
        <v>24.0</v>
      </c>
      <c r="D21" s="29" t="s">
        <v>187</v>
      </c>
      <c r="E21" s="35">
        <f>+5</f>
        <v>5</v>
      </c>
      <c r="F21" s="34"/>
      <c r="G21" s="32">
        <v>25.0</v>
      </c>
      <c r="H21" s="29" t="s">
        <v>187</v>
      </c>
      <c r="I21" s="35">
        <f>+6</f>
        <v>6</v>
      </c>
      <c r="J21" s="34"/>
      <c r="K21" s="32">
        <v>28.0</v>
      </c>
      <c r="L21" s="29" t="s">
        <v>195</v>
      </c>
      <c r="M21" s="35">
        <f>+9</f>
        <v>9</v>
      </c>
      <c r="N21" s="34"/>
    </row>
    <row r="22">
      <c r="A22" s="29">
        <v>20.0</v>
      </c>
      <c r="B22" s="31" t="s">
        <v>450</v>
      </c>
      <c r="C22" s="32">
        <v>23.0</v>
      </c>
      <c r="D22" s="29" t="s">
        <v>220</v>
      </c>
      <c r="E22" s="35">
        <f>+3</f>
        <v>3</v>
      </c>
      <c r="F22" s="34"/>
      <c r="G22" s="32">
        <v>16.0</v>
      </c>
      <c r="H22" s="29" t="s">
        <v>168</v>
      </c>
      <c r="I22" s="36">
        <v>-4.0</v>
      </c>
      <c r="J22" s="34"/>
      <c r="K22" s="32">
        <v>24.0</v>
      </c>
      <c r="L22" s="29" t="s">
        <v>220</v>
      </c>
      <c r="M22" s="35">
        <f>+4</f>
        <v>4</v>
      </c>
      <c r="N22" s="34"/>
    </row>
    <row r="23">
      <c r="A23" s="29">
        <v>21.0</v>
      </c>
      <c r="B23" s="31" t="s">
        <v>464</v>
      </c>
      <c r="C23" s="32">
        <v>17.0</v>
      </c>
      <c r="D23" s="29" t="s">
        <v>191</v>
      </c>
      <c r="E23" s="36">
        <v>-4.0</v>
      </c>
      <c r="F23" s="34"/>
      <c r="G23" s="32">
        <v>14.0</v>
      </c>
      <c r="H23" s="29" t="s">
        <v>137</v>
      </c>
      <c r="I23" s="36">
        <v>-7.0</v>
      </c>
      <c r="J23" s="34"/>
      <c r="K23" s="32">
        <v>12.0</v>
      </c>
      <c r="L23" s="29" t="s">
        <v>128</v>
      </c>
      <c r="M23" s="36">
        <v>-9.0</v>
      </c>
      <c r="N23" s="34"/>
    </row>
    <row r="24">
      <c r="A24" s="29">
        <v>22.0</v>
      </c>
      <c r="B24" s="31" t="s">
        <v>475</v>
      </c>
      <c r="C24" s="32">
        <v>20.0</v>
      </c>
      <c r="D24" s="29" t="s">
        <v>155</v>
      </c>
      <c r="E24" s="36">
        <v>-2.0</v>
      </c>
      <c r="F24" s="34"/>
      <c r="G24" s="32">
        <v>33.0</v>
      </c>
      <c r="H24" s="29" t="s">
        <v>301</v>
      </c>
      <c r="I24" s="35">
        <f>+11</f>
        <v>11</v>
      </c>
      <c r="J24" s="34"/>
      <c r="K24" s="32">
        <v>35.0</v>
      </c>
      <c r="L24" s="29" t="s">
        <v>280</v>
      </c>
      <c r="M24" s="35">
        <f>+13</f>
        <v>13</v>
      </c>
      <c r="N24" s="34"/>
    </row>
    <row r="25">
      <c r="A25" s="29">
        <v>23.0</v>
      </c>
      <c r="B25" s="31" t="s">
        <v>488</v>
      </c>
      <c r="C25" s="32">
        <v>18.0</v>
      </c>
      <c r="D25" s="29" t="s">
        <v>207</v>
      </c>
      <c r="E25" s="36">
        <v>-5.0</v>
      </c>
      <c r="F25" s="34"/>
      <c r="G25" s="32">
        <v>29.0</v>
      </c>
      <c r="H25" s="29" t="s">
        <v>268</v>
      </c>
      <c r="I25" s="35">
        <f>+6</f>
        <v>6</v>
      </c>
      <c r="J25" s="34"/>
      <c r="K25" s="32">
        <v>22.0</v>
      </c>
      <c r="L25" s="29" t="s">
        <v>214</v>
      </c>
      <c r="M25" s="36">
        <v>-1.0</v>
      </c>
      <c r="N25" s="34"/>
    </row>
    <row r="26">
      <c r="A26" s="29">
        <v>24.0</v>
      </c>
      <c r="B26" s="31" t="s">
        <v>499</v>
      </c>
      <c r="C26" s="32">
        <v>9.0</v>
      </c>
      <c r="D26" s="29" t="s">
        <v>104</v>
      </c>
      <c r="E26" s="36">
        <v>-15.0</v>
      </c>
      <c r="F26" s="34"/>
      <c r="G26" s="32">
        <v>10.0</v>
      </c>
      <c r="H26" s="29" t="s">
        <v>104</v>
      </c>
      <c r="I26" s="36">
        <v>-14.0</v>
      </c>
      <c r="J26" s="34"/>
      <c r="K26" s="32">
        <v>8.0</v>
      </c>
      <c r="L26" s="29" t="s">
        <v>104</v>
      </c>
      <c r="M26" s="36">
        <v>-16.0</v>
      </c>
      <c r="N26" s="34"/>
    </row>
    <row r="27">
      <c r="A27" s="29">
        <v>25.0</v>
      </c>
      <c r="B27" s="31" t="s">
        <v>506</v>
      </c>
      <c r="C27" s="32">
        <v>41.0</v>
      </c>
      <c r="D27" s="29" t="s">
        <v>321</v>
      </c>
      <c r="E27" s="35">
        <f>+16</f>
        <v>16</v>
      </c>
      <c r="F27" s="34"/>
      <c r="G27" s="32">
        <v>36.0</v>
      </c>
      <c r="H27" s="29" t="s">
        <v>321</v>
      </c>
      <c r="I27" s="35">
        <f>+11</f>
        <v>11</v>
      </c>
      <c r="J27" s="34"/>
      <c r="K27" s="32">
        <v>37.0</v>
      </c>
      <c r="L27" s="29" t="s">
        <v>321</v>
      </c>
      <c r="M27" s="35">
        <f>+12</f>
        <v>12</v>
      </c>
      <c r="N27" s="34"/>
    </row>
    <row r="28">
      <c r="A28" s="29">
        <v>26.0</v>
      </c>
      <c r="B28" s="31" t="s">
        <v>519</v>
      </c>
      <c r="C28" s="32">
        <v>43.0</v>
      </c>
      <c r="D28" s="29" t="s">
        <v>231</v>
      </c>
      <c r="E28" s="35">
        <f>+17</f>
        <v>17</v>
      </c>
      <c r="F28" s="34"/>
      <c r="G28" s="32">
        <v>24.0</v>
      </c>
      <c r="H28" s="29" t="s">
        <v>231</v>
      </c>
      <c r="I28" s="36">
        <v>-2.0</v>
      </c>
      <c r="J28" s="34"/>
      <c r="K28" s="32">
        <v>30.0</v>
      </c>
      <c r="L28" s="29" t="s">
        <v>231</v>
      </c>
      <c r="M28" s="35">
        <f>+4</f>
        <v>4</v>
      </c>
      <c r="N28" s="34"/>
    </row>
    <row r="29">
      <c r="A29" s="29">
        <v>27.0</v>
      </c>
      <c r="B29" s="31" t="s">
        <v>535</v>
      </c>
      <c r="C29" s="32">
        <v>13.0</v>
      </c>
      <c r="D29" s="29" t="s">
        <v>137</v>
      </c>
      <c r="E29" s="36">
        <v>-14.0</v>
      </c>
      <c r="F29" s="34"/>
      <c r="G29" s="32">
        <v>17.0</v>
      </c>
      <c r="H29" s="29" t="s">
        <v>191</v>
      </c>
      <c r="I29" s="36">
        <v>-10.0</v>
      </c>
      <c r="J29" s="34"/>
      <c r="K29" s="32">
        <v>19.0</v>
      </c>
      <c r="L29" s="29" t="s">
        <v>207</v>
      </c>
      <c r="M29" s="36">
        <v>-8.0</v>
      </c>
      <c r="N29" s="34"/>
    </row>
    <row r="30">
      <c r="A30" s="29">
        <v>28.0</v>
      </c>
      <c r="B30" s="31" t="s">
        <v>548</v>
      </c>
      <c r="C30" s="32">
        <v>89.0</v>
      </c>
      <c r="D30" s="29" t="s">
        <v>553</v>
      </c>
      <c r="E30" s="35">
        <f>+61</f>
        <v>61</v>
      </c>
      <c r="F30" s="34"/>
      <c r="G30" s="32">
        <v>63.0</v>
      </c>
      <c r="H30" s="29" t="s">
        <v>529</v>
      </c>
      <c r="I30" s="35">
        <f>+35</f>
        <v>35</v>
      </c>
      <c r="J30" s="34"/>
      <c r="K30" s="32">
        <v>68.0</v>
      </c>
      <c r="L30" s="29" t="s">
        <v>536</v>
      </c>
      <c r="M30" s="35">
        <f>+40</f>
        <v>40</v>
      </c>
      <c r="N30" s="34"/>
    </row>
    <row r="31">
      <c r="A31" s="29">
        <v>29.0</v>
      </c>
      <c r="B31" s="31" t="s">
        <v>563</v>
      </c>
      <c r="C31" s="32">
        <v>37.0</v>
      </c>
      <c r="D31" s="29" t="s">
        <v>301</v>
      </c>
      <c r="E31" s="35">
        <f>+8</f>
        <v>8</v>
      </c>
      <c r="F31" s="34"/>
      <c r="G31" s="32">
        <v>32.0</v>
      </c>
      <c r="H31" s="29" t="s">
        <v>280</v>
      </c>
      <c r="I31" s="35">
        <f>+3</f>
        <v>3</v>
      </c>
      <c r="J31" s="34"/>
      <c r="K31" s="32">
        <v>36.0</v>
      </c>
      <c r="L31" s="29" t="s">
        <v>301</v>
      </c>
      <c r="M31" s="35">
        <f>+7</f>
        <v>7</v>
      </c>
      <c r="N31" s="34"/>
    </row>
    <row r="32">
      <c r="A32" s="29">
        <v>30.0</v>
      </c>
      <c r="B32" s="31" t="s">
        <v>582</v>
      </c>
      <c r="C32" s="32">
        <v>54.0</v>
      </c>
      <c r="D32" s="29" t="s">
        <v>386</v>
      </c>
      <c r="E32" s="35">
        <f>+24</f>
        <v>24</v>
      </c>
      <c r="F32" s="34"/>
      <c r="G32" s="32">
        <v>46.0</v>
      </c>
      <c r="H32" s="29" t="s">
        <v>386</v>
      </c>
      <c r="I32" s="35">
        <f>+16</f>
        <v>16</v>
      </c>
      <c r="J32" s="34"/>
      <c r="K32" s="32">
        <v>51.0</v>
      </c>
      <c r="L32" s="29" t="s">
        <v>386</v>
      </c>
      <c r="M32" s="35">
        <f>+21</f>
        <v>21</v>
      </c>
      <c r="N32" s="34"/>
    </row>
    <row r="33">
      <c r="A33" s="29">
        <v>31.0</v>
      </c>
      <c r="B33" s="31" t="s">
        <v>600</v>
      </c>
      <c r="C33" s="32">
        <v>45.0</v>
      </c>
      <c r="D33" s="29" t="s">
        <v>329</v>
      </c>
      <c r="E33" s="35">
        <f>+14</f>
        <v>14</v>
      </c>
      <c r="F33" s="34"/>
      <c r="G33" s="32">
        <v>45.0</v>
      </c>
      <c r="H33" s="29" t="s">
        <v>380</v>
      </c>
      <c r="I33" s="35">
        <f>+14</f>
        <v>14</v>
      </c>
      <c r="J33" s="34"/>
      <c r="K33" s="32">
        <v>53.0</v>
      </c>
      <c r="L33" s="29" t="s">
        <v>414</v>
      </c>
      <c r="M33" s="35">
        <f>+22</f>
        <v>22</v>
      </c>
      <c r="N33" s="34"/>
    </row>
    <row r="34">
      <c r="A34" s="29">
        <v>32.0</v>
      </c>
      <c r="B34" s="31" t="s">
        <v>618</v>
      </c>
      <c r="C34" s="32">
        <v>25.0</v>
      </c>
      <c r="D34" s="29" t="s">
        <v>268</v>
      </c>
      <c r="E34" s="36">
        <v>-7.0</v>
      </c>
      <c r="F34" s="34"/>
      <c r="G34" s="32">
        <v>31.0</v>
      </c>
      <c r="H34" s="29" t="s">
        <v>275</v>
      </c>
      <c r="I34" s="36">
        <v>-1.0</v>
      </c>
      <c r="J34" s="34"/>
      <c r="K34" s="32">
        <v>32.0</v>
      </c>
      <c r="L34" s="29" t="s">
        <v>293</v>
      </c>
      <c r="M34" s="33">
        <f>+0</f>
        <v>0</v>
      </c>
      <c r="N34" s="34"/>
    </row>
    <row r="35">
      <c r="A35" s="29">
        <v>33.0</v>
      </c>
      <c r="B35" s="31" t="s">
        <v>630</v>
      </c>
      <c r="C35" s="32">
        <v>33.0</v>
      </c>
      <c r="D35" s="29" t="s">
        <v>280</v>
      </c>
      <c r="E35" s="33">
        <f>+0</f>
        <v>0</v>
      </c>
      <c r="F35" s="34"/>
      <c r="G35" s="32">
        <v>30.0</v>
      </c>
      <c r="H35" s="29" t="s">
        <v>261</v>
      </c>
      <c r="I35" s="36">
        <v>-3.0</v>
      </c>
      <c r="J35" s="34"/>
      <c r="K35" s="32">
        <v>31.0</v>
      </c>
      <c r="L35" s="29" t="s">
        <v>226</v>
      </c>
      <c r="M35" s="36">
        <v>-2.0</v>
      </c>
      <c r="N35" s="34"/>
    </row>
    <row r="36">
      <c r="A36" s="29">
        <v>34.0</v>
      </c>
      <c r="B36" s="31" t="s">
        <v>642</v>
      </c>
      <c r="C36" s="32">
        <v>26.0</v>
      </c>
      <c r="D36" s="29" t="s">
        <v>275</v>
      </c>
      <c r="E36" s="36">
        <v>-8.0</v>
      </c>
      <c r="F36" s="34"/>
      <c r="G36" s="32">
        <v>23.0</v>
      </c>
      <c r="H36" s="29" t="s">
        <v>214</v>
      </c>
      <c r="I36" s="36">
        <v>-11.0</v>
      </c>
      <c r="J36" s="34"/>
      <c r="K36" s="32">
        <v>17.0</v>
      </c>
      <c r="L36" s="29" t="s">
        <v>191</v>
      </c>
      <c r="M36" s="36">
        <v>-17.0</v>
      </c>
      <c r="N36" s="34"/>
    </row>
    <row r="37">
      <c r="A37" s="29">
        <v>35.0</v>
      </c>
      <c r="B37" s="31" t="s">
        <v>652</v>
      </c>
      <c r="C37" s="32">
        <v>35.0</v>
      </c>
      <c r="D37" s="29" t="s">
        <v>198</v>
      </c>
      <c r="E37" s="33">
        <f>+0</f>
        <v>0</v>
      </c>
      <c r="F37" s="34"/>
      <c r="G37" s="32">
        <v>22.0</v>
      </c>
      <c r="H37" s="29" t="s">
        <v>198</v>
      </c>
      <c r="I37" s="36">
        <v>-13.0</v>
      </c>
      <c r="J37" s="34"/>
      <c r="K37" s="32">
        <v>23.0</v>
      </c>
      <c r="L37" s="29" t="s">
        <v>198</v>
      </c>
      <c r="M37" s="36">
        <v>-12.0</v>
      </c>
      <c r="N37" s="34"/>
    </row>
    <row r="38">
      <c r="A38" s="29">
        <v>36.0</v>
      </c>
      <c r="B38" s="31" t="s">
        <v>663</v>
      </c>
      <c r="C38" s="32">
        <v>15.0</v>
      </c>
      <c r="D38" s="29" t="s">
        <v>168</v>
      </c>
      <c r="E38" s="36">
        <v>-21.0</v>
      </c>
      <c r="F38" s="34"/>
      <c r="G38" s="32">
        <v>20.0</v>
      </c>
      <c r="H38" s="29" t="s">
        <v>207</v>
      </c>
      <c r="I38" s="36">
        <v>-16.0</v>
      </c>
      <c r="J38" s="34"/>
      <c r="K38" s="32">
        <v>13.0</v>
      </c>
      <c r="L38" s="29" t="s">
        <v>137</v>
      </c>
      <c r="M38" s="36">
        <v>-23.0</v>
      </c>
      <c r="N38" s="34"/>
    </row>
    <row r="39">
      <c r="A39" s="29">
        <v>37.0</v>
      </c>
      <c r="B39" s="31" t="s">
        <v>671</v>
      </c>
      <c r="C39" s="32">
        <v>50.0</v>
      </c>
      <c r="D39" s="29" t="s">
        <v>349</v>
      </c>
      <c r="E39" s="35">
        <f>+13</f>
        <v>13</v>
      </c>
      <c r="F39" s="34"/>
      <c r="G39" s="32">
        <v>43.0</v>
      </c>
      <c r="H39" s="29" t="s">
        <v>371</v>
      </c>
      <c r="I39" s="35">
        <f>+6</f>
        <v>6</v>
      </c>
      <c r="J39" s="34"/>
      <c r="K39" s="32">
        <v>56.0</v>
      </c>
      <c r="L39" s="29" t="s">
        <v>429</v>
      </c>
      <c r="M39" s="35">
        <f>+19</f>
        <v>19</v>
      </c>
      <c r="N39" s="34"/>
    </row>
    <row r="40">
      <c r="A40" s="29">
        <v>39.0</v>
      </c>
      <c r="B40" s="31" t="s">
        <v>689</v>
      </c>
      <c r="C40" s="32">
        <v>62.0</v>
      </c>
      <c r="D40" s="29" t="s">
        <v>429</v>
      </c>
      <c r="E40" s="35">
        <f>+23</f>
        <v>23</v>
      </c>
      <c r="F40" s="34"/>
      <c r="G40" s="32">
        <v>53.0</v>
      </c>
      <c r="H40" s="29" t="s">
        <v>429</v>
      </c>
      <c r="I40" s="35">
        <f>+14</f>
        <v>14</v>
      </c>
      <c r="J40" s="34"/>
      <c r="K40" s="32">
        <v>47.0</v>
      </c>
      <c r="L40" s="29" t="s">
        <v>380</v>
      </c>
      <c r="M40" s="35">
        <f>+8</f>
        <v>8</v>
      </c>
      <c r="N40" s="34"/>
    </row>
    <row r="41">
      <c r="A41" s="29">
        <v>41.0</v>
      </c>
      <c r="B41" s="31" t="s">
        <v>704</v>
      </c>
      <c r="C41" s="32">
        <v>70.0</v>
      </c>
      <c r="D41" s="29" t="s">
        <v>463</v>
      </c>
      <c r="E41" s="35">
        <f>+29</f>
        <v>29</v>
      </c>
      <c r="F41" s="34"/>
      <c r="G41" s="32">
        <v>48.0</v>
      </c>
      <c r="H41" s="29" t="s">
        <v>385</v>
      </c>
      <c r="I41" s="35">
        <f>+7</f>
        <v>7</v>
      </c>
      <c r="J41" s="34"/>
      <c r="K41" s="32">
        <v>44.0</v>
      </c>
      <c r="L41" s="29" t="s">
        <v>371</v>
      </c>
      <c r="M41" s="35">
        <f>+3</f>
        <v>3</v>
      </c>
      <c r="N41" s="34"/>
    </row>
    <row r="42">
      <c r="A42" s="29">
        <v>42.0</v>
      </c>
      <c r="B42" s="31" t="s">
        <v>719</v>
      </c>
      <c r="C42" s="32">
        <v>39.0</v>
      </c>
      <c r="D42" s="29" t="s">
        <v>363</v>
      </c>
      <c r="E42" s="36">
        <v>-3.0</v>
      </c>
      <c r="F42" s="34"/>
      <c r="G42" s="32">
        <v>34.0</v>
      </c>
      <c r="H42" s="29" t="s">
        <v>293</v>
      </c>
      <c r="I42" s="36">
        <v>-8.0</v>
      </c>
      <c r="J42" s="34"/>
      <c r="K42" s="32">
        <v>29.0</v>
      </c>
      <c r="L42" s="29" t="s">
        <v>275</v>
      </c>
      <c r="M42" s="36">
        <v>-13.0</v>
      </c>
      <c r="N42" s="34"/>
    </row>
    <row r="43">
      <c r="A43" s="29">
        <v>43.0</v>
      </c>
      <c r="B43" s="31" t="s">
        <v>726</v>
      </c>
      <c r="C43" s="32">
        <v>69.0</v>
      </c>
      <c r="D43" s="29" t="s">
        <v>508</v>
      </c>
      <c r="E43" s="35">
        <f>+26</f>
        <v>26</v>
      </c>
      <c r="F43" s="34"/>
      <c r="G43" s="32">
        <v>57.0</v>
      </c>
      <c r="H43" s="29" t="s">
        <v>479</v>
      </c>
      <c r="I43" s="35">
        <f>+14</f>
        <v>14</v>
      </c>
      <c r="J43" s="34"/>
      <c r="K43" s="32">
        <v>59.0</v>
      </c>
      <c r="L43" s="29" t="s">
        <v>479</v>
      </c>
      <c r="M43" s="35">
        <f>+16</f>
        <v>16</v>
      </c>
      <c r="N43" s="34"/>
    </row>
    <row r="44">
      <c r="A44" s="29">
        <v>44.0</v>
      </c>
      <c r="B44" s="31" t="s">
        <v>737</v>
      </c>
      <c r="C44" s="32">
        <v>75.0</v>
      </c>
      <c r="D44" s="29" t="s">
        <v>472</v>
      </c>
      <c r="E44" s="35">
        <f>+31</f>
        <v>31</v>
      </c>
      <c r="F44" s="34"/>
      <c r="G44" s="32">
        <v>61.0</v>
      </c>
      <c r="H44" s="29" t="s">
        <v>501</v>
      </c>
      <c r="I44" s="35">
        <f>+17</f>
        <v>17</v>
      </c>
      <c r="J44" s="34"/>
      <c r="K44" s="32">
        <v>62.0</v>
      </c>
      <c r="L44" s="29" t="s">
        <v>501</v>
      </c>
      <c r="M44" s="35">
        <f>+18</f>
        <v>18</v>
      </c>
      <c r="N44" s="34"/>
    </row>
    <row r="45">
      <c r="A45" s="29">
        <v>45.0</v>
      </c>
      <c r="B45" s="31" t="s">
        <v>750</v>
      </c>
      <c r="C45" s="32">
        <v>51.0</v>
      </c>
      <c r="D45" s="29" t="s">
        <v>371</v>
      </c>
      <c r="E45" s="35">
        <f>+6</f>
        <v>6</v>
      </c>
      <c r="F45" s="34"/>
      <c r="G45" s="32">
        <v>55.0</v>
      </c>
      <c r="H45" s="29" t="s">
        <v>463</v>
      </c>
      <c r="I45" s="35">
        <f>+10</f>
        <v>10</v>
      </c>
      <c r="J45" s="34"/>
      <c r="K45" s="32">
        <v>55.0</v>
      </c>
      <c r="L45" s="29" t="s">
        <v>421</v>
      </c>
      <c r="M45" s="35">
        <f>+10</f>
        <v>10</v>
      </c>
      <c r="N45" s="34"/>
    </row>
    <row r="46">
      <c r="A46" s="29">
        <v>46.0</v>
      </c>
      <c r="B46" s="31" t="s">
        <v>760</v>
      </c>
      <c r="C46" s="32">
        <v>65.0</v>
      </c>
      <c r="D46" s="29" t="s">
        <v>454</v>
      </c>
      <c r="E46" s="35">
        <f>+19</f>
        <v>19</v>
      </c>
      <c r="F46" s="34"/>
      <c r="G46" s="32">
        <v>39.0</v>
      </c>
      <c r="H46" s="29" t="s">
        <v>342</v>
      </c>
      <c r="I46" s="36">
        <v>-7.0</v>
      </c>
      <c r="J46" s="34"/>
      <c r="K46" s="32">
        <v>40.0</v>
      </c>
      <c r="L46" s="29" t="s">
        <v>342</v>
      </c>
      <c r="M46" s="36">
        <v>-6.0</v>
      </c>
      <c r="N46" s="34"/>
    </row>
    <row r="47">
      <c r="A47" s="29">
        <v>47.0</v>
      </c>
      <c r="B47" s="31" t="s">
        <v>777</v>
      </c>
      <c r="C47" s="32">
        <v>28.0</v>
      </c>
      <c r="D47" s="29" t="s">
        <v>293</v>
      </c>
      <c r="E47" s="36">
        <v>-19.0</v>
      </c>
      <c r="F47" s="34"/>
      <c r="G47" s="32">
        <v>28.0</v>
      </c>
      <c r="H47" s="29" t="s">
        <v>220</v>
      </c>
      <c r="I47" s="36">
        <v>-19.0</v>
      </c>
      <c r="J47" s="34"/>
      <c r="K47" s="32">
        <v>27.0</v>
      </c>
      <c r="L47" s="29" t="s">
        <v>268</v>
      </c>
      <c r="M47" s="36">
        <v>-20.0</v>
      </c>
      <c r="N47" s="34"/>
    </row>
    <row r="48">
      <c r="A48" s="29">
        <v>48.0</v>
      </c>
      <c r="B48" s="31" t="s">
        <v>790</v>
      </c>
      <c r="C48" s="32">
        <v>57.0</v>
      </c>
      <c r="D48" s="29" t="s">
        <v>385</v>
      </c>
      <c r="E48" s="35">
        <f>+9</f>
        <v>9</v>
      </c>
      <c r="F48" s="34"/>
      <c r="G48" s="32">
        <v>37.0</v>
      </c>
      <c r="H48" s="29" t="s">
        <v>329</v>
      </c>
      <c r="I48" s="36">
        <v>-11.0</v>
      </c>
      <c r="J48" s="34"/>
      <c r="K48" s="32">
        <v>39.0</v>
      </c>
      <c r="L48" s="29" t="s">
        <v>329</v>
      </c>
      <c r="M48" s="36">
        <v>-9.0</v>
      </c>
      <c r="N48" s="34"/>
    </row>
    <row r="49">
      <c r="A49" s="29">
        <v>49.0</v>
      </c>
      <c r="B49" s="31" t="s">
        <v>800</v>
      </c>
      <c r="C49" s="32">
        <v>36.0</v>
      </c>
      <c r="D49" s="29" t="s">
        <v>338</v>
      </c>
      <c r="E49" s="36">
        <v>-13.0</v>
      </c>
      <c r="F49" s="34"/>
      <c r="G49" s="32">
        <v>35.0</v>
      </c>
      <c r="H49" s="29" t="s">
        <v>287</v>
      </c>
      <c r="I49" s="36">
        <v>-14.0</v>
      </c>
      <c r="J49" s="34"/>
      <c r="K49" s="32">
        <v>25.0</v>
      </c>
      <c r="L49" s="29" t="s">
        <v>287</v>
      </c>
      <c r="M49" s="36">
        <v>-24.0</v>
      </c>
      <c r="N49" s="34"/>
    </row>
    <row r="50">
      <c r="A50" s="29">
        <v>50.0</v>
      </c>
      <c r="B50" s="31" t="s">
        <v>813</v>
      </c>
      <c r="C50" s="32">
        <v>49.0</v>
      </c>
      <c r="D50" s="29" t="s">
        <v>342</v>
      </c>
      <c r="E50" s="36">
        <v>-1.0</v>
      </c>
      <c r="F50" s="34"/>
      <c r="G50" s="32">
        <v>51.0</v>
      </c>
      <c r="H50" s="29" t="s">
        <v>421</v>
      </c>
      <c r="I50" s="35">
        <f>+1</f>
        <v>1</v>
      </c>
      <c r="J50" s="34"/>
      <c r="K50" s="32">
        <v>57.0</v>
      </c>
      <c r="L50" s="29" t="s">
        <v>454</v>
      </c>
      <c r="M50" s="35">
        <f t="shared" ref="M50:M51" si="3">+7</f>
        <v>7</v>
      </c>
      <c r="N50" s="34"/>
    </row>
    <row r="51">
      <c r="A51" s="29">
        <v>51.0</v>
      </c>
      <c r="B51" s="31" t="s">
        <v>829</v>
      </c>
      <c r="C51" s="32">
        <v>52.0</v>
      </c>
      <c r="D51" s="29" t="s">
        <v>380</v>
      </c>
      <c r="E51" s="35">
        <f>+1</f>
        <v>1</v>
      </c>
      <c r="F51" s="34"/>
      <c r="G51" s="32">
        <v>54.0</v>
      </c>
      <c r="H51" s="29" t="s">
        <v>454</v>
      </c>
      <c r="I51" s="35">
        <f>+3</f>
        <v>3</v>
      </c>
      <c r="J51" s="34"/>
      <c r="K51" s="32">
        <v>58.0</v>
      </c>
      <c r="L51" s="29" t="s">
        <v>463</v>
      </c>
      <c r="M51" s="35">
        <f t="shared" si="3"/>
        <v>7</v>
      </c>
      <c r="N51" s="34"/>
    </row>
    <row r="52">
      <c r="A52" s="29">
        <v>52.0</v>
      </c>
      <c r="B52" s="31" t="s">
        <v>840</v>
      </c>
      <c r="C52" s="32">
        <v>77.0</v>
      </c>
      <c r="D52" s="29" t="s">
        <v>529</v>
      </c>
      <c r="E52" s="35">
        <f>+25</f>
        <v>25</v>
      </c>
      <c r="F52" s="34"/>
      <c r="G52" s="32">
        <v>40.0</v>
      </c>
      <c r="H52" s="29" t="s">
        <v>349</v>
      </c>
      <c r="I52" s="36">
        <v>-12.0</v>
      </c>
      <c r="J52" s="34"/>
      <c r="K52" s="32">
        <v>41.0</v>
      </c>
      <c r="L52" s="29" t="s">
        <v>349</v>
      </c>
      <c r="M52" s="36">
        <v>-11.0</v>
      </c>
      <c r="N52" s="34"/>
    </row>
    <row r="53">
      <c r="A53" s="29">
        <v>54.0</v>
      </c>
      <c r="B53" s="31" t="s">
        <v>850</v>
      </c>
      <c r="C53" s="32">
        <v>78.0</v>
      </c>
      <c r="D53" s="29" t="s">
        <v>594</v>
      </c>
      <c r="E53" s="35">
        <f>+24</f>
        <v>24</v>
      </c>
      <c r="F53" s="34"/>
      <c r="G53" s="32">
        <v>72.0</v>
      </c>
      <c r="H53" s="29" t="s">
        <v>594</v>
      </c>
      <c r="I53" s="35">
        <f>+18</f>
        <v>18</v>
      </c>
      <c r="J53" s="34"/>
      <c r="K53" s="32">
        <v>76.0</v>
      </c>
      <c r="L53" s="29" t="s">
        <v>594</v>
      </c>
      <c r="M53" s="35">
        <f>+22</f>
        <v>22</v>
      </c>
      <c r="N53" s="34"/>
    </row>
    <row r="54">
      <c r="A54" s="29">
        <v>55.0</v>
      </c>
      <c r="B54" s="31" t="s">
        <v>860</v>
      </c>
      <c r="C54" s="32">
        <v>76.0</v>
      </c>
      <c r="D54" s="29" t="s">
        <v>501</v>
      </c>
      <c r="E54" s="35">
        <f>+21</f>
        <v>21</v>
      </c>
      <c r="F54" s="34"/>
      <c r="G54" s="32">
        <v>49.0</v>
      </c>
      <c r="H54" s="29" t="s">
        <v>414</v>
      </c>
      <c r="I54" s="36">
        <v>-6.0</v>
      </c>
      <c r="J54" s="34"/>
      <c r="K54" s="32">
        <v>48.0</v>
      </c>
      <c r="L54" s="29" t="s">
        <v>385</v>
      </c>
      <c r="M54" s="36">
        <v>-7.0</v>
      </c>
      <c r="N54" s="34"/>
    </row>
    <row r="55">
      <c r="A55" s="29">
        <v>56.0</v>
      </c>
      <c r="B55" s="31" t="s">
        <v>871</v>
      </c>
      <c r="C55" s="32">
        <v>60.0</v>
      </c>
      <c r="D55" s="29" t="s">
        <v>421</v>
      </c>
      <c r="E55" s="35">
        <f>+4</f>
        <v>4</v>
      </c>
      <c r="F55" s="34"/>
      <c r="G55" s="32">
        <v>67.0</v>
      </c>
      <c r="H55" s="29" t="s">
        <v>566</v>
      </c>
      <c r="I55" s="35">
        <f>+11</f>
        <v>11</v>
      </c>
      <c r="J55" s="34"/>
      <c r="K55" s="32">
        <v>72.0</v>
      </c>
      <c r="L55" s="29" t="s">
        <v>566</v>
      </c>
      <c r="M55" s="35">
        <f>+16</f>
        <v>16</v>
      </c>
      <c r="N55" s="34"/>
    </row>
    <row r="56">
      <c r="A56" s="29">
        <v>57.0</v>
      </c>
      <c r="B56" s="31" t="s">
        <v>884</v>
      </c>
      <c r="C56" s="32">
        <v>32.0</v>
      </c>
      <c r="D56" s="29" t="s">
        <v>316</v>
      </c>
      <c r="E56" s="36">
        <v>-25.0</v>
      </c>
      <c r="F56" s="34"/>
      <c r="G56" s="32">
        <v>47.0</v>
      </c>
      <c r="H56" s="29" t="s">
        <v>394</v>
      </c>
      <c r="I56" s="36">
        <v>-10.0</v>
      </c>
      <c r="J56" s="34"/>
      <c r="K56" s="32">
        <v>49.0</v>
      </c>
      <c r="L56" s="29" t="s">
        <v>436</v>
      </c>
      <c r="M56" s="36">
        <v>-8.0</v>
      </c>
      <c r="N56" s="34"/>
    </row>
    <row r="57">
      <c r="A57" s="29">
        <v>59.0</v>
      </c>
      <c r="B57" s="31" t="s">
        <v>897</v>
      </c>
      <c r="C57" s="32">
        <v>44.0</v>
      </c>
      <c r="D57" s="29" t="s">
        <v>468</v>
      </c>
      <c r="E57" s="36">
        <v>-15.0</v>
      </c>
      <c r="F57" s="34"/>
      <c r="G57" s="32">
        <v>56.0</v>
      </c>
      <c r="H57" s="29" t="s">
        <v>338</v>
      </c>
      <c r="I57" s="36">
        <v>-3.0</v>
      </c>
      <c r="J57" s="34"/>
      <c r="K57" s="32">
        <v>52.0</v>
      </c>
      <c r="L57" s="29" t="s">
        <v>338</v>
      </c>
      <c r="M57" s="36">
        <v>-7.0</v>
      </c>
      <c r="N57" s="34"/>
    </row>
    <row r="58">
      <c r="A58" s="29">
        <v>61.0</v>
      </c>
      <c r="B58" s="31" t="s">
        <v>909</v>
      </c>
      <c r="C58" s="32">
        <v>87.0</v>
      </c>
      <c r="D58" s="29" t="s">
        <v>688</v>
      </c>
      <c r="E58" s="35">
        <f>+26</f>
        <v>26</v>
      </c>
      <c r="F58" s="34"/>
      <c r="G58" s="32">
        <v>80.0</v>
      </c>
      <c r="H58" s="29" t="s">
        <v>688</v>
      </c>
      <c r="I58" s="35">
        <f>+19</f>
        <v>19</v>
      </c>
      <c r="J58" s="34"/>
      <c r="K58" s="32">
        <v>85.0</v>
      </c>
      <c r="L58" s="29" t="s">
        <v>688</v>
      </c>
      <c r="M58" s="35">
        <f>+24</f>
        <v>24</v>
      </c>
      <c r="N58" s="34"/>
    </row>
    <row r="59">
      <c r="A59" s="29">
        <v>63.0</v>
      </c>
      <c r="B59" s="31" t="s">
        <v>922</v>
      </c>
      <c r="C59" s="32">
        <v>47.0</v>
      </c>
      <c r="D59" s="29" t="s">
        <v>520</v>
      </c>
      <c r="E59" s="36">
        <v>-16.0</v>
      </c>
      <c r="F59" s="34"/>
      <c r="G59" s="32">
        <v>66.0</v>
      </c>
      <c r="H59" s="29" t="s">
        <v>468</v>
      </c>
      <c r="I59" s="35">
        <f>+3</f>
        <v>3</v>
      </c>
      <c r="J59" s="34"/>
      <c r="K59" s="32">
        <v>70.0</v>
      </c>
      <c r="L59" s="29" t="s">
        <v>468</v>
      </c>
      <c r="M59" s="35">
        <f>+7</f>
        <v>7</v>
      </c>
      <c r="N59" s="34"/>
    </row>
    <row r="60">
      <c r="A60" s="29">
        <v>64.0</v>
      </c>
      <c r="B60" s="31" t="s">
        <v>935</v>
      </c>
      <c r="C60" s="32">
        <v>21.0</v>
      </c>
      <c r="D60" s="29" t="s">
        <v>214</v>
      </c>
      <c r="E60" s="36">
        <v>-43.0</v>
      </c>
      <c r="F60" s="34"/>
      <c r="G60" s="32">
        <v>42.0</v>
      </c>
      <c r="H60" s="29" t="s">
        <v>356</v>
      </c>
      <c r="I60" s="36">
        <v>-22.0</v>
      </c>
      <c r="J60" s="34"/>
      <c r="K60" s="32">
        <v>43.0</v>
      </c>
      <c r="L60" s="29" t="s">
        <v>363</v>
      </c>
      <c r="M60" s="36">
        <v>-21.0</v>
      </c>
      <c r="N60" s="34"/>
    </row>
    <row r="61">
      <c r="A61" s="29">
        <v>65.0</v>
      </c>
      <c r="B61" s="31" t="s">
        <v>947</v>
      </c>
      <c r="C61" s="32">
        <v>48.0</v>
      </c>
      <c r="D61" s="29" t="s">
        <v>436</v>
      </c>
      <c r="E61" s="36">
        <v>-17.0</v>
      </c>
      <c r="F61" s="34"/>
      <c r="G61" s="32">
        <v>50.0</v>
      </c>
      <c r="H61" s="29" t="s">
        <v>408</v>
      </c>
      <c r="I61" s="36">
        <v>-15.0</v>
      </c>
      <c r="J61" s="34"/>
      <c r="K61" s="32">
        <v>50.0</v>
      </c>
      <c r="L61" s="29" t="s">
        <v>442</v>
      </c>
      <c r="M61" s="36">
        <v>-15.0</v>
      </c>
      <c r="N61" s="34"/>
    </row>
    <row r="62">
      <c r="A62" s="29">
        <v>66.0</v>
      </c>
      <c r="B62" s="31" t="s">
        <v>957</v>
      </c>
      <c r="C62" s="32">
        <v>86.0</v>
      </c>
      <c r="D62" s="29" t="s">
        <v>586</v>
      </c>
      <c r="E62" s="35">
        <f>+20</f>
        <v>20</v>
      </c>
      <c r="F62" s="34"/>
      <c r="G62" s="32">
        <v>58.0</v>
      </c>
      <c r="H62" s="29" t="s">
        <v>472</v>
      </c>
      <c r="I62" s="36">
        <v>-8.0</v>
      </c>
      <c r="J62" s="34"/>
      <c r="K62" s="32">
        <v>61.0</v>
      </c>
      <c r="L62" s="29" t="s">
        <v>472</v>
      </c>
      <c r="M62" s="36">
        <v>-5.0</v>
      </c>
      <c r="N62" s="34"/>
    </row>
    <row r="63">
      <c r="A63" s="29">
        <v>67.0</v>
      </c>
      <c r="B63" s="31" t="s">
        <v>968</v>
      </c>
      <c r="C63" s="32">
        <v>40.0</v>
      </c>
      <c r="D63" s="29" t="s">
        <v>406</v>
      </c>
      <c r="E63" s="36">
        <v>-27.0</v>
      </c>
      <c r="F63" s="34"/>
      <c r="G63" s="32">
        <v>60.0</v>
      </c>
      <c r="H63" s="29" t="s">
        <v>406</v>
      </c>
      <c r="I63" s="36">
        <v>-7.0</v>
      </c>
      <c r="J63" s="34"/>
      <c r="K63" s="32">
        <v>63.0</v>
      </c>
      <c r="L63" s="29" t="s">
        <v>406</v>
      </c>
      <c r="M63" s="36">
        <v>-4.0</v>
      </c>
      <c r="N63" s="34"/>
    </row>
    <row r="64">
      <c r="A64" s="29">
        <v>68.0</v>
      </c>
      <c r="B64" s="31" t="s">
        <v>978</v>
      </c>
      <c r="C64" s="32">
        <v>55.0</v>
      </c>
      <c r="D64" s="29" t="s">
        <v>593</v>
      </c>
      <c r="E64" s="36">
        <v>-13.0</v>
      </c>
      <c r="F64" s="34"/>
      <c r="G64" s="32">
        <v>71.0</v>
      </c>
      <c r="H64" s="29" t="s">
        <v>520</v>
      </c>
      <c r="I64" s="35">
        <f>+3</f>
        <v>3</v>
      </c>
      <c r="J64" s="34"/>
      <c r="K64" s="32">
        <v>74.0</v>
      </c>
      <c r="L64" s="29" t="s">
        <v>520</v>
      </c>
      <c r="M64" s="35">
        <f>+6</f>
        <v>6</v>
      </c>
      <c r="N64" s="34"/>
    </row>
    <row r="65">
      <c r="A65" s="29">
        <v>69.0</v>
      </c>
      <c r="B65" s="31" t="s">
        <v>988</v>
      </c>
      <c r="C65" s="32">
        <v>38.0</v>
      </c>
      <c r="D65" s="29" t="s">
        <v>356</v>
      </c>
      <c r="E65" s="36">
        <v>-31.0</v>
      </c>
      <c r="F65" s="34"/>
      <c r="G65" s="32">
        <v>44.0</v>
      </c>
      <c r="H65" s="29" t="s">
        <v>363</v>
      </c>
      <c r="I65" s="36">
        <v>-25.0</v>
      </c>
      <c r="J65" s="34"/>
      <c r="K65" s="32">
        <v>46.0</v>
      </c>
      <c r="L65" s="29" t="s">
        <v>408</v>
      </c>
      <c r="M65" s="36">
        <v>-23.0</v>
      </c>
      <c r="N65" s="34"/>
    </row>
    <row r="66">
      <c r="A66" s="29">
        <v>71.0</v>
      </c>
      <c r="B66" s="31" t="s">
        <v>996</v>
      </c>
      <c r="C66" s="32">
        <v>59.0</v>
      </c>
      <c r="D66" s="29" t="s">
        <v>414</v>
      </c>
      <c r="E66" s="36">
        <v>-12.0</v>
      </c>
      <c r="F66" s="34"/>
      <c r="G66" s="32">
        <v>88.0</v>
      </c>
      <c r="H66" s="29" t="s">
        <v>701</v>
      </c>
      <c r="I66" s="35">
        <f>+17</f>
        <v>17</v>
      </c>
      <c r="J66" s="34"/>
      <c r="K66" s="32">
        <v>95.0</v>
      </c>
      <c r="L66" s="29" t="s">
        <v>740</v>
      </c>
      <c r="M66" s="35">
        <f>+24</f>
        <v>24</v>
      </c>
      <c r="N66" s="34"/>
    </row>
    <row r="67">
      <c r="A67" s="29">
        <v>72.0</v>
      </c>
      <c r="B67" s="31" t="s">
        <v>1007</v>
      </c>
      <c r="C67" s="32">
        <v>98.0</v>
      </c>
      <c r="D67" s="29" t="s">
        <v>656</v>
      </c>
      <c r="E67" s="35">
        <f>+26</f>
        <v>26</v>
      </c>
      <c r="F67" s="34"/>
      <c r="G67" s="32">
        <v>86.0</v>
      </c>
      <c r="H67" s="29" t="s">
        <v>680</v>
      </c>
      <c r="I67" s="35">
        <f>+14</f>
        <v>14</v>
      </c>
      <c r="J67" s="34"/>
      <c r="K67" s="32">
        <v>90.0</v>
      </c>
      <c r="L67" s="29" t="s">
        <v>730</v>
      </c>
      <c r="M67" s="35">
        <f>+18</f>
        <v>18</v>
      </c>
      <c r="N67" s="34"/>
    </row>
    <row r="68">
      <c r="A68" s="29">
        <v>73.0</v>
      </c>
      <c r="B68" s="31" t="s">
        <v>1023</v>
      </c>
      <c r="C68" s="32">
        <v>91.0</v>
      </c>
      <c r="D68" s="29" t="s">
        <v>647</v>
      </c>
      <c r="E68" s="35">
        <f>+18</f>
        <v>18</v>
      </c>
      <c r="F68" s="34"/>
      <c r="G68" s="32">
        <v>78.0</v>
      </c>
      <c r="H68" s="29" t="s">
        <v>553</v>
      </c>
      <c r="I68" s="35">
        <f>+5</f>
        <v>5</v>
      </c>
      <c r="J68" s="34"/>
      <c r="K68" s="32">
        <v>79.0</v>
      </c>
      <c r="L68" s="29" t="s">
        <v>553</v>
      </c>
      <c r="M68" s="35">
        <f>+6</f>
        <v>6</v>
      </c>
      <c r="N68" s="34"/>
    </row>
    <row r="69">
      <c r="A69" s="29">
        <v>74.0</v>
      </c>
      <c r="B69" s="31" t="s">
        <v>1038</v>
      </c>
      <c r="C69" s="32">
        <v>56.0</v>
      </c>
      <c r="D69" s="29" t="s">
        <v>494</v>
      </c>
      <c r="E69" s="36">
        <v>-18.0</v>
      </c>
      <c r="F69" s="34"/>
      <c r="G69" s="32">
        <v>38.0</v>
      </c>
      <c r="H69" s="29" t="s">
        <v>310</v>
      </c>
      <c r="I69" s="36">
        <v>-36.0</v>
      </c>
      <c r="J69" s="34"/>
      <c r="K69" s="32">
        <v>38.0</v>
      </c>
      <c r="L69" s="29" t="s">
        <v>316</v>
      </c>
      <c r="M69" s="36">
        <v>-36.0</v>
      </c>
      <c r="N69" s="34"/>
    </row>
    <row r="70">
      <c r="A70" s="29">
        <v>75.0</v>
      </c>
      <c r="B70" s="31" t="s">
        <v>1049</v>
      </c>
      <c r="C70" s="32">
        <v>31.0</v>
      </c>
      <c r="D70" s="29" t="s">
        <v>310</v>
      </c>
      <c r="E70" s="36">
        <v>-44.0</v>
      </c>
      <c r="F70" s="34"/>
      <c r="G70" s="32">
        <v>41.0</v>
      </c>
      <c r="H70" s="29" t="s">
        <v>316</v>
      </c>
      <c r="I70" s="36">
        <v>-34.0</v>
      </c>
      <c r="J70" s="34"/>
      <c r="K70" s="32">
        <v>33.0</v>
      </c>
      <c r="L70" s="29" t="s">
        <v>310</v>
      </c>
      <c r="M70" s="36">
        <v>-42.0</v>
      </c>
      <c r="N70" s="34"/>
    </row>
    <row r="71">
      <c r="A71" s="29">
        <v>76.0</v>
      </c>
      <c r="B71" s="31" t="s">
        <v>1062</v>
      </c>
      <c r="C71" s="32">
        <v>80.0</v>
      </c>
      <c r="D71" s="29" t="s">
        <v>536</v>
      </c>
      <c r="E71" s="35">
        <f>+4</f>
        <v>4</v>
      </c>
      <c r="F71" s="34"/>
      <c r="G71" s="32">
        <v>82.0</v>
      </c>
      <c r="H71" s="29" t="s">
        <v>647</v>
      </c>
      <c r="I71" s="35">
        <f>+6</f>
        <v>6</v>
      </c>
      <c r="J71" s="34"/>
      <c r="K71" s="32">
        <v>88.0</v>
      </c>
      <c r="L71" s="29" t="s">
        <v>701</v>
      </c>
      <c r="M71" s="35">
        <f>+12</f>
        <v>12</v>
      </c>
      <c r="N71" s="34"/>
    </row>
    <row r="72">
      <c r="A72" s="29">
        <v>77.0</v>
      </c>
      <c r="B72" s="31" t="s">
        <v>1077</v>
      </c>
      <c r="C72" s="32">
        <v>93.0</v>
      </c>
      <c r="D72" s="29" t="s">
        <v>769</v>
      </c>
      <c r="E72" s="35">
        <f>+16</f>
        <v>16</v>
      </c>
      <c r="F72" s="34"/>
      <c r="G72" s="32">
        <v>68.0</v>
      </c>
      <c r="H72" s="29" t="s">
        <v>508</v>
      </c>
      <c r="I72" s="36">
        <v>-9.0</v>
      </c>
      <c r="J72" s="34"/>
      <c r="K72" s="32">
        <v>66.0</v>
      </c>
      <c r="L72" s="29" t="s">
        <v>508</v>
      </c>
      <c r="M72" s="36">
        <v>-11.0</v>
      </c>
      <c r="N72" s="34"/>
    </row>
    <row r="73">
      <c r="A73" s="29">
        <v>78.0</v>
      </c>
      <c r="B73" s="31" t="s">
        <v>1094</v>
      </c>
      <c r="C73" s="32">
        <v>42.0</v>
      </c>
      <c r="D73" s="29" t="s">
        <v>394</v>
      </c>
      <c r="E73" s="36">
        <v>-36.0</v>
      </c>
      <c r="F73" s="34"/>
      <c r="G73" s="32">
        <v>52.0</v>
      </c>
      <c r="H73" s="29" t="s">
        <v>436</v>
      </c>
      <c r="I73" s="36">
        <v>-26.0</v>
      </c>
      <c r="J73" s="34"/>
      <c r="K73" s="32">
        <v>45.0</v>
      </c>
      <c r="L73" s="29" t="s">
        <v>394</v>
      </c>
      <c r="M73" s="36">
        <v>-33.0</v>
      </c>
      <c r="N73" s="34"/>
    </row>
    <row r="74">
      <c r="A74" s="29">
        <v>79.0</v>
      </c>
      <c r="B74" s="31" t="s">
        <v>1106</v>
      </c>
      <c r="C74" s="32">
        <v>102.0</v>
      </c>
      <c r="D74" s="29" t="s">
        <v>680</v>
      </c>
      <c r="E74" s="35">
        <f>+23</f>
        <v>23</v>
      </c>
      <c r="F74" s="34"/>
      <c r="G74" s="32">
        <v>75.0</v>
      </c>
      <c r="H74" s="29" t="s">
        <v>586</v>
      </c>
      <c r="I74" s="36">
        <v>-4.0</v>
      </c>
      <c r="J74" s="34"/>
      <c r="K74" s="32">
        <v>84.0</v>
      </c>
      <c r="L74" s="29" t="s">
        <v>680</v>
      </c>
      <c r="M74" s="35">
        <f>+5</f>
        <v>5</v>
      </c>
      <c r="N74" s="34"/>
    </row>
    <row r="75">
      <c r="A75" s="29">
        <v>80.0</v>
      </c>
      <c r="B75" s="31" t="s">
        <v>1117</v>
      </c>
      <c r="C75" s="32">
        <v>81.0</v>
      </c>
      <c r="D75" s="29" t="s">
        <v>797</v>
      </c>
      <c r="E75" s="35">
        <f>+1</f>
        <v>1</v>
      </c>
      <c r="F75" s="34"/>
      <c r="G75" s="32">
        <v>91.0</v>
      </c>
      <c r="H75" s="29" t="s">
        <v>629</v>
      </c>
      <c r="I75" s="35">
        <f>+11</f>
        <v>11</v>
      </c>
      <c r="J75" s="34"/>
      <c r="K75" s="32">
        <v>102.0</v>
      </c>
      <c r="L75" s="29" t="s">
        <v>673</v>
      </c>
      <c r="M75" s="35">
        <f>+22</f>
        <v>22</v>
      </c>
      <c r="N75" s="34"/>
    </row>
    <row r="76">
      <c r="A76" s="29">
        <v>81.0</v>
      </c>
      <c r="B76" s="31" t="s">
        <v>1133</v>
      </c>
      <c r="C76" s="32">
        <v>46.0</v>
      </c>
      <c r="D76" s="29" t="s">
        <v>408</v>
      </c>
      <c r="E76" s="36">
        <v>-35.0</v>
      </c>
      <c r="F76" s="34"/>
      <c r="G76" s="32">
        <v>83.0</v>
      </c>
      <c r="H76" s="29" t="s">
        <v>633</v>
      </c>
      <c r="I76" s="35">
        <f>+2</f>
        <v>2</v>
      </c>
      <c r="J76" s="34"/>
      <c r="K76" s="32">
        <v>111.0</v>
      </c>
      <c r="L76" s="29" t="s">
        <v>904</v>
      </c>
      <c r="M76" s="35">
        <f>+30</f>
        <v>30</v>
      </c>
      <c r="N76" s="34"/>
    </row>
    <row r="77">
      <c r="A77" s="29">
        <v>82.0</v>
      </c>
      <c r="B77" s="31" t="s">
        <v>1151</v>
      </c>
      <c r="C77" s="32">
        <v>71.0</v>
      </c>
      <c r="D77" s="29" t="s">
        <v>673</v>
      </c>
      <c r="E77" s="36">
        <v>-11.0</v>
      </c>
      <c r="F77" s="34"/>
      <c r="G77" s="32">
        <v>87.0</v>
      </c>
      <c r="H77" s="29" t="s">
        <v>601</v>
      </c>
      <c r="I77" s="35">
        <f>+5</f>
        <v>5</v>
      </c>
      <c r="J77" s="34"/>
      <c r="K77" s="32">
        <v>94.0</v>
      </c>
      <c r="L77" s="29" t="s">
        <v>601</v>
      </c>
      <c r="M77" s="35">
        <f>+12</f>
        <v>12</v>
      </c>
      <c r="N77" s="34"/>
    </row>
    <row r="78">
      <c r="A78" s="29">
        <v>83.0</v>
      </c>
      <c r="B78" s="31" t="s">
        <v>1163</v>
      </c>
      <c r="C78" s="32">
        <v>63.0</v>
      </c>
      <c r="D78" s="29" t="s">
        <v>601</v>
      </c>
      <c r="E78" s="36">
        <v>-20.0</v>
      </c>
      <c r="F78" s="34"/>
      <c r="G78" s="32">
        <v>108.0</v>
      </c>
      <c r="H78" s="29" t="s">
        <v>797</v>
      </c>
      <c r="I78" s="35">
        <f>+25</f>
        <v>25</v>
      </c>
      <c r="J78" s="34"/>
      <c r="K78" s="32">
        <v>118.0</v>
      </c>
      <c r="L78" s="29" t="s">
        <v>797</v>
      </c>
      <c r="M78" s="35">
        <f>+35</f>
        <v>35</v>
      </c>
      <c r="N78" s="34"/>
    </row>
    <row r="79">
      <c r="A79" s="29">
        <v>85.0</v>
      </c>
      <c r="B79" s="31" t="s">
        <v>1175</v>
      </c>
      <c r="C79" s="32">
        <v>84.0</v>
      </c>
      <c r="D79" s="29" t="s">
        <v>816</v>
      </c>
      <c r="E79" s="36">
        <v>-1.0</v>
      </c>
      <c r="F79" s="34"/>
      <c r="G79" s="32">
        <v>81.0</v>
      </c>
      <c r="H79" s="29" t="s">
        <v>593</v>
      </c>
      <c r="I79" s="36">
        <v>-4.0</v>
      </c>
      <c r="J79" s="34"/>
      <c r="K79" s="32">
        <v>98.0</v>
      </c>
      <c r="L79" s="29" t="s">
        <v>629</v>
      </c>
      <c r="M79" s="35">
        <f>+13</f>
        <v>13</v>
      </c>
      <c r="N79" s="34"/>
    </row>
    <row r="80">
      <c r="A80" s="29">
        <v>86.0</v>
      </c>
      <c r="B80" s="31" t="s">
        <v>1190</v>
      </c>
      <c r="C80" s="32">
        <v>83.0</v>
      </c>
      <c r="D80" s="29" t="s">
        <v>578</v>
      </c>
      <c r="E80" s="36">
        <v>-3.0</v>
      </c>
      <c r="F80" s="34"/>
      <c r="G80" s="32">
        <v>74.0</v>
      </c>
      <c r="H80" s="29" t="s">
        <v>578</v>
      </c>
      <c r="I80" s="36">
        <v>-12.0</v>
      </c>
      <c r="J80" s="34"/>
      <c r="K80" s="32">
        <v>77.0</v>
      </c>
      <c r="L80" s="29" t="s">
        <v>586</v>
      </c>
      <c r="M80" s="36">
        <v>-9.0</v>
      </c>
      <c r="N80" s="34"/>
    </row>
    <row r="81">
      <c r="A81" s="29">
        <v>87.0</v>
      </c>
      <c r="B81" s="31" t="s">
        <v>1199</v>
      </c>
      <c r="C81" s="32">
        <v>118.0</v>
      </c>
      <c r="D81" s="29" t="s">
        <v>764</v>
      </c>
      <c r="E81" s="35">
        <f>+31</f>
        <v>31</v>
      </c>
      <c r="F81" s="34"/>
      <c r="G81" s="32">
        <v>65.0</v>
      </c>
      <c r="H81" s="29" t="s">
        <v>536</v>
      </c>
      <c r="I81" s="36">
        <v>-22.0</v>
      </c>
      <c r="J81" s="34"/>
      <c r="K81" s="32">
        <v>64.0</v>
      </c>
      <c r="L81" s="29" t="s">
        <v>529</v>
      </c>
      <c r="M81" s="36">
        <v>-23.0</v>
      </c>
      <c r="N81" s="34"/>
    </row>
    <row r="82">
      <c r="A82" s="29">
        <v>88.0</v>
      </c>
      <c r="B82" s="31" t="s">
        <v>1215</v>
      </c>
      <c r="C82" s="32">
        <v>34.0</v>
      </c>
      <c r="D82" s="29" t="s">
        <v>287</v>
      </c>
      <c r="E82" s="36">
        <v>-54.0</v>
      </c>
      <c r="F82" s="34"/>
      <c r="G82" s="32">
        <v>94.0</v>
      </c>
      <c r="H82" s="29" t="s">
        <v>722</v>
      </c>
      <c r="I82" s="35">
        <f>+6</f>
        <v>6</v>
      </c>
      <c r="J82" s="34"/>
      <c r="K82" s="32">
        <v>107.0</v>
      </c>
      <c r="L82" s="29" t="s">
        <v>722</v>
      </c>
      <c r="M82" s="35">
        <f>+19</f>
        <v>19</v>
      </c>
      <c r="N82" s="34"/>
    </row>
    <row r="83">
      <c r="A83" s="29">
        <v>89.0</v>
      </c>
      <c r="B83" s="31" t="s">
        <v>1227</v>
      </c>
      <c r="C83" s="32">
        <v>137.0</v>
      </c>
      <c r="D83" s="29" t="s">
        <v>1142</v>
      </c>
      <c r="E83" s="35">
        <f>+48</f>
        <v>48</v>
      </c>
      <c r="F83" s="34"/>
      <c r="G83" s="32">
        <v>148.0</v>
      </c>
      <c r="H83" s="29" t="s">
        <v>1009</v>
      </c>
      <c r="I83" s="35">
        <f>+59</f>
        <v>59</v>
      </c>
      <c r="J83" s="34"/>
      <c r="K83" s="32">
        <v>187.0</v>
      </c>
      <c r="L83" s="29" t="s">
        <v>1082</v>
      </c>
      <c r="M83" s="35">
        <f>+98</f>
        <v>98</v>
      </c>
      <c r="N83" s="34"/>
    </row>
    <row r="84">
      <c r="A84" s="29">
        <v>91.0</v>
      </c>
      <c r="B84" s="31" t="s">
        <v>1243</v>
      </c>
      <c r="C84" s="32">
        <v>168.0</v>
      </c>
      <c r="D84" s="29" t="s">
        <v>1250</v>
      </c>
      <c r="E84" s="35">
        <f>+77</f>
        <v>77</v>
      </c>
      <c r="F84" s="34"/>
      <c r="G84" s="32">
        <v>120.0</v>
      </c>
      <c r="H84" s="29" t="s">
        <v>953</v>
      </c>
      <c r="I84" s="35">
        <f>+29</f>
        <v>29</v>
      </c>
      <c r="J84" s="34"/>
      <c r="K84" s="32">
        <v>135.0</v>
      </c>
      <c r="L84" s="29" t="s">
        <v>1000</v>
      </c>
      <c r="M84" s="35">
        <f>+44</f>
        <v>44</v>
      </c>
      <c r="N84" s="34"/>
    </row>
    <row r="85">
      <c r="A85" s="29">
        <v>92.0</v>
      </c>
      <c r="B85" s="31" t="s">
        <v>1258</v>
      </c>
      <c r="C85" s="32">
        <v>99.0</v>
      </c>
      <c r="D85" s="29" t="s">
        <v>674</v>
      </c>
      <c r="E85" s="35">
        <f>+7</f>
        <v>7</v>
      </c>
      <c r="F85" s="34"/>
      <c r="G85" s="32">
        <v>107.0</v>
      </c>
      <c r="H85" s="29" t="s">
        <v>851</v>
      </c>
      <c r="I85" s="35">
        <f>+15</f>
        <v>15</v>
      </c>
      <c r="J85" s="34"/>
      <c r="K85" s="32">
        <v>123.0</v>
      </c>
      <c r="L85" s="29" t="s">
        <v>913</v>
      </c>
      <c r="M85" s="35">
        <f>+31</f>
        <v>31</v>
      </c>
      <c r="N85" s="34"/>
    </row>
    <row r="86">
      <c r="A86" s="29">
        <v>93.0</v>
      </c>
      <c r="B86" s="31" t="s">
        <v>1274</v>
      </c>
      <c r="C86" s="32">
        <v>141.0</v>
      </c>
      <c r="D86" s="29" t="s">
        <v>1000</v>
      </c>
      <c r="E86" s="35">
        <f>+48</f>
        <v>48</v>
      </c>
      <c r="F86" s="34"/>
      <c r="G86" s="32">
        <v>84.0</v>
      </c>
      <c r="H86" s="29" t="s">
        <v>656</v>
      </c>
      <c r="I86" s="36">
        <v>-9.0</v>
      </c>
      <c r="J86" s="34"/>
      <c r="K86" s="32">
        <v>75.0</v>
      </c>
      <c r="L86" s="29" t="s">
        <v>578</v>
      </c>
      <c r="M86" s="36">
        <v>-18.0</v>
      </c>
      <c r="N86" s="34"/>
    </row>
    <row r="87">
      <c r="A87" s="29">
        <v>94.0</v>
      </c>
      <c r="B87" s="31" t="s">
        <v>1287</v>
      </c>
      <c r="C87" s="32">
        <v>66.0</v>
      </c>
      <c r="D87" s="29" t="s">
        <v>557</v>
      </c>
      <c r="E87" s="36">
        <v>-28.0</v>
      </c>
      <c r="F87" s="34"/>
      <c r="G87" s="32">
        <v>69.0</v>
      </c>
      <c r="H87" s="29" t="s">
        <v>544</v>
      </c>
      <c r="I87" s="36">
        <v>-25.0</v>
      </c>
      <c r="J87" s="34"/>
      <c r="K87" s="32">
        <v>67.0</v>
      </c>
      <c r="L87" s="29" t="s">
        <v>557</v>
      </c>
      <c r="M87" s="36">
        <v>-27.0</v>
      </c>
      <c r="N87" s="34"/>
    </row>
    <row r="88">
      <c r="A88" s="29">
        <v>95.0</v>
      </c>
      <c r="B88" s="31" t="s">
        <v>1301</v>
      </c>
      <c r="C88" s="32">
        <v>72.0</v>
      </c>
      <c r="D88" s="29" t="s">
        <v>616</v>
      </c>
      <c r="E88" s="36">
        <v>-23.0</v>
      </c>
      <c r="F88" s="34"/>
      <c r="G88" s="32">
        <v>79.0</v>
      </c>
      <c r="H88" s="29" t="s">
        <v>624</v>
      </c>
      <c r="I88" s="36">
        <v>-16.0</v>
      </c>
      <c r="J88" s="34"/>
      <c r="K88" s="32">
        <v>80.0</v>
      </c>
      <c r="L88" s="29" t="s">
        <v>633</v>
      </c>
      <c r="M88" s="36">
        <v>-15.0</v>
      </c>
      <c r="N88" s="34"/>
    </row>
    <row r="89">
      <c r="A89" s="29">
        <v>96.0</v>
      </c>
      <c r="B89" s="31" t="s">
        <v>1312</v>
      </c>
      <c r="C89" s="32">
        <v>107.0</v>
      </c>
      <c r="D89" s="29" t="s">
        <v>701</v>
      </c>
      <c r="E89" s="35">
        <f>+11</f>
        <v>11</v>
      </c>
      <c r="F89" s="34"/>
      <c r="G89" s="32">
        <v>106.0</v>
      </c>
      <c r="H89" s="29" t="s">
        <v>823</v>
      </c>
      <c r="I89" s="35">
        <f>+10</f>
        <v>10</v>
      </c>
      <c r="J89" s="34"/>
      <c r="K89" s="32">
        <v>108.0</v>
      </c>
      <c r="L89" s="29" t="s">
        <v>764</v>
      </c>
      <c r="M89" s="35">
        <f>+12</f>
        <v>12</v>
      </c>
      <c r="N89" s="34"/>
    </row>
    <row r="90">
      <c r="A90" s="29">
        <v>97.0</v>
      </c>
      <c r="B90" s="31" t="s">
        <v>1330</v>
      </c>
      <c r="C90" s="32">
        <v>73.0</v>
      </c>
      <c r="D90" s="29" t="s">
        <v>722</v>
      </c>
      <c r="E90" s="36">
        <v>-24.0</v>
      </c>
      <c r="F90" s="34"/>
      <c r="G90" s="32">
        <v>93.0</v>
      </c>
      <c r="H90" s="29" t="s">
        <v>673</v>
      </c>
      <c r="I90" s="36">
        <v>-4.0</v>
      </c>
      <c r="J90" s="34"/>
      <c r="K90" s="32">
        <v>91.0</v>
      </c>
      <c r="L90" s="29" t="s">
        <v>593</v>
      </c>
      <c r="M90" s="36">
        <v>-6.0</v>
      </c>
      <c r="N90" s="34"/>
    </row>
    <row r="91">
      <c r="A91" s="29">
        <v>98.0</v>
      </c>
      <c r="B91" s="31" t="s">
        <v>1342</v>
      </c>
      <c r="C91" s="32">
        <v>74.0</v>
      </c>
      <c r="D91" s="29" t="s">
        <v>624</v>
      </c>
      <c r="E91" s="36">
        <v>-24.0</v>
      </c>
      <c r="F91" s="34"/>
      <c r="G91" s="32">
        <v>64.0</v>
      </c>
      <c r="H91" s="29" t="s">
        <v>522</v>
      </c>
      <c r="I91" s="36">
        <v>-34.0</v>
      </c>
      <c r="J91" s="34"/>
      <c r="K91" s="32">
        <v>60.0</v>
      </c>
      <c r="L91" s="29" t="s">
        <v>522</v>
      </c>
      <c r="M91" s="36">
        <v>-38.0</v>
      </c>
      <c r="N91" s="34"/>
    </row>
    <row r="92">
      <c r="A92" s="29">
        <v>99.0</v>
      </c>
      <c r="B92" s="31" t="s">
        <v>1355</v>
      </c>
      <c r="C92" s="32">
        <v>90.0</v>
      </c>
      <c r="D92" s="29" t="s">
        <v>640</v>
      </c>
      <c r="E92" s="36">
        <v>-9.0</v>
      </c>
      <c r="F92" s="34"/>
      <c r="G92" s="32">
        <v>110.0</v>
      </c>
      <c r="H92" s="29" t="s">
        <v>814</v>
      </c>
      <c r="I92" s="35">
        <f>+11</f>
        <v>11</v>
      </c>
      <c r="J92" s="34"/>
      <c r="K92" s="32">
        <v>125.0</v>
      </c>
      <c r="L92" s="29" t="s">
        <v>976</v>
      </c>
      <c r="M92" s="35">
        <f>+26</f>
        <v>26</v>
      </c>
      <c r="N92" s="34"/>
    </row>
    <row r="93">
      <c r="A93" s="29">
        <v>101.0</v>
      </c>
      <c r="B93" s="31" t="s">
        <v>1375</v>
      </c>
      <c r="C93" s="32">
        <v>95.0</v>
      </c>
      <c r="D93" s="29" t="s">
        <v>795</v>
      </c>
      <c r="E93" s="36">
        <v>-6.0</v>
      </c>
      <c r="F93" s="34"/>
      <c r="G93" s="32">
        <v>102.0</v>
      </c>
      <c r="H93" s="29" t="s">
        <v>862</v>
      </c>
      <c r="I93" s="35">
        <f>+1</f>
        <v>1</v>
      </c>
      <c r="J93" s="34"/>
      <c r="K93" s="32">
        <v>109.0</v>
      </c>
      <c r="L93" s="29" t="s">
        <v>966</v>
      </c>
      <c r="M93" s="35">
        <f>+8</f>
        <v>8</v>
      </c>
      <c r="N93" s="34"/>
    </row>
    <row r="94">
      <c r="A94" s="29">
        <v>102.0</v>
      </c>
      <c r="B94" s="31" t="s">
        <v>1390</v>
      </c>
      <c r="C94" s="32">
        <v>61.0</v>
      </c>
      <c r="D94" s="29" t="s">
        <v>544</v>
      </c>
      <c r="E94" s="36">
        <v>-41.0</v>
      </c>
      <c r="F94" s="34"/>
      <c r="G94" s="32">
        <v>77.0</v>
      </c>
      <c r="H94" s="29" t="s">
        <v>616</v>
      </c>
      <c r="I94" s="36">
        <v>-25.0</v>
      </c>
      <c r="J94" s="34"/>
      <c r="K94" s="32">
        <v>71.0</v>
      </c>
      <c r="L94" s="29" t="s">
        <v>616</v>
      </c>
      <c r="M94" s="36">
        <v>-31.0</v>
      </c>
      <c r="N94" s="34"/>
    </row>
    <row r="95">
      <c r="A95" s="29">
        <v>103.0</v>
      </c>
      <c r="B95" s="31" t="s">
        <v>1402</v>
      </c>
      <c r="C95" s="32">
        <v>53.0</v>
      </c>
      <c r="D95" s="29" t="s">
        <v>442</v>
      </c>
      <c r="E95" s="36">
        <v>-50.0</v>
      </c>
      <c r="F95" s="34"/>
      <c r="G95" s="32">
        <v>70.0</v>
      </c>
      <c r="H95" s="29" t="s">
        <v>557</v>
      </c>
      <c r="I95" s="36">
        <v>-33.0</v>
      </c>
      <c r="J95" s="34"/>
      <c r="K95" s="32">
        <v>69.0</v>
      </c>
      <c r="L95" s="29" t="s">
        <v>572</v>
      </c>
      <c r="M95" s="36">
        <v>-34.0</v>
      </c>
      <c r="N95" s="34"/>
    </row>
    <row r="96">
      <c r="A96" s="29">
        <v>105.0</v>
      </c>
      <c r="B96" s="31" t="s">
        <v>1414</v>
      </c>
      <c r="C96" s="32">
        <v>114.0</v>
      </c>
      <c r="D96" s="29" t="s">
        <v>885</v>
      </c>
      <c r="E96" s="35">
        <f>+9</f>
        <v>9</v>
      </c>
      <c r="F96" s="34"/>
      <c r="G96" s="32">
        <v>117.0</v>
      </c>
      <c r="H96" s="29" t="s">
        <v>830</v>
      </c>
      <c r="I96" s="35">
        <f>+12</f>
        <v>12</v>
      </c>
      <c r="J96" s="34"/>
      <c r="K96" s="32">
        <v>138.0</v>
      </c>
      <c r="L96" s="29" t="s">
        <v>830</v>
      </c>
      <c r="M96" s="35">
        <f>+33</f>
        <v>33</v>
      </c>
      <c r="N96" s="34"/>
    </row>
    <row r="97">
      <c r="A97" s="29">
        <v>106.0</v>
      </c>
      <c r="B97" s="31" t="s">
        <v>1430</v>
      </c>
      <c r="C97" s="32">
        <v>85.0</v>
      </c>
      <c r="D97" s="29" t="s">
        <v>602</v>
      </c>
      <c r="E97" s="36">
        <v>-21.0</v>
      </c>
      <c r="F97" s="34"/>
      <c r="G97" s="32">
        <v>73.0</v>
      </c>
      <c r="H97" s="29" t="s">
        <v>602</v>
      </c>
      <c r="I97" s="36">
        <v>-33.0</v>
      </c>
      <c r="J97" s="34"/>
      <c r="K97" s="32">
        <v>78.0</v>
      </c>
      <c r="L97" s="29" t="s">
        <v>602</v>
      </c>
      <c r="M97" s="36">
        <v>-28.0</v>
      </c>
      <c r="N97" s="34"/>
    </row>
    <row r="98">
      <c r="A98" s="29">
        <v>107.0</v>
      </c>
      <c r="B98" s="31" t="s">
        <v>1440</v>
      </c>
      <c r="C98" s="32">
        <v>64.0</v>
      </c>
      <c r="D98" s="29" t="s">
        <v>629</v>
      </c>
      <c r="E98" s="36">
        <v>-43.0</v>
      </c>
      <c r="F98" s="34"/>
      <c r="G98" s="32">
        <v>109.0</v>
      </c>
      <c r="H98" s="29" t="s">
        <v>816</v>
      </c>
      <c r="I98" s="35">
        <f>+2</f>
        <v>2</v>
      </c>
      <c r="J98" s="34"/>
      <c r="K98" s="32">
        <v>112.0</v>
      </c>
      <c r="L98" s="29" t="s">
        <v>762</v>
      </c>
      <c r="M98" s="35">
        <f>+5</f>
        <v>5</v>
      </c>
      <c r="N98" s="34"/>
    </row>
    <row r="99">
      <c r="A99" s="29">
        <v>108.0</v>
      </c>
      <c r="B99" s="31" t="s">
        <v>1457</v>
      </c>
      <c r="C99" s="32">
        <v>158.0</v>
      </c>
      <c r="D99" s="29" t="s">
        <v>1110</v>
      </c>
      <c r="E99" s="35">
        <f>+50</f>
        <v>50</v>
      </c>
      <c r="F99" s="34"/>
      <c r="G99" s="32">
        <v>128.0</v>
      </c>
      <c r="H99" s="29" t="s">
        <v>1019</v>
      </c>
      <c r="I99" s="35">
        <f>+20</f>
        <v>20</v>
      </c>
      <c r="J99" s="34"/>
      <c r="K99" s="32">
        <v>139.0</v>
      </c>
      <c r="L99" s="29" t="s">
        <v>1035</v>
      </c>
      <c r="M99" s="35">
        <f>+31</f>
        <v>31</v>
      </c>
      <c r="N99" s="34"/>
    </row>
    <row r="100">
      <c r="A100" s="29">
        <v>109.0</v>
      </c>
      <c r="B100" s="31" t="s">
        <v>1476</v>
      </c>
      <c r="C100" s="32">
        <v>108.0</v>
      </c>
      <c r="D100" s="29" t="s">
        <v>886</v>
      </c>
      <c r="E100" s="36">
        <v>-1.0</v>
      </c>
      <c r="F100" s="34"/>
      <c r="G100" s="32">
        <v>90.0</v>
      </c>
      <c r="H100" s="29" t="s">
        <v>640</v>
      </c>
      <c r="I100" s="36">
        <v>-19.0</v>
      </c>
      <c r="J100" s="34"/>
      <c r="K100" s="32">
        <v>73.0</v>
      </c>
      <c r="L100" s="29" t="s">
        <v>624</v>
      </c>
      <c r="M100" s="36">
        <v>-36.0</v>
      </c>
      <c r="N100" s="34"/>
    </row>
    <row r="101">
      <c r="A101" s="29">
        <v>115.0</v>
      </c>
      <c r="B101" s="31" t="s">
        <v>1489</v>
      </c>
      <c r="C101" s="32">
        <v>68.0</v>
      </c>
      <c r="D101" s="29" t="s">
        <v>572</v>
      </c>
      <c r="E101" s="36">
        <v>-47.0</v>
      </c>
      <c r="F101" s="34"/>
      <c r="G101" s="32">
        <v>62.0</v>
      </c>
      <c r="H101" s="29" t="s">
        <v>494</v>
      </c>
      <c r="I101" s="36">
        <v>-53.0</v>
      </c>
      <c r="J101" s="34"/>
      <c r="K101" s="32">
        <v>54.0</v>
      </c>
      <c r="L101" s="29" t="s">
        <v>494</v>
      </c>
      <c r="M101" s="36">
        <v>-61.0</v>
      </c>
      <c r="N101" s="34"/>
    </row>
    <row r="102">
      <c r="A102" s="29">
        <v>116.0</v>
      </c>
      <c r="B102" s="31" t="s">
        <v>1500</v>
      </c>
      <c r="C102" s="32">
        <v>88.0</v>
      </c>
      <c r="D102" s="29" t="s">
        <v>633</v>
      </c>
      <c r="E102" s="36">
        <v>-28.0</v>
      </c>
      <c r="F102" s="34"/>
      <c r="G102" s="32">
        <v>100.0</v>
      </c>
      <c r="H102" s="29" t="s">
        <v>778</v>
      </c>
      <c r="I102" s="36">
        <v>-16.0</v>
      </c>
      <c r="J102" s="34"/>
      <c r="K102" s="32">
        <v>103.0</v>
      </c>
      <c r="L102" s="29" t="s">
        <v>886</v>
      </c>
      <c r="M102" s="36">
        <v>-13.0</v>
      </c>
      <c r="N102" s="34"/>
    </row>
    <row r="103">
      <c r="A103" s="29">
        <v>119.0</v>
      </c>
      <c r="B103" s="31" t="s">
        <v>1510</v>
      </c>
      <c r="C103" s="32">
        <v>94.0</v>
      </c>
      <c r="D103" s="29" t="s">
        <v>755</v>
      </c>
      <c r="E103" s="36">
        <v>-25.0</v>
      </c>
      <c r="F103" s="34"/>
      <c r="G103" s="32">
        <v>76.0</v>
      </c>
      <c r="H103" s="29" t="s">
        <v>572</v>
      </c>
      <c r="I103" s="36">
        <v>-43.0</v>
      </c>
      <c r="J103" s="34"/>
      <c r="K103" s="32">
        <v>65.0</v>
      </c>
      <c r="L103" s="29" t="s">
        <v>544</v>
      </c>
      <c r="M103" s="36">
        <v>-54.0</v>
      </c>
      <c r="N103" s="34"/>
    </row>
    <row r="104">
      <c r="A104" s="29">
        <v>120.0</v>
      </c>
      <c r="B104" s="31" t="s">
        <v>1516</v>
      </c>
      <c r="C104" s="32">
        <v>101.0</v>
      </c>
      <c r="D104" s="29" t="s">
        <v>778</v>
      </c>
      <c r="E104" s="36">
        <v>-19.0</v>
      </c>
      <c r="F104" s="34"/>
      <c r="G104" s="32">
        <v>116.0</v>
      </c>
      <c r="H104" s="29" t="s">
        <v>895</v>
      </c>
      <c r="I104" s="36">
        <v>-4.0</v>
      </c>
      <c r="J104" s="34"/>
      <c r="K104" s="32">
        <v>169.0</v>
      </c>
      <c r="L104" s="29" t="s">
        <v>1363</v>
      </c>
      <c r="M104" s="35">
        <f>+49</f>
        <v>49</v>
      </c>
      <c r="N104" s="34"/>
    </row>
    <row r="105">
      <c r="A105" s="29">
        <v>122.0</v>
      </c>
      <c r="B105" s="31" t="s">
        <v>1529</v>
      </c>
      <c r="C105" s="32">
        <v>151.0</v>
      </c>
      <c r="D105" s="29" t="s">
        <v>1035</v>
      </c>
      <c r="E105" s="35">
        <f>+29</f>
        <v>29</v>
      </c>
      <c r="F105" s="34"/>
      <c r="G105" s="32">
        <v>119.0</v>
      </c>
      <c r="H105" s="29" t="s">
        <v>939</v>
      </c>
      <c r="I105" s="36">
        <v>-3.0</v>
      </c>
      <c r="J105" s="34"/>
      <c r="K105" s="32">
        <v>131.0</v>
      </c>
      <c r="L105" s="29" t="s">
        <v>953</v>
      </c>
      <c r="M105" s="35">
        <f>+9</f>
        <v>9</v>
      </c>
      <c r="N105" s="34"/>
    </row>
    <row r="106">
      <c r="A106" s="29">
        <v>123.0</v>
      </c>
      <c r="B106" s="31" t="s">
        <v>1544</v>
      </c>
      <c r="C106" s="32">
        <v>97.0</v>
      </c>
      <c r="D106" s="29" t="s">
        <v>830</v>
      </c>
      <c r="E106" s="36">
        <v>-26.0</v>
      </c>
      <c r="F106" s="34"/>
      <c r="G106" s="32">
        <v>123.0</v>
      </c>
      <c r="H106" s="29" t="s">
        <v>885</v>
      </c>
      <c r="I106" s="33">
        <f>+0</f>
        <v>0</v>
      </c>
      <c r="J106" s="34"/>
      <c r="K106" s="32">
        <v>155.0</v>
      </c>
      <c r="L106" s="29" t="s">
        <v>924</v>
      </c>
      <c r="M106" s="35">
        <f>+32</f>
        <v>32</v>
      </c>
      <c r="N106" s="34"/>
    </row>
    <row r="107">
      <c r="A107" s="29">
        <v>124.0</v>
      </c>
      <c r="B107" s="31" t="s">
        <v>1558</v>
      </c>
      <c r="C107" s="32">
        <v>125.0</v>
      </c>
      <c r="D107" s="29" t="s">
        <v>870</v>
      </c>
      <c r="E107" s="35">
        <f>+1</f>
        <v>1</v>
      </c>
      <c r="F107" s="34"/>
      <c r="G107" s="32">
        <v>115.0</v>
      </c>
      <c r="H107" s="29" t="s">
        <v>966</v>
      </c>
      <c r="I107" s="36">
        <v>-9.0</v>
      </c>
      <c r="J107" s="34"/>
      <c r="K107" s="32">
        <v>104.0</v>
      </c>
      <c r="L107" s="29" t="s">
        <v>862</v>
      </c>
      <c r="M107" s="36">
        <v>-20.0</v>
      </c>
      <c r="N107" s="34"/>
    </row>
    <row r="108">
      <c r="A108" s="29">
        <v>125.0</v>
      </c>
      <c r="B108" s="31" t="s">
        <v>1568</v>
      </c>
      <c r="C108" s="32">
        <v>109.0</v>
      </c>
      <c r="D108" s="29" t="s">
        <v>730</v>
      </c>
      <c r="E108" s="36">
        <v>-16.0</v>
      </c>
      <c r="F108" s="34"/>
      <c r="G108" s="32">
        <v>92.0</v>
      </c>
      <c r="H108" s="29" t="s">
        <v>740</v>
      </c>
      <c r="I108" s="36">
        <v>-33.0</v>
      </c>
      <c r="J108" s="34"/>
      <c r="K108" s="32">
        <v>83.0</v>
      </c>
      <c r="L108" s="29" t="s">
        <v>674</v>
      </c>
      <c r="M108" s="36">
        <v>-42.0</v>
      </c>
      <c r="N108" s="34"/>
    </row>
    <row r="109">
      <c r="A109" s="29">
        <v>127.0</v>
      </c>
      <c r="B109" s="31" t="s">
        <v>1574</v>
      </c>
      <c r="C109" s="32">
        <v>79.0</v>
      </c>
      <c r="D109" s="29" t="s">
        <v>762</v>
      </c>
      <c r="E109" s="36">
        <v>-48.0</v>
      </c>
      <c r="F109" s="34"/>
      <c r="G109" s="32">
        <v>105.0</v>
      </c>
      <c r="H109" s="29" t="s">
        <v>762</v>
      </c>
      <c r="I109" s="36">
        <v>-22.0</v>
      </c>
      <c r="J109" s="34"/>
      <c r="K109" s="32">
        <v>133.0</v>
      </c>
      <c r="L109" s="29" t="s">
        <v>816</v>
      </c>
      <c r="M109" s="35">
        <f>+6</f>
        <v>6</v>
      </c>
      <c r="N109" s="34"/>
    </row>
    <row r="110">
      <c r="A110" s="29">
        <v>128.0</v>
      </c>
      <c r="B110" s="31" t="s">
        <v>1583</v>
      </c>
      <c r="C110" s="32">
        <v>221.0</v>
      </c>
      <c r="D110" s="29" t="s">
        <v>1588</v>
      </c>
      <c r="E110" s="35">
        <f>+93</f>
        <v>93</v>
      </c>
      <c r="F110" s="34"/>
      <c r="G110" s="32">
        <v>133.0</v>
      </c>
      <c r="H110" s="29" t="s">
        <v>1090</v>
      </c>
      <c r="I110" s="35">
        <f>+5</f>
        <v>5</v>
      </c>
      <c r="J110" s="34"/>
      <c r="K110" s="32">
        <v>145.0</v>
      </c>
      <c r="L110" s="29" t="s">
        <v>1100</v>
      </c>
      <c r="M110" s="35">
        <f>+17</f>
        <v>17</v>
      </c>
      <c r="N110" s="34"/>
    </row>
    <row r="111">
      <c r="A111" s="29">
        <v>129.0</v>
      </c>
      <c r="B111" s="31" t="s">
        <v>1594</v>
      </c>
      <c r="C111" s="32">
        <v>171.0</v>
      </c>
      <c r="D111" s="29" t="s">
        <v>1322</v>
      </c>
      <c r="E111" s="35">
        <f>+42</f>
        <v>42</v>
      </c>
      <c r="F111" s="34"/>
      <c r="G111" s="32">
        <v>153.0</v>
      </c>
      <c r="H111" s="29" t="s">
        <v>1256</v>
      </c>
      <c r="I111" s="35">
        <f>+24</f>
        <v>24</v>
      </c>
      <c r="J111" s="34"/>
      <c r="K111" s="32">
        <v>177.0</v>
      </c>
      <c r="L111" s="29" t="s">
        <v>1296</v>
      </c>
      <c r="M111" s="35">
        <f>+48</f>
        <v>48</v>
      </c>
      <c r="N111" s="34"/>
    </row>
    <row r="112">
      <c r="A112" s="29">
        <v>130.0</v>
      </c>
      <c r="B112" s="31" t="s">
        <v>1609</v>
      </c>
      <c r="C112" s="32">
        <v>126.0</v>
      </c>
      <c r="D112" s="29" t="s">
        <v>913</v>
      </c>
      <c r="E112" s="36">
        <v>-4.0</v>
      </c>
      <c r="F112" s="34"/>
      <c r="G112" s="32">
        <v>103.0</v>
      </c>
      <c r="H112" s="29" t="s">
        <v>764</v>
      </c>
      <c r="I112" s="36">
        <v>-27.0</v>
      </c>
      <c r="J112" s="34"/>
      <c r="K112" s="32">
        <v>119.0</v>
      </c>
      <c r="L112" s="29" t="s">
        <v>851</v>
      </c>
      <c r="M112" s="36">
        <v>-11.0</v>
      </c>
      <c r="N112" s="34"/>
    </row>
    <row r="113">
      <c r="A113" s="29">
        <v>131.0</v>
      </c>
      <c r="B113" s="31" t="s">
        <v>1621</v>
      </c>
      <c r="C113" s="32">
        <v>120.0</v>
      </c>
      <c r="D113" s="29" t="s">
        <v>961</v>
      </c>
      <c r="E113" s="36">
        <v>-11.0</v>
      </c>
      <c r="F113" s="34"/>
      <c r="G113" s="32">
        <v>145.0</v>
      </c>
      <c r="H113" s="29" t="s">
        <v>975</v>
      </c>
      <c r="I113" s="35">
        <f>+14</f>
        <v>14</v>
      </c>
      <c r="J113" s="34"/>
      <c r="K113" s="32">
        <v>174.0</v>
      </c>
      <c r="L113" s="29" t="s">
        <v>1009</v>
      </c>
      <c r="M113" s="35">
        <f>+43</f>
        <v>43</v>
      </c>
      <c r="N113" s="34"/>
    </row>
    <row r="114">
      <c r="A114" s="29">
        <v>132.0</v>
      </c>
      <c r="B114" s="31" t="s">
        <v>1636</v>
      </c>
      <c r="C114" s="32">
        <v>140.0</v>
      </c>
      <c r="D114" s="29" t="s">
        <v>953</v>
      </c>
      <c r="E114" s="35">
        <f>+8</f>
        <v>8</v>
      </c>
      <c r="F114" s="34"/>
      <c r="G114" s="32">
        <v>89.0</v>
      </c>
      <c r="H114" s="29" t="s">
        <v>730</v>
      </c>
      <c r="I114" s="36">
        <v>-43.0</v>
      </c>
      <c r="J114" s="34"/>
      <c r="K114" s="32">
        <v>82.0</v>
      </c>
      <c r="L114" s="29" t="s">
        <v>656</v>
      </c>
      <c r="M114" s="36">
        <v>-50.0</v>
      </c>
      <c r="N114" s="34"/>
    </row>
    <row r="115">
      <c r="A115" s="29">
        <v>134.0</v>
      </c>
      <c r="B115" s="31" t="s">
        <v>1649</v>
      </c>
      <c r="C115" s="32">
        <v>106.0</v>
      </c>
      <c r="D115" s="29" t="s">
        <v>805</v>
      </c>
      <c r="E115" s="36">
        <v>-28.0</v>
      </c>
      <c r="F115" s="34"/>
      <c r="G115" s="32">
        <v>99.0</v>
      </c>
      <c r="H115" s="29" t="s">
        <v>805</v>
      </c>
      <c r="I115" s="36">
        <v>-35.0</v>
      </c>
      <c r="J115" s="34"/>
      <c r="K115" s="32">
        <v>117.0</v>
      </c>
      <c r="L115" s="29" t="s">
        <v>1076</v>
      </c>
      <c r="M115" s="36">
        <v>-17.0</v>
      </c>
      <c r="N115" s="34"/>
    </row>
    <row r="116">
      <c r="A116" s="29">
        <v>135.0</v>
      </c>
      <c r="B116" s="31" t="s">
        <v>1662</v>
      </c>
      <c r="C116" s="32">
        <v>129.0</v>
      </c>
      <c r="D116" s="29" t="s">
        <v>975</v>
      </c>
      <c r="E116" s="36">
        <v>-6.0</v>
      </c>
      <c r="F116" s="34"/>
      <c r="G116" s="32">
        <v>135.0</v>
      </c>
      <c r="H116" s="29" t="s">
        <v>924</v>
      </c>
      <c r="I116" s="33">
        <f>+0</f>
        <v>0</v>
      </c>
      <c r="J116" s="34"/>
      <c r="K116" s="32">
        <v>146.0</v>
      </c>
      <c r="L116" s="29" t="s">
        <v>885</v>
      </c>
      <c r="M116" s="35">
        <f>+11</f>
        <v>11</v>
      </c>
      <c r="N116" s="34"/>
    </row>
    <row r="117">
      <c r="A117" s="29">
        <v>141.0</v>
      </c>
      <c r="B117" s="31" t="s">
        <v>1678</v>
      </c>
      <c r="C117" s="32">
        <v>82.0</v>
      </c>
      <c r="D117" s="29" t="s">
        <v>566</v>
      </c>
      <c r="E117" s="36">
        <v>-59.0</v>
      </c>
      <c r="F117" s="34"/>
      <c r="G117" s="32">
        <v>156.0</v>
      </c>
      <c r="H117" s="29" t="s">
        <v>1296</v>
      </c>
      <c r="I117" s="35">
        <f>+15</f>
        <v>15</v>
      </c>
      <c r="J117" s="34"/>
      <c r="K117" s="32">
        <v>196.0</v>
      </c>
      <c r="L117" s="29" t="s">
        <v>1345</v>
      </c>
      <c r="M117" s="35">
        <f>+55</f>
        <v>55</v>
      </c>
      <c r="N117" s="34"/>
    </row>
    <row r="118">
      <c r="A118" s="29">
        <v>142.0</v>
      </c>
      <c r="B118" s="31" t="s">
        <v>1692</v>
      </c>
      <c r="C118" s="32" t="s">
        <v>151</v>
      </c>
      <c r="D118" s="29" t="s">
        <v>151</v>
      </c>
      <c r="E118" s="38" t="s">
        <v>151</v>
      </c>
      <c r="F118" s="34"/>
      <c r="G118" s="32">
        <v>138.0</v>
      </c>
      <c r="H118" s="29" t="s">
        <v>1110</v>
      </c>
      <c r="I118" s="36">
        <v>-4.0</v>
      </c>
      <c r="J118" s="34"/>
      <c r="K118" s="32">
        <v>130.0</v>
      </c>
      <c r="L118" s="29" t="s">
        <v>939</v>
      </c>
      <c r="M118" s="36">
        <v>-12.0</v>
      </c>
      <c r="N118" s="34"/>
    </row>
    <row r="119">
      <c r="A119" s="29">
        <v>143.0</v>
      </c>
      <c r="B119" s="31" t="s">
        <v>1705</v>
      </c>
      <c r="C119" s="32">
        <v>119.0</v>
      </c>
      <c r="D119" s="29" t="s">
        <v>924</v>
      </c>
      <c r="E119" s="36">
        <v>-24.0</v>
      </c>
      <c r="F119" s="34"/>
      <c r="G119" s="32">
        <v>144.0</v>
      </c>
      <c r="H119" s="29" t="s">
        <v>961</v>
      </c>
      <c r="I119" s="35">
        <f>+1</f>
        <v>1</v>
      </c>
      <c r="J119" s="34"/>
      <c r="K119" s="32">
        <v>168.0</v>
      </c>
      <c r="L119" s="29" t="s">
        <v>975</v>
      </c>
      <c r="M119" s="35">
        <f>+25</f>
        <v>25</v>
      </c>
      <c r="N119" s="34"/>
    </row>
    <row r="120">
      <c r="A120" s="29">
        <v>146.0</v>
      </c>
      <c r="B120" s="31" t="s">
        <v>1720</v>
      </c>
      <c r="C120" s="32">
        <v>122.0</v>
      </c>
      <c r="D120" s="29" t="s">
        <v>823</v>
      </c>
      <c r="E120" s="36">
        <v>-24.0</v>
      </c>
      <c r="F120" s="34"/>
      <c r="G120" s="32">
        <v>125.0</v>
      </c>
      <c r="H120" s="29" t="s">
        <v>1000</v>
      </c>
      <c r="I120" s="36">
        <v>-21.0</v>
      </c>
      <c r="J120" s="34"/>
      <c r="K120" s="32">
        <v>156.0</v>
      </c>
      <c r="L120" s="29" t="s">
        <v>1128</v>
      </c>
      <c r="M120" s="35">
        <f>+10</f>
        <v>10</v>
      </c>
      <c r="N120" s="34"/>
    </row>
    <row r="121">
      <c r="A121" s="29">
        <v>147.0</v>
      </c>
      <c r="B121" s="31" t="s">
        <v>1738</v>
      </c>
      <c r="C121" s="32">
        <v>113.0</v>
      </c>
      <c r="D121" s="29" t="s">
        <v>1031</v>
      </c>
      <c r="E121" s="36">
        <v>-34.0</v>
      </c>
      <c r="F121" s="34"/>
      <c r="G121" s="32">
        <v>139.0</v>
      </c>
      <c r="H121" s="29" t="s">
        <v>1031</v>
      </c>
      <c r="I121" s="36">
        <v>-8.0</v>
      </c>
      <c r="J121" s="34"/>
      <c r="K121" s="32">
        <v>122.0</v>
      </c>
      <c r="L121" s="29" t="s">
        <v>1031</v>
      </c>
      <c r="M121" s="36">
        <v>-25.0</v>
      </c>
      <c r="N121" s="34"/>
    </row>
    <row r="122">
      <c r="A122" s="29">
        <v>148.0</v>
      </c>
      <c r="B122" s="31" t="s">
        <v>1751</v>
      </c>
      <c r="C122" s="32">
        <v>173.0</v>
      </c>
      <c r="D122" s="29" t="s">
        <v>1345</v>
      </c>
      <c r="E122" s="35">
        <f>+25</f>
        <v>25</v>
      </c>
      <c r="F122" s="34"/>
      <c r="G122" s="32">
        <v>132.0</v>
      </c>
      <c r="H122" s="29" t="s">
        <v>1035</v>
      </c>
      <c r="I122" s="36">
        <v>-16.0</v>
      </c>
      <c r="J122" s="34"/>
      <c r="K122" s="32">
        <v>151.0</v>
      </c>
      <c r="L122" s="29" t="s">
        <v>1110</v>
      </c>
      <c r="M122" s="35">
        <f>+3</f>
        <v>3</v>
      </c>
      <c r="N122" s="34"/>
    </row>
    <row r="123">
      <c r="A123" s="29">
        <v>150.0</v>
      </c>
      <c r="B123" s="31" t="s">
        <v>1767</v>
      </c>
      <c r="C123" s="32">
        <v>117.0</v>
      </c>
      <c r="D123" s="29" t="s">
        <v>862</v>
      </c>
      <c r="E123" s="36">
        <v>-33.0</v>
      </c>
      <c r="F123" s="34"/>
      <c r="G123" s="32">
        <v>98.0</v>
      </c>
      <c r="H123" s="29" t="s">
        <v>795</v>
      </c>
      <c r="I123" s="36">
        <v>-52.0</v>
      </c>
      <c r="J123" s="34"/>
      <c r="K123" s="32">
        <v>87.0</v>
      </c>
      <c r="L123" s="29" t="s">
        <v>769</v>
      </c>
      <c r="M123" s="36">
        <v>-63.0</v>
      </c>
      <c r="N123" s="34"/>
    </row>
    <row r="124">
      <c r="A124" s="29">
        <v>151.0</v>
      </c>
      <c r="B124" s="31" t="s">
        <v>1778</v>
      </c>
      <c r="C124" s="32">
        <v>115.0</v>
      </c>
      <c r="D124" s="29" t="s">
        <v>740</v>
      </c>
      <c r="E124" s="36">
        <v>-36.0</v>
      </c>
      <c r="F124" s="34"/>
      <c r="G124" s="32">
        <v>95.0</v>
      </c>
      <c r="H124" s="29" t="s">
        <v>748</v>
      </c>
      <c r="I124" s="36">
        <v>-56.0</v>
      </c>
      <c r="J124" s="34"/>
      <c r="K124" s="32">
        <v>96.0</v>
      </c>
      <c r="L124" s="29" t="s">
        <v>748</v>
      </c>
      <c r="M124" s="36">
        <v>-55.0</v>
      </c>
      <c r="N124" s="34"/>
    </row>
    <row r="125">
      <c r="A125" s="29">
        <v>152.0</v>
      </c>
      <c r="B125" s="31" t="s">
        <v>1787</v>
      </c>
      <c r="C125" s="32">
        <v>116.0</v>
      </c>
      <c r="D125" s="29" t="s">
        <v>748</v>
      </c>
      <c r="E125" s="36">
        <v>-36.0</v>
      </c>
      <c r="F125" s="34"/>
      <c r="G125" s="32">
        <v>85.0</v>
      </c>
      <c r="H125" s="29" t="s">
        <v>674</v>
      </c>
      <c r="I125" s="36">
        <v>-67.0</v>
      </c>
      <c r="J125" s="34"/>
      <c r="K125" s="32">
        <v>81.0</v>
      </c>
      <c r="L125" s="29" t="s">
        <v>647</v>
      </c>
      <c r="M125" s="36">
        <v>-71.0</v>
      </c>
      <c r="N125" s="34"/>
    </row>
    <row r="126">
      <c r="A126" s="29">
        <v>153.0</v>
      </c>
      <c r="B126" s="31" t="s">
        <v>1796</v>
      </c>
      <c r="C126" s="32">
        <v>136.0</v>
      </c>
      <c r="D126" s="29" t="s">
        <v>1041</v>
      </c>
      <c r="E126" s="36">
        <v>-17.0</v>
      </c>
      <c r="F126" s="34"/>
      <c r="G126" s="32">
        <v>147.0</v>
      </c>
      <c r="H126" s="29" t="s">
        <v>1093</v>
      </c>
      <c r="I126" s="36">
        <v>-6.0</v>
      </c>
      <c r="J126" s="34"/>
      <c r="K126" s="32">
        <v>167.0</v>
      </c>
      <c r="L126" s="29" t="s">
        <v>1346</v>
      </c>
      <c r="M126" s="35">
        <f>+14</f>
        <v>14</v>
      </c>
      <c r="N126" s="34"/>
    </row>
    <row r="127">
      <c r="A127" s="29">
        <v>154.0</v>
      </c>
      <c r="B127" s="31" t="s">
        <v>1808</v>
      </c>
      <c r="C127" s="32">
        <v>58.0</v>
      </c>
      <c r="D127" s="29" t="s">
        <v>522</v>
      </c>
      <c r="E127" s="36">
        <v>-96.0</v>
      </c>
      <c r="F127" s="34"/>
      <c r="G127" s="32">
        <v>59.0</v>
      </c>
      <c r="H127" s="29" t="s">
        <v>442</v>
      </c>
      <c r="I127" s="36">
        <v>-95.0</v>
      </c>
      <c r="J127" s="34"/>
      <c r="K127" s="32">
        <v>42.0</v>
      </c>
      <c r="L127" s="29" t="s">
        <v>356</v>
      </c>
      <c r="M127" s="38" t="s">
        <v>151</v>
      </c>
      <c r="N127" s="34"/>
    </row>
    <row r="128">
      <c r="A128" s="29">
        <v>157.0</v>
      </c>
      <c r="B128" s="31" t="s">
        <v>1815</v>
      </c>
      <c r="C128" s="32">
        <v>143.0</v>
      </c>
      <c r="D128" s="29" t="s">
        <v>1019</v>
      </c>
      <c r="E128" s="36">
        <v>-14.0</v>
      </c>
      <c r="F128" s="34"/>
      <c r="G128" s="32">
        <v>158.0</v>
      </c>
      <c r="H128" s="29" t="s">
        <v>1250</v>
      </c>
      <c r="I128" s="35">
        <f>+1</f>
        <v>1</v>
      </c>
      <c r="J128" s="34"/>
      <c r="K128" s="32">
        <v>199.0</v>
      </c>
      <c r="L128" s="29" t="s">
        <v>1374</v>
      </c>
      <c r="M128" s="35">
        <f>+42</f>
        <v>42</v>
      </c>
      <c r="N128" s="34"/>
    </row>
    <row r="129">
      <c r="A129" s="29">
        <v>160.0</v>
      </c>
      <c r="B129" s="31" t="s">
        <v>1826</v>
      </c>
      <c r="C129" s="32">
        <v>104.0</v>
      </c>
      <c r="D129" s="29" t="s">
        <v>785</v>
      </c>
      <c r="E129" s="36">
        <v>-56.0</v>
      </c>
      <c r="F129" s="34"/>
      <c r="G129" s="32">
        <v>96.0</v>
      </c>
      <c r="H129" s="29" t="s">
        <v>755</v>
      </c>
      <c r="I129" s="36">
        <v>-64.0</v>
      </c>
      <c r="J129" s="34"/>
      <c r="K129" s="32">
        <v>93.0</v>
      </c>
      <c r="L129" s="29" t="s">
        <v>778</v>
      </c>
      <c r="M129" s="36">
        <v>-67.0</v>
      </c>
      <c r="N129" s="34"/>
    </row>
    <row r="130">
      <c r="A130" s="29">
        <v>166.0</v>
      </c>
      <c r="B130" s="31" t="s">
        <v>1839</v>
      </c>
      <c r="C130" s="32">
        <v>206.0</v>
      </c>
      <c r="D130" s="29" t="s">
        <v>1454</v>
      </c>
      <c r="E130" s="35">
        <f>+40</f>
        <v>40</v>
      </c>
      <c r="F130" s="34"/>
      <c r="G130" s="32">
        <v>172.0</v>
      </c>
      <c r="H130" s="29" t="s">
        <v>1345</v>
      </c>
      <c r="I130" s="35">
        <f>+6</f>
        <v>6</v>
      </c>
      <c r="J130" s="34"/>
      <c r="K130" s="32">
        <v>203.0</v>
      </c>
      <c r="L130" s="29" t="s">
        <v>1419</v>
      </c>
      <c r="M130" s="35">
        <f>+37</f>
        <v>37</v>
      </c>
      <c r="N130" s="34"/>
    </row>
    <row r="131">
      <c r="A131" s="29">
        <v>167.0</v>
      </c>
      <c r="B131" s="31" t="s">
        <v>1853</v>
      </c>
      <c r="C131" s="32">
        <v>110.0</v>
      </c>
      <c r="D131" s="29" t="s">
        <v>895</v>
      </c>
      <c r="E131" s="36">
        <v>-57.0</v>
      </c>
      <c r="F131" s="34"/>
      <c r="G131" s="32">
        <v>161.0</v>
      </c>
      <c r="H131" s="29" t="s">
        <v>1281</v>
      </c>
      <c r="I131" s="36">
        <v>-6.0</v>
      </c>
      <c r="J131" s="34"/>
      <c r="K131" s="32">
        <v>180.0</v>
      </c>
      <c r="L131" s="29" t="s">
        <v>1469</v>
      </c>
      <c r="M131" s="35">
        <f>+13</f>
        <v>13</v>
      </c>
      <c r="N131" s="34"/>
    </row>
    <row r="132">
      <c r="A132" s="29">
        <v>171.0</v>
      </c>
      <c r="B132" s="31" t="s">
        <v>1865</v>
      </c>
      <c r="C132" s="32">
        <v>127.0</v>
      </c>
      <c r="D132" s="29" t="s">
        <v>921</v>
      </c>
      <c r="E132" s="36">
        <v>-44.0</v>
      </c>
      <c r="F132" s="34"/>
      <c r="G132" s="32">
        <v>122.0</v>
      </c>
      <c r="H132" s="29" t="s">
        <v>938</v>
      </c>
      <c r="I132" s="36">
        <v>-49.0</v>
      </c>
      <c r="J132" s="34"/>
      <c r="K132" s="32">
        <v>110.0</v>
      </c>
      <c r="L132" s="29" t="s">
        <v>895</v>
      </c>
      <c r="M132" s="36">
        <v>-61.0</v>
      </c>
      <c r="N132" s="34"/>
    </row>
    <row r="133">
      <c r="A133" s="29">
        <v>173.0</v>
      </c>
      <c r="B133" s="31" t="s">
        <v>1876</v>
      </c>
      <c r="C133" s="32">
        <v>159.0</v>
      </c>
      <c r="D133" s="29" t="s">
        <v>992</v>
      </c>
      <c r="E133" s="36">
        <v>-14.0</v>
      </c>
      <c r="F133" s="34"/>
      <c r="G133" s="32">
        <v>130.0</v>
      </c>
      <c r="H133" s="29" t="s">
        <v>1057</v>
      </c>
      <c r="I133" s="36">
        <v>-43.0</v>
      </c>
      <c r="J133" s="34"/>
      <c r="K133" s="32">
        <v>99.0</v>
      </c>
      <c r="L133" s="29" t="s">
        <v>805</v>
      </c>
      <c r="M133" s="36">
        <v>-74.0</v>
      </c>
      <c r="N133" s="34"/>
    </row>
    <row r="134">
      <c r="A134" s="29">
        <v>174.0</v>
      </c>
      <c r="B134" s="31" t="s">
        <v>1885</v>
      </c>
      <c r="C134" s="32">
        <v>152.0</v>
      </c>
      <c r="D134" s="29" t="s">
        <v>1404</v>
      </c>
      <c r="E134" s="36">
        <v>-22.0</v>
      </c>
      <c r="F134" s="34"/>
      <c r="G134" s="32">
        <v>168.0</v>
      </c>
      <c r="H134" s="29" t="s">
        <v>1318</v>
      </c>
      <c r="I134" s="36">
        <v>-6.0</v>
      </c>
      <c r="J134" s="34"/>
      <c r="K134" s="32">
        <v>150.0</v>
      </c>
      <c r="L134" s="29" t="s">
        <v>1318</v>
      </c>
      <c r="M134" s="36">
        <v>-24.0</v>
      </c>
      <c r="N134" s="34"/>
    </row>
    <row r="135">
      <c r="A135" s="29">
        <v>176.0</v>
      </c>
      <c r="B135" s="31" t="s">
        <v>1894</v>
      </c>
      <c r="C135" s="32">
        <v>67.0</v>
      </c>
      <c r="D135" s="29" t="s">
        <v>479</v>
      </c>
      <c r="E135" s="38" t="s">
        <v>151</v>
      </c>
      <c r="F135" s="34"/>
      <c r="G135" s="32">
        <v>97.0</v>
      </c>
      <c r="H135" s="29" t="s">
        <v>769</v>
      </c>
      <c r="I135" s="36">
        <v>-79.0</v>
      </c>
      <c r="J135" s="34"/>
      <c r="K135" s="32">
        <v>101.0</v>
      </c>
      <c r="L135" s="29" t="s">
        <v>834</v>
      </c>
      <c r="M135" s="36">
        <v>-75.0</v>
      </c>
      <c r="N135" s="34"/>
    </row>
    <row r="136">
      <c r="A136" s="29">
        <v>178.0</v>
      </c>
      <c r="B136" s="31" t="s">
        <v>1907</v>
      </c>
      <c r="C136" s="32">
        <v>111.0</v>
      </c>
      <c r="D136" s="29" t="s">
        <v>904</v>
      </c>
      <c r="E136" s="36">
        <v>-67.0</v>
      </c>
      <c r="F136" s="34"/>
      <c r="G136" s="32">
        <v>118.0</v>
      </c>
      <c r="H136" s="29" t="s">
        <v>904</v>
      </c>
      <c r="I136" s="36">
        <v>-60.0</v>
      </c>
      <c r="J136" s="34"/>
      <c r="K136" s="32">
        <v>142.0</v>
      </c>
      <c r="L136" s="29" t="s">
        <v>1189</v>
      </c>
      <c r="M136" s="36">
        <v>-36.0</v>
      </c>
      <c r="N136" s="34"/>
    </row>
    <row r="137">
      <c r="A137" s="29">
        <v>179.0</v>
      </c>
      <c r="B137" s="31" t="s">
        <v>1914</v>
      </c>
      <c r="C137" s="32">
        <v>162.0</v>
      </c>
      <c r="D137" s="29" t="s">
        <v>1272</v>
      </c>
      <c r="E137" s="36">
        <v>-17.0</v>
      </c>
      <c r="F137" s="34"/>
      <c r="G137" s="32">
        <v>150.0</v>
      </c>
      <c r="H137" s="29" t="s">
        <v>1082</v>
      </c>
      <c r="I137" s="36">
        <v>-29.0</v>
      </c>
      <c r="J137" s="34"/>
      <c r="K137" s="32">
        <v>164.0</v>
      </c>
      <c r="L137" s="29" t="s">
        <v>961</v>
      </c>
      <c r="M137" s="36">
        <v>-15.0</v>
      </c>
      <c r="N137" s="34"/>
    </row>
    <row r="138">
      <c r="A138" s="29">
        <v>180.0</v>
      </c>
      <c r="B138" s="31" t="s">
        <v>1925</v>
      </c>
      <c r="C138" s="32">
        <v>105.0</v>
      </c>
      <c r="D138" s="29" t="s">
        <v>814</v>
      </c>
      <c r="E138" s="36">
        <v>-75.0</v>
      </c>
      <c r="F138" s="34"/>
      <c r="G138" s="32">
        <v>104.0</v>
      </c>
      <c r="H138" s="29" t="s">
        <v>785</v>
      </c>
      <c r="I138" s="36">
        <v>-76.0</v>
      </c>
      <c r="J138" s="34"/>
      <c r="K138" s="32">
        <v>92.0</v>
      </c>
      <c r="L138" s="29" t="s">
        <v>755</v>
      </c>
      <c r="M138" s="36">
        <v>-88.0</v>
      </c>
      <c r="N138" s="34"/>
    </row>
    <row r="139">
      <c r="A139" s="29">
        <v>182.0</v>
      </c>
      <c r="B139" s="31" t="s">
        <v>1938</v>
      </c>
      <c r="C139" s="32">
        <v>131.0</v>
      </c>
      <c r="D139" s="29" t="s">
        <v>1009</v>
      </c>
      <c r="E139" s="36">
        <v>-51.0</v>
      </c>
      <c r="F139" s="34"/>
      <c r="G139" s="32">
        <v>206.0</v>
      </c>
      <c r="H139" s="29" t="s">
        <v>1272</v>
      </c>
      <c r="I139" s="35">
        <f>+24</f>
        <v>24</v>
      </c>
      <c r="J139" s="34"/>
      <c r="K139" s="32">
        <v>249.0</v>
      </c>
      <c r="L139" s="29" t="s">
        <v>1366</v>
      </c>
      <c r="M139" s="35">
        <f>+67</f>
        <v>67</v>
      </c>
      <c r="N139" s="34"/>
    </row>
    <row r="140">
      <c r="A140" s="29">
        <v>183.0</v>
      </c>
      <c r="B140" s="31" t="s">
        <v>1952</v>
      </c>
      <c r="C140" s="32">
        <v>148.0</v>
      </c>
      <c r="D140" s="29" t="s">
        <v>966</v>
      </c>
      <c r="E140" s="36">
        <v>-35.0</v>
      </c>
      <c r="F140" s="34"/>
      <c r="G140" s="32">
        <v>126.0</v>
      </c>
      <c r="H140" s="29" t="s">
        <v>992</v>
      </c>
      <c r="I140" s="36">
        <v>-57.0</v>
      </c>
      <c r="J140" s="34"/>
      <c r="K140" s="32">
        <v>114.0</v>
      </c>
      <c r="L140" s="29" t="s">
        <v>1057</v>
      </c>
      <c r="M140" s="36">
        <v>-69.0</v>
      </c>
      <c r="N140" s="34"/>
    </row>
    <row r="141">
      <c r="A141" s="29">
        <v>184.0</v>
      </c>
      <c r="B141" s="31" t="s">
        <v>1962</v>
      </c>
      <c r="C141" s="32">
        <v>100.0</v>
      </c>
      <c r="D141" s="29" t="s">
        <v>1967</v>
      </c>
      <c r="E141" s="36">
        <v>-84.0</v>
      </c>
      <c r="F141" s="34"/>
      <c r="G141" s="32">
        <v>231.0</v>
      </c>
      <c r="H141" s="29" t="s">
        <v>1968</v>
      </c>
      <c r="I141" s="35">
        <f>+47</f>
        <v>47</v>
      </c>
      <c r="J141" s="34"/>
      <c r="K141" s="32">
        <v>129.0</v>
      </c>
      <c r="L141" s="29" t="s">
        <v>1972</v>
      </c>
      <c r="M141" s="36">
        <v>-55.0</v>
      </c>
      <c r="N141" s="34"/>
    </row>
    <row r="142">
      <c r="A142" s="29">
        <v>186.0</v>
      </c>
      <c r="B142" s="31" t="s">
        <v>1974</v>
      </c>
      <c r="C142" s="32">
        <v>138.0</v>
      </c>
      <c r="D142" s="29" t="s">
        <v>1161</v>
      </c>
      <c r="E142" s="36">
        <v>-48.0</v>
      </c>
      <c r="F142" s="34"/>
      <c r="G142" s="32">
        <v>177.0</v>
      </c>
      <c r="H142" s="29" t="s">
        <v>1142</v>
      </c>
      <c r="I142" s="36">
        <v>-9.0</v>
      </c>
      <c r="J142" s="34"/>
      <c r="K142" s="32">
        <v>204.0</v>
      </c>
      <c r="L142" s="29" t="s">
        <v>1142</v>
      </c>
      <c r="M142" s="35">
        <f>+18</f>
        <v>18</v>
      </c>
      <c r="N142" s="34"/>
    </row>
    <row r="143">
      <c r="A143" s="29">
        <v>187.0</v>
      </c>
      <c r="B143" s="31" t="s">
        <v>1983</v>
      </c>
      <c r="C143" s="32">
        <v>112.0</v>
      </c>
      <c r="D143" s="29" t="s">
        <v>834</v>
      </c>
      <c r="E143" s="36">
        <v>-75.0</v>
      </c>
      <c r="F143" s="34"/>
      <c r="G143" s="32">
        <v>114.0</v>
      </c>
      <c r="H143" s="29" t="s">
        <v>931</v>
      </c>
      <c r="I143" s="36">
        <v>-73.0</v>
      </c>
      <c r="J143" s="34"/>
      <c r="K143" s="32">
        <v>127.0</v>
      </c>
      <c r="L143" s="29" t="s">
        <v>1167</v>
      </c>
      <c r="M143" s="36">
        <v>-60.0</v>
      </c>
      <c r="N143" s="34"/>
    </row>
    <row r="144">
      <c r="A144" s="29">
        <v>189.0</v>
      </c>
      <c r="B144" s="31" t="s">
        <v>1993</v>
      </c>
      <c r="C144" s="32">
        <v>135.0</v>
      </c>
      <c r="D144" s="29" t="s">
        <v>1008</v>
      </c>
      <c r="E144" s="36">
        <v>-54.0</v>
      </c>
      <c r="F144" s="34"/>
      <c r="G144" s="32">
        <v>124.0</v>
      </c>
      <c r="H144" s="29" t="s">
        <v>976</v>
      </c>
      <c r="I144" s="36">
        <v>-65.0</v>
      </c>
      <c r="J144" s="34"/>
      <c r="K144" s="32">
        <v>121.0</v>
      </c>
      <c r="L144" s="29" t="s">
        <v>938</v>
      </c>
      <c r="M144" s="36">
        <v>-68.0</v>
      </c>
      <c r="N144" s="34"/>
    </row>
    <row r="145">
      <c r="A145" s="29">
        <v>190.0</v>
      </c>
      <c r="B145" s="31" t="s">
        <v>2002</v>
      </c>
      <c r="C145" s="32">
        <v>146.0</v>
      </c>
      <c r="D145" s="29" t="s">
        <v>1068</v>
      </c>
      <c r="E145" s="36">
        <v>-44.0</v>
      </c>
      <c r="F145" s="34"/>
      <c r="G145" s="32">
        <v>127.0</v>
      </c>
      <c r="H145" s="29" t="s">
        <v>1008</v>
      </c>
      <c r="I145" s="36">
        <v>-63.0</v>
      </c>
      <c r="J145" s="34"/>
      <c r="K145" s="32">
        <v>115.0</v>
      </c>
      <c r="L145" s="29" t="s">
        <v>921</v>
      </c>
      <c r="M145" s="36">
        <v>-75.0</v>
      </c>
      <c r="N145" s="34"/>
    </row>
    <row r="146">
      <c r="A146" s="29">
        <v>194.0</v>
      </c>
      <c r="B146" s="31" t="s">
        <v>2013</v>
      </c>
      <c r="C146" s="32">
        <v>166.0</v>
      </c>
      <c r="D146" s="29" t="s">
        <v>1180</v>
      </c>
      <c r="E146" s="36">
        <v>-28.0</v>
      </c>
      <c r="F146" s="34"/>
      <c r="G146" s="32">
        <v>142.0</v>
      </c>
      <c r="H146" s="29" t="s">
        <v>1068</v>
      </c>
      <c r="I146" s="36">
        <v>-52.0</v>
      </c>
      <c r="J146" s="34"/>
      <c r="K146" s="32">
        <v>140.0</v>
      </c>
      <c r="L146" s="29" t="s">
        <v>1180</v>
      </c>
      <c r="M146" s="36">
        <v>-54.0</v>
      </c>
      <c r="N146" s="34"/>
    </row>
    <row r="147">
      <c r="A147" s="29">
        <v>195.0</v>
      </c>
      <c r="B147" s="31" t="s">
        <v>2021</v>
      </c>
      <c r="C147" s="32">
        <v>167.0</v>
      </c>
      <c r="D147" s="29" t="s">
        <v>1296</v>
      </c>
      <c r="E147" s="36">
        <v>-28.0</v>
      </c>
      <c r="F147" s="34"/>
      <c r="G147" s="32">
        <v>141.0</v>
      </c>
      <c r="H147" s="29" t="s">
        <v>1121</v>
      </c>
      <c r="I147" s="36">
        <v>-54.0</v>
      </c>
      <c r="J147" s="34"/>
      <c r="K147" s="32">
        <v>153.0</v>
      </c>
      <c r="L147" s="29" t="s">
        <v>1121</v>
      </c>
      <c r="M147" s="36">
        <v>-42.0</v>
      </c>
      <c r="N147" s="34"/>
    </row>
    <row r="148">
      <c r="A148" s="29">
        <v>196.0</v>
      </c>
      <c r="B148" s="31" t="s">
        <v>2030</v>
      </c>
      <c r="C148" s="32" t="s">
        <v>151</v>
      </c>
      <c r="D148" s="29" t="s">
        <v>151</v>
      </c>
      <c r="E148" s="38" t="s">
        <v>151</v>
      </c>
      <c r="F148" s="34"/>
      <c r="G148" s="32">
        <v>160.0</v>
      </c>
      <c r="H148" s="29" t="s">
        <v>1314</v>
      </c>
      <c r="I148" s="36">
        <v>-36.0</v>
      </c>
      <c r="J148" s="34"/>
      <c r="K148" s="32">
        <v>179.0</v>
      </c>
      <c r="L148" s="29" t="s">
        <v>1250</v>
      </c>
      <c r="M148" s="36">
        <v>-17.0</v>
      </c>
      <c r="N148" s="34"/>
    </row>
    <row r="149">
      <c r="A149" s="29">
        <v>197.0</v>
      </c>
      <c r="B149" s="31" t="s">
        <v>2038</v>
      </c>
      <c r="C149" s="32">
        <v>153.0</v>
      </c>
      <c r="D149" s="29" t="s">
        <v>1429</v>
      </c>
      <c r="E149" s="36">
        <v>-44.0</v>
      </c>
      <c r="F149" s="34"/>
      <c r="G149" s="32">
        <v>173.0</v>
      </c>
      <c r="H149" s="29" t="s">
        <v>1404</v>
      </c>
      <c r="I149" s="36">
        <v>-24.0</v>
      </c>
      <c r="J149" s="34"/>
      <c r="K149" s="32">
        <v>191.0</v>
      </c>
      <c r="L149" s="29" t="s">
        <v>1666</v>
      </c>
      <c r="M149" s="36">
        <v>-6.0</v>
      </c>
      <c r="N149" s="34"/>
    </row>
    <row r="150">
      <c r="A150" s="29">
        <v>201.0</v>
      </c>
      <c r="B150" s="31" t="s">
        <v>2044</v>
      </c>
      <c r="C150" s="32">
        <v>92.0</v>
      </c>
      <c r="D150" s="29" t="s">
        <v>2050</v>
      </c>
      <c r="E150" s="38" t="s">
        <v>151</v>
      </c>
      <c r="F150" s="34"/>
      <c r="G150" s="32" t="s">
        <v>151</v>
      </c>
      <c r="H150" s="29" t="s">
        <v>151</v>
      </c>
      <c r="I150" s="38" t="s">
        <v>151</v>
      </c>
      <c r="J150" s="34"/>
      <c r="K150" s="32">
        <v>148.0</v>
      </c>
      <c r="L150" s="29" t="s">
        <v>2053</v>
      </c>
      <c r="M150" s="36">
        <v>-53.0</v>
      </c>
      <c r="N150" s="34"/>
    </row>
    <row r="151">
      <c r="A151" s="29">
        <v>202.0</v>
      </c>
      <c r="B151" s="31" t="s">
        <v>2054</v>
      </c>
      <c r="C151" s="32">
        <v>185.0</v>
      </c>
      <c r="D151" s="29" t="s">
        <v>1385</v>
      </c>
      <c r="E151" s="36">
        <v>-17.0</v>
      </c>
      <c r="F151" s="34"/>
      <c r="G151" s="32">
        <v>188.0</v>
      </c>
      <c r="H151" s="29" t="s">
        <v>1385</v>
      </c>
      <c r="I151" s="36">
        <v>-14.0</v>
      </c>
      <c r="J151" s="34"/>
      <c r="K151" s="32">
        <v>234.0</v>
      </c>
      <c r="L151" s="29" t="s">
        <v>1727</v>
      </c>
      <c r="M151" s="35">
        <f>+32</f>
        <v>32</v>
      </c>
      <c r="N151" s="34"/>
    </row>
    <row r="152">
      <c r="A152" s="29">
        <v>204.0</v>
      </c>
      <c r="B152" s="31" t="s">
        <v>2066</v>
      </c>
      <c r="C152" s="32">
        <v>199.0</v>
      </c>
      <c r="D152" s="29" t="s">
        <v>1371</v>
      </c>
      <c r="E152" s="36">
        <v>-5.0</v>
      </c>
      <c r="F152" s="34"/>
      <c r="G152" s="32">
        <v>113.0</v>
      </c>
      <c r="H152" s="29" t="s">
        <v>886</v>
      </c>
      <c r="I152" s="36">
        <v>-91.0</v>
      </c>
      <c r="J152" s="34"/>
      <c r="K152" s="32">
        <v>97.0</v>
      </c>
      <c r="L152" s="29" t="s">
        <v>785</v>
      </c>
      <c r="M152" s="38" t="s">
        <v>151</v>
      </c>
      <c r="N152" s="34"/>
    </row>
    <row r="153">
      <c r="A153" s="29">
        <v>205.0</v>
      </c>
      <c r="B153" s="31" t="s">
        <v>2078</v>
      </c>
      <c r="C153" s="32">
        <v>124.0</v>
      </c>
      <c r="D153" s="29" t="s">
        <v>851</v>
      </c>
      <c r="E153" s="36">
        <v>-81.0</v>
      </c>
      <c r="F153" s="34"/>
      <c r="G153" s="32">
        <v>112.0</v>
      </c>
      <c r="H153" s="29" t="s">
        <v>913</v>
      </c>
      <c r="I153" s="36">
        <v>-93.0</v>
      </c>
      <c r="J153" s="34"/>
      <c r="K153" s="32">
        <v>116.0</v>
      </c>
      <c r="L153" s="29" t="s">
        <v>823</v>
      </c>
      <c r="M153" s="36">
        <v>-89.0</v>
      </c>
      <c r="N153" s="34"/>
    </row>
    <row r="154">
      <c r="A154" s="29">
        <v>207.0</v>
      </c>
      <c r="B154" s="31" t="s">
        <v>2090</v>
      </c>
      <c r="C154" s="32">
        <v>147.0</v>
      </c>
      <c r="D154" s="29" t="s">
        <v>1093</v>
      </c>
      <c r="E154" s="36">
        <v>-60.0</v>
      </c>
      <c r="F154" s="34"/>
      <c r="G154" s="32">
        <v>121.0</v>
      </c>
      <c r="H154" s="29" t="s">
        <v>921</v>
      </c>
      <c r="I154" s="36">
        <v>-86.0</v>
      </c>
      <c r="J154" s="34"/>
      <c r="K154" s="32">
        <v>86.0</v>
      </c>
      <c r="L154" s="29" t="s">
        <v>640</v>
      </c>
      <c r="M154" s="38" t="s">
        <v>151</v>
      </c>
      <c r="N154" s="34"/>
    </row>
    <row r="155">
      <c r="A155" s="29">
        <v>208.0</v>
      </c>
      <c r="B155" s="31" t="s">
        <v>2100</v>
      </c>
      <c r="C155" s="32" t="s">
        <v>151</v>
      </c>
      <c r="D155" s="29" t="s">
        <v>151</v>
      </c>
      <c r="E155" s="38" t="s">
        <v>151</v>
      </c>
      <c r="F155" s="34"/>
      <c r="G155" s="32">
        <v>165.0</v>
      </c>
      <c r="H155" s="29" t="s">
        <v>1322</v>
      </c>
      <c r="I155" s="36">
        <v>-43.0</v>
      </c>
      <c r="J155" s="34"/>
      <c r="K155" s="32">
        <v>183.0</v>
      </c>
      <c r="L155" s="29" t="s">
        <v>1314</v>
      </c>
      <c r="M155" s="36">
        <v>-25.0</v>
      </c>
      <c r="N155" s="34"/>
    </row>
    <row r="156">
      <c r="A156" s="29">
        <v>210.0</v>
      </c>
      <c r="B156" s="31" t="s">
        <v>2110</v>
      </c>
      <c r="C156" s="32" t="s">
        <v>151</v>
      </c>
      <c r="D156" s="29" t="s">
        <v>151</v>
      </c>
      <c r="E156" s="38" t="s">
        <v>151</v>
      </c>
      <c r="F156" s="34"/>
      <c r="G156" s="32">
        <v>187.0</v>
      </c>
      <c r="H156" s="29" t="s">
        <v>1374</v>
      </c>
      <c r="I156" s="36">
        <v>-23.0</v>
      </c>
      <c r="J156" s="34"/>
      <c r="K156" s="32">
        <v>200.0</v>
      </c>
      <c r="L156" s="29" t="s">
        <v>1385</v>
      </c>
      <c r="M156" s="36">
        <v>-10.0</v>
      </c>
      <c r="N156" s="34"/>
    </row>
    <row r="157">
      <c r="A157" s="29">
        <v>211.0</v>
      </c>
      <c r="B157" s="31" t="s">
        <v>2119</v>
      </c>
      <c r="C157" s="32">
        <v>103.0</v>
      </c>
      <c r="D157" s="29" t="s">
        <v>2129</v>
      </c>
      <c r="E157" s="38" t="s">
        <v>151</v>
      </c>
      <c r="F157" s="34"/>
      <c r="G157" s="32">
        <v>140.0</v>
      </c>
      <c r="H157" s="29" t="s">
        <v>1972</v>
      </c>
      <c r="I157" s="36">
        <v>-71.0</v>
      </c>
      <c r="J157" s="34"/>
      <c r="K157" s="32">
        <v>134.0</v>
      </c>
      <c r="L157" s="29" t="s">
        <v>1967</v>
      </c>
      <c r="M157" s="36">
        <v>-77.0</v>
      </c>
      <c r="N157" s="34"/>
    </row>
    <row r="158">
      <c r="A158" s="29">
        <v>212.0</v>
      </c>
      <c r="B158" s="31" t="s">
        <v>2133</v>
      </c>
      <c r="C158" s="32">
        <v>142.0</v>
      </c>
      <c r="D158" s="29" t="s">
        <v>931</v>
      </c>
      <c r="E158" s="36">
        <v>-70.0</v>
      </c>
      <c r="F158" s="34"/>
      <c r="G158" s="32">
        <v>111.0</v>
      </c>
      <c r="H158" s="29" t="s">
        <v>870</v>
      </c>
      <c r="I158" s="38" t="s">
        <v>151</v>
      </c>
      <c r="J158" s="34"/>
      <c r="K158" s="32">
        <v>105.0</v>
      </c>
      <c r="L158" s="29" t="s">
        <v>870</v>
      </c>
      <c r="M158" s="38" t="s">
        <v>151</v>
      </c>
      <c r="N158" s="34"/>
    </row>
    <row r="159">
      <c r="A159" s="29">
        <v>213.0</v>
      </c>
      <c r="B159" s="31" t="s">
        <v>2141</v>
      </c>
      <c r="C159" s="32">
        <v>180.0</v>
      </c>
      <c r="D159" s="29" t="s">
        <v>1235</v>
      </c>
      <c r="E159" s="36">
        <v>-33.0</v>
      </c>
      <c r="F159" s="34"/>
      <c r="G159" s="32">
        <v>162.0</v>
      </c>
      <c r="H159" s="29" t="s">
        <v>1295</v>
      </c>
      <c r="I159" s="36">
        <v>-51.0</v>
      </c>
      <c r="J159" s="34"/>
      <c r="K159" s="32">
        <v>176.0</v>
      </c>
      <c r="L159" s="29" t="s">
        <v>1462</v>
      </c>
      <c r="M159" s="36">
        <v>-37.0</v>
      </c>
      <c r="N159" s="34"/>
    </row>
    <row r="160">
      <c r="A160" s="29">
        <v>214.0</v>
      </c>
      <c r="B160" s="31" t="s">
        <v>2151</v>
      </c>
      <c r="C160" s="32">
        <v>218.0</v>
      </c>
      <c r="D160" s="29" t="s">
        <v>1271</v>
      </c>
      <c r="E160" s="35">
        <f>+4</f>
        <v>4</v>
      </c>
      <c r="F160" s="34"/>
      <c r="G160" s="32">
        <v>137.0</v>
      </c>
      <c r="H160" s="29" t="s">
        <v>1134</v>
      </c>
      <c r="I160" s="36">
        <v>-77.0</v>
      </c>
      <c r="J160" s="34"/>
      <c r="K160" s="32">
        <v>120.0</v>
      </c>
      <c r="L160" s="29" t="s">
        <v>1134</v>
      </c>
      <c r="M160" s="36">
        <v>-94.0</v>
      </c>
      <c r="N160" s="34"/>
    </row>
    <row r="161">
      <c r="A161" s="29">
        <v>218.0</v>
      </c>
      <c r="B161" s="31" t="s">
        <v>2164</v>
      </c>
      <c r="C161" s="32">
        <v>198.0</v>
      </c>
      <c r="D161" s="29" t="s">
        <v>1958</v>
      </c>
      <c r="E161" s="36">
        <v>-20.0</v>
      </c>
      <c r="F161" s="34"/>
      <c r="G161" s="32">
        <v>213.0</v>
      </c>
      <c r="H161" s="29" t="s">
        <v>1561</v>
      </c>
      <c r="I161" s="36">
        <v>-5.0</v>
      </c>
      <c r="J161" s="34"/>
      <c r="K161" s="32">
        <v>178.0</v>
      </c>
      <c r="L161" s="29" t="s">
        <v>1404</v>
      </c>
      <c r="M161" s="36">
        <v>-40.0</v>
      </c>
      <c r="N161" s="34"/>
    </row>
    <row r="162">
      <c r="A162" s="29">
        <v>221.0</v>
      </c>
      <c r="B162" s="31" t="s">
        <v>2172</v>
      </c>
      <c r="C162" s="32">
        <v>193.0</v>
      </c>
      <c r="D162" s="29" t="s">
        <v>2178</v>
      </c>
      <c r="E162" s="36">
        <v>-28.0</v>
      </c>
      <c r="F162" s="34"/>
      <c r="G162" s="32">
        <v>235.0</v>
      </c>
      <c r="H162" s="29" t="s">
        <v>2179</v>
      </c>
      <c r="I162" s="35">
        <f>+14</f>
        <v>14</v>
      </c>
      <c r="J162" s="34"/>
      <c r="K162" s="32">
        <v>255.0</v>
      </c>
      <c r="L162" s="29" t="s">
        <v>2180</v>
      </c>
      <c r="M162" s="35">
        <f>+34</f>
        <v>34</v>
      </c>
      <c r="N162" s="34"/>
    </row>
    <row r="163">
      <c r="A163" s="29">
        <v>222.0</v>
      </c>
      <c r="B163" s="31" t="s">
        <v>2185</v>
      </c>
      <c r="C163" s="32">
        <v>176.0</v>
      </c>
      <c r="D163" s="29" t="s">
        <v>1057</v>
      </c>
      <c r="E163" s="36">
        <v>-46.0</v>
      </c>
      <c r="F163" s="34"/>
      <c r="G163" s="32">
        <v>134.0</v>
      </c>
      <c r="H163" s="29" t="s">
        <v>1076</v>
      </c>
      <c r="I163" s="36">
        <v>-88.0</v>
      </c>
      <c r="J163" s="34"/>
      <c r="K163" s="32">
        <v>113.0</v>
      </c>
      <c r="L163" s="29" t="s">
        <v>992</v>
      </c>
      <c r="M163" s="38" t="s">
        <v>151</v>
      </c>
      <c r="N163" s="34"/>
    </row>
    <row r="164">
      <c r="A164" s="29">
        <v>223.0</v>
      </c>
      <c r="B164" s="31" t="s">
        <v>2193</v>
      </c>
      <c r="C164" s="32">
        <v>149.0</v>
      </c>
      <c r="D164" s="29" t="s">
        <v>2200</v>
      </c>
      <c r="E164" s="36">
        <v>-74.0</v>
      </c>
      <c r="F164" s="34"/>
      <c r="G164" s="32">
        <v>182.0</v>
      </c>
      <c r="H164" s="29" t="s">
        <v>2201</v>
      </c>
      <c r="I164" s="36">
        <v>-41.0</v>
      </c>
      <c r="J164" s="34"/>
      <c r="K164" s="32">
        <v>162.0</v>
      </c>
      <c r="L164" s="29" t="s">
        <v>2201</v>
      </c>
      <c r="M164" s="36">
        <v>-61.0</v>
      </c>
      <c r="N164" s="34"/>
    </row>
    <row r="165">
      <c r="A165" s="29">
        <v>224.0</v>
      </c>
      <c r="B165" s="31" t="s">
        <v>2205</v>
      </c>
      <c r="C165" s="32">
        <v>192.0</v>
      </c>
      <c r="D165" s="29" t="s">
        <v>1891</v>
      </c>
      <c r="E165" s="36">
        <v>-32.0</v>
      </c>
      <c r="F165" s="34"/>
      <c r="G165" s="32">
        <v>273.0</v>
      </c>
      <c r="H165" s="29" t="s">
        <v>1958</v>
      </c>
      <c r="I165" s="35">
        <f>+49</f>
        <v>49</v>
      </c>
      <c r="J165" s="34"/>
      <c r="K165" s="32">
        <v>240.0</v>
      </c>
      <c r="L165" s="29" t="s">
        <v>1958</v>
      </c>
      <c r="M165" s="35">
        <f>+16</f>
        <v>16</v>
      </c>
      <c r="N165" s="34"/>
    </row>
    <row r="166">
      <c r="A166" s="29">
        <v>225.0</v>
      </c>
      <c r="B166" s="31" t="s">
        <v>2217</v>
      </c>
      <c r="C166" s="32" t="s">
        <v>151</v>
      </c>
      <c r="D166" s="29" t="s">
        <v>151</v>
      </c>
      <c r="E166" s="38" t="s">
        <v>151</v>
      </c>
      <c r="F166" s="34"/>
      <c r="G166" s="32">
        <v>242.0</v>
      </c>
      <c r="H166" s="29" t="s">
        <v>1766</v>
      </c>
      <c r="I166" s="35">
        <f>+17</f>
        <v>17</v>
      </c>
      <c r="J166" s="34"/>
      <c r="K166" s="32">
        <v>224.0</v>
      </c>
      <c r="L166" s="29" t="s">
        <v>1891</v>
      </c>
      <c r="M166" s="36">
        <v>-1.0</v>
      </c>
      <c r="N166" s="34"/>
    </row>
    <row r="167">
      <c r="A167" s="29">
        <v>226.0</v>
      </c>
      <c r="B167" s="31" t="s">
        <v>2228</v>
      </c>
      <c r="C167" s="32">
        <v>169.0</v>
      </c>
      <c r="D167" s="29" t="s">
        <v>1561</v>
      </c>
      <c r="E167" s="36">
        <v>-57.0</v>
      </c>
      <c r="F167" s="34"/>
      <c r="G167" s="32">
        <v>179.0</v>
      </c>
      <c r="H167" s="29" t="s">
        <v>1429</v>
      </c>
      <c r="I167" s="36">
        <v>-47.0</v>
      </c>
      <c r="J167" s="34"/>
      <c r="K167" s="32">
        <v>184.0</v>
      </c>
      <c r="L167" s="29" t="s">
        <v>1524</v>
      </c>
      <c r="M167" s="36">
        <v>-42.0</v>
      </c>
      <c r="N167" s="34"/>
    </row>
    <row r="168">
      <c r="A168" s="29">
        <v>227.0</v>
      </c>
      <c r="B168" s="31" t="s">
        <v>2235</v>
      </c>
      <c r="C168" s="32">
        <v>156.0</v>
      </c>
      <c r="D168" s="29" t="s">
        <v>1090</v>
      </c>
      <c r="E168" s="36">
        <v>-71.0</v>
      </c>
      <c r="F168" s="34"/>
      <c r="G168" s="32">
        <v>136.0</v>
      </c>
      <c r="H168" s="29" t="s">
        <v>1100</v>
      </c>
      <c r="I168" s="36">
        <v>-91.0</v>
      </c>
      <c r="J168" s="34"/>
      <c r="K168" s="32">
        <v>137.0</v>
      </c>
      <c r="L168" s="29" t="s">
        <v>1019</v>
      </c>
      <c r="M168" s="36">
        <v>-90.0</v>
      </c>
      <c r="N168" s="34"/>
    </row>
    <row r="169">
      <c r="A169" s="29">
        <v>229.0</v>
      </c>
      <c r="B169" s="31" t="s">
        <v>2246</v>
      </c>
      <c r="C169" s="32">
        <v>226.0</v>
      </c>
      <c r="D169" s="29" t="s">
        <v>1572</v>
      </c>
      <c r="E169" s="36">
        <v>-3.0</v>
      </c>
      <c r="F169" s="34"/>
      <c r="G169" s="32">
        <v>199.0</v>
      </c>
      <c r="H169" s="29" t="s">
        <v>1246</v>
      </c>
      <c r="I169" s="36">
        <v>-30.0</v>
      </c>
      <c r="J169" s="34"/>
      <c r="K169" s="32">
        <v>241.0</v>
      </c>
      <c r="L169" s="29" t="s">
        <v>1272</v>
      </c>
      <c r="M169" s="35">
        <f>+12</f>
        <v>12</v>
      </c>
      <c r="N169" s="34"/>
    </row>
    <row r="170">
      <c r="A170" s="29">
        <v>230.0</v>
      </c>
      <c r="B170" s="31" t="s">
        <v>2253</v>
      </c>
      <c r="C170" s="32">
        <v>145.0</v>
      </c>
      <c r="D170" s="29" t="s">
        <v>2259</v>
      </c>
      <c r="E170" s="36">
        <v>-85.0</v>
      </c>
      <c r="F170" s="34"/>
      <c r="G170" s="32">
        <v>204.0</v>
      </c>
      <c r="H170" s="29" t="s">
        <v>2261</v>
      </c>
      <c r="I170" s="36">
        <v>-26.0</v>
      </c>
      <c r="J170" s="34"/>
      <c r="K170" s="32">
        <v>222.0</v>
      </c>
      <c r="L170" s="29" t="s">
        <v>1968</v>
      </c>
      <c r="M170" s="36">
        <v>-8.0</v>
      </c>
      <c r="N170" s="34"/>
    </row>
    <row r="171">
      <c r="A171" s="29">
        <v>232.0</v>
      </c>
      <c r="B171" s="31" t="s">
        <v>2264</v>
      </c>
      <c r="C171" s="32">
        <v>208.0</v>
      </c>
      <c r="D171" s="29" t="s">
        <v>1462</v>
      </c>
      <c r="E171" s="36">
        <v>-24.0</v>
      </c>
      <c r="F171" s="34"/>
      <c r="G171" s="32">
        <v>157.0</v>
      </c>
      <c r="H171" s="29" t="s">
        <v>1235</v>
      </c>
      <c r="I171" s="36">
        <v>-75.0</v>
      </c>
      <c r="J171" s="34"/>
      <c r="K171" s="32">
        <v>149.0</v>
      </c>
      <c r="L171" s="29" t="s">
        <v>1220</v>
      </c>
      <c r="M171" s="36">
        <v>-83.0</v>
      </c>
      <c r="N171" s="34"/>
    </row>
    <row r="172">
      <c r="A172" s="29">
        <v>233.0</v>
      </c>
      <c r="B172" s="31" t="s">
        <v>2272</v>
      </c>
      <c r="C172" s="32">
        <v>123.0</v>
      </c>
      <c r="D172" s="29" t="s">
        <v>2053</v>
      </c>
      <c r="E172" s="38" t="s">
        <v>151</v>
      </c>
      <c r="F172" s="34"/>
      <c r="G172" s="32">
        <v>178.0</v>
      </c>
      <c r="H172" s="29" t="s">
        <v>2053</v>
      </c>
      <c r="I172" s="36">
        <v>-55.0</v>
      </c>
      <c r="J172" s="34"/>
      <c r="K172" s="32">
        <v>186.0</v>
      </c>
      <c r="L172" s="29" t="s">
        <v>2261</v>
      </c>
      <c r="M172" s="36">
        <v>-47.0</v>
      </c>
      <c r="N172" s="34"/>
    </row>
    <row r="173">
      <c r="A173" s="29">
        <v>235.0</v>
      </c>
      <c r="B173" s="31" t="s">
        <v>2278</v>
      </c>
      <c r="C173" s="32" t="s">
        <v>151</v>
      </c>
      <c r="D173" s="29" t="s">
        <v>151</v>
      </c>
      <c r="E173" s="38" t="s">
        <v>151</v>
      </c>
      <c r="F173" s="34"/>
      <c r="G173" s="32">
        <v>293.0</v>
      </c>
      <c r="H173" s="29" t="s">
        <v>2285</v>
      </c>
      <c r="I173" s="35">
        <f>+58</f>
        <v>58</v>
      </c>
      <c r="J173" s="34"/>
      <c r="K173" s="32" t="s">
        <v>151</v>
      </c>
      <c r="L173" s="29" t="s">
        <v>151</v>
      </c>
      <c r="M173" s="38" t="s">
        <v>151</v>
      </c>
      <c r="N173" s="34"/>
    </row>
    <row r="174">
      <c r="A174" s="29">
        <v>236.0</v>
      </c>
      <c r="B174" s="31" t="s">
        <v>2289</v>
      </c>
      <c r="C174" s="32">
        <v>132.0</v>
      </c>
      <c r="D174" s="29" t="s">
        <v>2295</v>
      </c>
      <c r="E174" s="38" t="s">
        <v>151</v>
      </c>
      <c r="F174" s="34"/>
      <c r="G174" s="32">
        <v>170.0</v>
      </c>
      <c r="H174" s="29" t="s">
        <v>2129</v>
      </c>
      <c r="I174" s="36">
        <v>-66.0</v>
      </c>
      <c r="J174" s="34"/>
      <c r="K174" s="32">
        <v>171.0</v>
      </c>
      <c r="L174" s="29" t="s">
        <v>2295</v>
      </c>
      <c r="M174" s="36">
        <v>-65.0</v>
      </c>
      <c r="N174" s="34"/>
    </row>
    <row r="175">
      <c r="A175" s="29">
        <v>237.0</v>
      </c>
      <c r="B175" s="31" t="s">
        <v>2301</v>
      </c>
      <c r="C175" s="32" t="s">
        <v>151</v>
      </c>
      <c r="D175" s="29" t="s">
        <v>151</v>
      </c>
      <c r="E175" s="38" t="s">
        <v>151</v>
      </c>
      <c r="F175" s="34"/>
      <c r="G175" s="32">
        <v>155.0</v>
      </c>
      <c r="H175" s="29" t="s">
        <v>1219</v>
      </c>
      <c r="I175" s="36">
        <v>-82.0</v>
      </c>
      <c r="J175" s="34"/>
      <c r="K175" s="32">
        <v>159.0</v>
      </c>
      <c r="L175" s="29" t="s">
        <v>1448</v>
      </c>
      <c r="M175" s="36">
        <v>-78.0</v>
      </c>
      <c r="N175" s="34"/>
    </row>
    <row r="176">
      <c r="A176" s="29">
        <v>238.0</v>
      </c>
      <c r="B176" s="31" t="s">
        <v>2312</v>
      </c>
      <c r="C176" s="32">
        <v>165.0</v>
      </c>
      <c r="D176" s="29" t="s">
        <v>1524</v>
      </c>
      <c r="E176" s="36">
        <v>-73.0</v>
      </c>
      <c r="F176" s="34"/>
      <c r="G176" s="32">
        <v>226.0</v>
      </c>
      <c r="H176" s="29" t="s">
        <v>1657</v>
      </c>
      <c r="I176" s="36">
        <v>-12.0</v>
      </c>
      <c r="J176" s="34"/>
      <c r="K176" s="32">
        <v>218.0</v>
      </c>
      <c r="L176" s="29" t="s">
        <v>1766</v>
      </c>
      <c r="M176" s="36">
        <v>-20.0</v>
      </c>
      <c r="N176" s="34"/>
    </row>
    <row r="177">
      <c r="A177" s="29">
        <v>239.0</v>
      </c>
      <c r="B177" s="31" t="s">
        <v>2319</v>
      </c>
      <c r="C177" s="32">
        <v>133.0</v>
      </c>
      <c r="D177" s="29" t="s">
        <v>1082</v>
      </c>
      <c r="E177" s="38" t="s">
        <v>151</v>
      </c>
      <c r="F177" s="34"/>
      <c r="G177" s="32">
        <v>195.0</v>
      </c>
      <c r="H177" s="29" t="s">
        <v>1161</v>
      </c>
      <c r="I177" s="36">
        <v>-44.0</v>
      </c>
      <c r="J177" s="34"/>
      <c r="K177" s="32">
        <v>207.0</v>
      </c>
      <c r="L177" s="29" t="s">
        <v>1161</v>
      </c>
      <c r="M177" s="36">
        <v>-32.0</v>
      </c>
      <c r="N177" s="34"/>
    </row>
    <row r="178">
      <c r="A178" s="29">
        <v>241.0</v>
      </c>
      <c r="B178" s="31" t="s">
        <v>2333</v>
      </c>
      <c r="C178" s="32">
        <v>216.0</v>
      </c>
      <c r="D178" s="29" t="s">
        <v>1219</v>
      </c>
      <c r="E178" s="36">
        <v>-25.0</v>
      </c>
      <c r="F178" s="34"/>
      <c r="G178" s="32">
        <v>101.0</v>
      </c>
      <c r="H178" s="29" t="s">
        <v>834</v>
      </c>
      <c r="I178" s="38" t="s">
        <v>151</v>
      </c>
      <c r="J178" s="34"/>
      <c r="K178" s="32">
        <v>89.0</v>
      </c>
      <c r="L178" s="29" t="s">
        <v>795</v>
      </c>
      <c r="M178" s="38" t="s">
        <v>151</v>
      </c>
      <c r="N178" s="34"/>
    </row>
    <row r="179">
      <c r="A179" s="29">
        <v>242.0</v>
      </c>
      <c r="B179" s="31" t="s">
        <v>2343</v>
      </c>
      <c r="C179" s="32">
        <v>187.0</v>
      </c>
      <c r="D179" s="29" t="s">
        <v>1766</v>
      </c>
      <c r="E179" s="36">
        <v>-55.0</v>
      </c>
      <c r="F179" s="34"/>
      <c r="G179" s="32">
        <v>197.0</v>
      </c>
      <c r="H179" s="29" t="s">
        <v>1524</v>
      </c>
      <c r="I179" s="36">
        <v>-45.0</v>
      </c>
      <c r="J179" s="34"/>
      <c r="K179" s="32">
        <v>185.0</v>
      </c>
      <c r="L179" s="29" t="s">
        <v>1561</v>
      </c>
      <c r="M179" s="36">
        <v>-57.0</v>
      </c>
      <c r="N179" s="34"/>
    </row>
    <row r="180">
      <c r="A180" s="29">
        <v>246.0</v>
      </c>
      <c r="B180" s="31" t="s">
        <v>2350</v>
      </c>
      <c r="C180" s="32">
        <v>130.0</v>
      </c>
      <c r="D180" s="29" t="s">
        <v>938</v>
      </c>
      <c r="E180" s="38" t="s">
        <v>151</v>
      </c>
      <c r="F180" s="34"/>
      <c r="G180" s="32">
        <v>151.0</v>
      </c>
      <c r="H180" s="29" t="s">
        <v>1180</v>
      </c>
      <c r="I180" s="36">
        <v>-95.0</v>
      </c>
      <c r="J180" s="34"/>
      <c r="K180" s="32">
        <v>136.0</v>
      </c>
      <c r="L180" s="29" t="s">
        <v>1093</v>
      </c>
      <c r="M180" s="38" t="s">
        <v>151</v>
      </c>
      <c r="N180" s="34"/>
    </row>
    <row r="181">
      <c r="A181" s="29">
        <v>247.0</v>
      </c>
      <c r="B181" s="31" t="s">
        <v>2358</v>
      </c>
      <c r="C181" s="32">
        <v>214.0</v>
      </c>
      <c r="D181" s="29" t="s">
        <v>1623</v>
      </c>
      <c r="E181" s="36">
        <v>-33.0</v>
      </c>
      <c r="F181" s="34"/>
      <c r="G181" s="32">
        <v>198.0</v>
      </c>
      <c r="H181" s="29" t="s">
        <v>1471</v>
      </c>
      <c r="I181" s="36">
        <v>-49.0</v>
      </c>
      <c r="J181" s="34"/>
      <c r="K181" s="32">
        <v>273.0</v>
      </c>
      <c r="L181" s="29" t="s">
        <v>2224</v>
      </c>
      <c r="M181" s="35">
        <f>+26</f>
        <v>26</v>
      </c>
      <c r="N181" s="34"/>
    </row>
    <row r="182">
      <c r="A182" s="29">
        <v>249.0</v>
      </c>
      <c r="B182" s="31" t="s">
        <v>2369</v>
      </c>
      <c r="C182" s="32">
        <v>128.0</v>
      </c>
      <c r="D182" s="29" t="s">
        <v>2201</v>
      </c>
      <c r="E182" s="38" t="s">
        <v>151</v>
      </c>
      <c r="F182" s="34"/>
      <c r="G182" s="32">
        <v>159.0</v>
      </c>
      <c r="H182" s="29" t="s">
        <v>1967</v>
      </c>
      <c r="I182" s="36">
        <v>-90.0</v>
      </c>
      <c r="J182" s="34"/>
      <c r="K182" s="32">
        <v>143.0</v>
      </c>
      <c r="L182" s="29" t="s">
        <v>2129</v>
      </c>
      <c r="M182" s="38" t="s">
        <v>151</v>
      </c>
      <c r="N182" s="34"/>
    </row>
    <row r="183">
      <c r="A183" s="29">
        <v>250.0</v>
      </c>
      <c r="B183" s="31" t="s">
        <v>2379</v>
      </c>
      <c r="C183" s="32">
        <v>172.0</v>
      </c>
      <c r="D183" s="29" t="s">
        <v>1337</v>
      </c>
      <c r="E183" s="36">
        <v>-78.0</v>
      </c>
      <c r="F183" s="34"/>
      <c r="G183" s="32">
        <v>209.0</v>
      </c>
      <c r="H183" s="29" t="s">
        <v>1623</v>
      </c>
      <c r="I183" s="36">
        <v>-41.0</v>
      </c>
      <c r="J183" s="34"/>
      <c r="K183" s="32">
        <v>226.0</v>
      </c>
      <c r="L183" s="29" t="s">
        <v>1623</v>
      </c>
      <c r="M183" s="36">
        <v>-24.0</v>
      </c>
      <c r="N183" s="34"/>
    </row>
    <row r="184">
      <c r="A184" s="29">
        <v>251.0</v>
      </c>
      <c r="B184" s="31" t="s">
        <v>2387</v>
      </c>
      <c r="C184" s="32">
        <v>163.0</v>
      </c>
      <c r="D184" s="29" t="s">
        <v>1256</v>
      </c>
      <c r="E184" s="36">
        <v>-88.0</v>
      </c>
      <c r="F184" s="34"/>
      <c r="G184" s="32">
        <v>149.0</v>
      </c>
      <c r="H184" s="29" t="s">
        <v>1128</v>
      </c>
      <c r="I184" s="38" t="s">
        <v>151</v>
      </c>
      <c r="J184" s="34"/>
      <c r="K184" s="32">
        <v>141.0</v>
      </c>
      <c r="L184" s="29" t="s">
        <v>1090</v>
      </c>
      <c r="M184" s="38" t="s">
        <v>151</v>
      </c>
      <c r="N184" s="34"/>
    </row>
    <row r="185">
      <c r="A185" s="29">
        <v>254.0</v>
      </c>
      <c r="B185" s="31" t="s">
        <v>2395</v>
      </c>
      <c r="C185" s="32">
        <v>96.0</v>
      </c>
      <c r="D185" s="29" t="s">
        <v>1972</v>
      </c>
      <c r="E185" s="38" t="s">
        <v>151</v>
      </c>
      <c r="F185" s="34"/>
      <c r="G185" s="32">
        <v>129.0</v>
      </c>
      <c r="H185" s="29" t="s">
        <v>2050</v>
      </c>
      <c r="I185" s="38" t="s">
        <v>151</v>
      </c>
      <c r="J185" s="34"/>
      <c r="K185" s="32">
        <v>124.0</v>
      </c>
      <c r="L185" s="29" t="s">
        <v>2050</v>
      </c>
      <c r="M185" s="38" t="s">
        <v>151</v>
      </c>
      <c r="N185" s="34"/>
    </row>
    <row r="186">
      <c r="A186" s="29">
        <v>256.0</v>
      </c>
      <c r="B186" s="31" t="s">
        <v>2403</v>
      </c>
      <c r="C186" s="32">
        <v>195.0</v>
      </c>
      <c r="D186" s="29" t="s">
        <v>1346</v>
      </c>
      <c r="E186" s="36">
        <v>-61.0</v>
      </c>
      <c r="F186" s="34"/>
      <c r="G186" s="32">
        <v>212.0</v>
      </c>
      <c r="H186" s="29" t="s">
        <v>1707</v>
      </c>
      <c r="I186" s="36">
        <v>-44.0</v>
      </c>
      <c r="J186" s="34"/>
      <c r="K186" s="32">
        <v>236.0</v>
      </c>
      <c r="L186" s="29" t="s">
        <v>1976</v>
      </c>
      <c r="M186" s="36">
        <v>-20.0</v>
      </c>
      <c r="N186" s="34"/>
    </row>
    <row r="187">
      <c r="A187" s="29">
        <v>259.0</v>
      </c>
      <c r="B187" s="31" t="s">
        <v>2411</v>
      </c>
      <c r="C187" s="32">
        <v>222.0</v>
      </c>
      <c r="D187" s="29" t="s">
        <v>2067</v>
      </c>
      <c r="E187" s="36">
        <v>-37.0</v>
      </c>
      <c r="F187" s="34"/>
      <c r="G187" s="32">
        <v>270.0</v>
      </c>
      <c r="H187" s="29" t="s">
        <v>1891</v>
      </c>
      <c r="I187" s="35">
        <f>+11</f>
        <v>11</v>
      </c>
      <c r="J187" s="34"/>
      <c r="K187" s="32">
        <v>220.0</v>
      </c>
      <c r="L187" s="29" t="s">
        <v>1871</v>
      </c>
      <c r="M187" s="36">
        <v>-39.0</v>
      </c>
      <c r="N187" s="34"/>
    </row>
    <row r="188">
      <c r="A188" s="29">
        <v>260.0</v>
      </c>
      <c r="B188" s="31" t="s">
        <v>2418</v>
      </c>
      <c r="C188" s="32" t="s">
        <v>151</v>
      </c>
      <c r="D188" s="29" t="s">
        <v>151</v>
      </c>
      <c r="E188" s="38" t="s">
        <v>151</v>
      </c>
      <c r="F188" s="34"/>
      <c r="G188" s="32">
        <v>154.0</v>
      </c>
      <c r="H188" s="29" t="s">
        <v>1220</v>
      </c>
      <c r="I188" s="38" t="s">
        <v>151</v>
      </c>
      <c r="J188" s="34"/>
      <c r="K188" s="32">
        <v>132.0</v>
      </c>
      <c r="L188" s="29" t="s">
        <v>1068</v>
      </c>
      <c r="M188" s="38" t="s">
        <v>151</v>
      </c>
      <c r="N188" s="34"/>
    </row>
    <row r="189">
      <c r="A189" s="29">
        <v>261.0</v>
      </c>
      <c r="B189" s="31" t="s">
        <v>2427</v>
      </c>
      <c r="C189" s="32">
        <v>164.0</v>
      </c>
      <c r="D189" s="29" t="s">
        <v>2436</v>
      </c>
      <c r="E189" s="36">
        <v>-97.0</v>
      </c>
      <c r="F189" s="34"/>
      <c r="G189" s="32">
        <v>215.0</v>
      </c>
      <c r="H189" s="29" t="s">
        <v>2259</v>
      </c>
      <c r="I189" s="36">
        <v>-46.0</v>
      </c>
      <c r="J189" s="34"/>
      <c r="K189" s="32">
        <v>195.0</v>
      </c>
      <c r="L189" s="29" t="s">
        <v>2259</v>
      </c>
      <c r="M189" s="36">
        <v>-66.0</v>
      </c>
      <c r="N189" s="34"/>
    </row>
    <row r="190">
      <c r="A190" s="29">
        <v>262.0</v>
      </c>
      <c r="B190" s="31" t="s">
        <v>2441</v>
      </c>
      <c r="C190" s="32">
        <v>150.0</v>
      </c>
      <c r="D190" s="29" t="s">
        <v>1354</v>
      </c>
      <c r="E190" s="38" t="s">
        <v>151</v>
      </c>
      <c r="F190" s="34"/>
      <c r="G190" s="32">
        <v>237.0</v>
      </c>
      <c r="H190" s="29" t="s">
        <v>1666</v>
      </c>
      <c r="I190" s="36">
        <v>-25.0</v>
      </c>
      <c r="J190" s="34"/>
      <c r="K190" s="32">
        <v>189.0</v>
      </c>
      <c r="L190" s="29" t="s">
        <v>1657</v>
      </c>
      <c r="M190" s="36">
        <v>-73.0</v>
      </c>
      <c r="N190" s="34"/>
    </row>
    <row r="191">
      <c r="A191" s="29">
        <v>263.0</v>
      </c>
      <c r="B191" s="31" t="s">
        <v>2451</v>
      </c>
      <c r="C191" s="32">
        <v>177.0</v>
      </c>
      <c r="D191" s="29" t="s">
        <v>1374</v>
      </c>
      <c r="E191" s="36">
        <v>-86.0</v>
      </c>
      <c r="F191" s="34"/>
      <c r="G191" s="32">
        <v>190.0</v>
      </c>
      <c r="H191" s="29" t="s">
        <v>1419</v>
      </c>
      <c r="I191" s="36">
        <v>-73.0</v>
      </c>
      <c r="J191" s="34"/>
      <c r="K191" s="32">
        <v>250.0</v>
      </c>
      <c r="L191" s="29" t="s">
        <v>1924</v>
      </c>
      <c r="M191" s="36">
        <v>-13.0</v>
      </c>
      <c r="N191" s="34"/>
    </row>
    <row r="192">
      <c r="A192" s="29">
        <v>264.0</v>
      </c>
      <c r="B192" s="31" t="s">
        <v>2459</v>
      </c>
      <c r="C192" s="32">
        <v>154.0</v>
      </c>
      <c r="D192" s="29" t="s">
        <v>1968</v>
      </c>
      <c r="E192" s="38" t="s">
        <v>151</v>
      </c>
      <c r="F192" s="34"/>
      <c r="G192" s="32">
        <v>220.0</v>
      </c>
      <c r="H192" s="29" t="s">
        <v>2200</v>
      </c>
      <c r="I192" s="36">
        <v>-44.0</v>
      </c>
      <c r="J192" s="34"/>
      <c r="K192" s="32">
        <v>244.0</v>
      </c>
      <c r="L192" s="29" t="s">
        <v>2178</v>
      </c>
      <c r="M192" s="36">
        <v>-20.0</v>
      </c>
      <c r="N192" s="34"/>
    </row>
    <row r="193">
      <c r="A193" s="29">
        <v>265.0</v>
      </c>
      <c r="B193" s="31" t="s">
        <v>2470</v>
      </c>
      <c r="C193" s="32">
        <v>207.0</v>
      </c>
      <c r="D193" s="29" t="s">
        <v>2475</v>
      </c>
      <c r="E193" s="36">
        <v>-58.0</v>
      </c>
      <c r="F193" s="34"/>
      <c r="G193" s="32">
        <v>248.0</v>
      </c>
      <c r="H193" s="29" t="s">
        <v>2180</v>
      </c>
      <c r="I193" s="36">
        <v>-17.0</v>
      </c>
      <c r="J193" s="34"/>
      <c r="K193" s="32">
        <v>237.0</v>
      </c>
      <c r="L193" s="29" t="s">
        <v>2179</v>
      </c>
      <c r="M193" s="36">
        <v>-28.0</v>
      </c>
      <c r="N193" s="34"/>
    </row>
    <row r="194">
      <c r="A194" s="29">
        <v>269.0</v>
      </c>
      <c r="B194" s="31" t="s">
        <v>2478</v>
      </c>
      <c r="C194" s="32">
        <v>230.0</v>
      </c>
      <c r="D194" s="29" t="s">
        <v>2370</v>
      </c>
      <c r="E194" s="36">
        <v>-39.0</v>
      </c>
      <c r="F194" s="34"/>
      <c r="G194" s="32">
        <v>285.0</v>
      </c>
      <c r="H194" s="29" t="s">
        <v>2447</v>
      </c>
      <c r="I194" s="35">
        <f>+16</f>
        <v>16</v>
      </c>
      <c r="J194" s="34"/>
      <c r="K194" s="32">
        <v>288.0</v>
      </c>
      <c r="L194" s="29" t="s">
        <v>2487</v>
      </c>
      <c r="M194" s="35">
        <f>+19</f>
        <v>19</v>
      </c>
      <c r="N194" s="34"/>
    </row>
    <row r="195">
      <c r="A195" s="29">
        <v>270.0</v>
      </c>
      <c r="B195" s="31" t="s">
        <v>2490</v>
      </c>
      <c r="C195" s="32" t="s">
        <v>151</v>
      </c>
      <c r="D195" s="29" t="s">
        <v>151</v>
      </c>
      <c r="E195" s="38" t="s">
        <v>151</v>
      </c>
      <c r="F195" s="34"/>
      <c r="G195" s="32">
        <v>228.0</v>
      </c>
      <c r="H195" s="29" t="s">
        <v>1771</v>
      </c>
      <c r="I195" s="36">
        <v>-42.0</v>
      </c>
      <c r="J195" s="34"/>
      <c r="K195" s="32">
        <v>245.0</v>
      </c>
      <c r="L195" s="29" t="s">
        <v>1845</v>
      </c>
      <c r="M195" s="36">
        <v>-25.0</v>
      </c>
      <c r="N195" s="34"/>
    </row>
    <row r="196">
      <c r="A196" s="29">
        <v>272.0</v>
      </c>
      <c r="B196" s="31" t="s">
        <v>2503</v>
      </c>
      <c r="C196" s="32">
        <v>170.0</v>
      </c>
      <c r="D196" s="29" t="s">
        <v>1314</v>
      </c>
      <c r="E196" s="38" t="s">
        <v>151</v>
      </c>
      <c r="F196" s="34"/>
      <c r="G196" s="32">
        <v>189.0</v>
      </c>
      <c r="H196" s="29" t="s">
        <v>1410</v>
      </c>
      <c r="I196" s="36">
        <v>-83.0</v>
      </c>
      <c r="J196" s="34"/>
      <c r="K196" s="32">
        <v>202.0</v>
      </c>
      <c r="L196" s="29" t="s">
        <v>1410</v>
      </c>
      <c r="M196" s="36">
        <v>-70.0</v>
      </c>
      <c r="N196" s="34"/>
    </row>
    <row r="197">
      <c r="A197" s="29">
        <v>273.0</v>
      </c>
      <c r="B197" s="31" t="s">
        <v>2511</v>
      </c>
      <c r="C197" s="32">
        <v>217.0</v>
      </c>
      <c r="D197" s="29" t="s">
        <v>1491</v>
      </c>
      <c r="E197" s="36">
        <v>-56.0</v>
      </c>
      <c r="F197" s="34"/>
      <c r="G197" s="32">
        <v>167.0</v>
      </c>
      <c r="H197" s="29" t="s">
        <v>1363</v>
      </c>
      <c r="I197" s="38" t="s">
        <v>151</v>
      </c>
      <c r="J197" s="34"/>
      <c r="K197" s="32">
        <v>157.0</v>
      </c>
      <c r="L197" s="29" t="s">
        <v>1235</v>
      </c>
      <c r="M197" s="38" t="s">
        <v>151</v>
      </c>
      <c r="N197" s="34"/>
    </row>
    <row r="198">
      <c r="A198" s="29">
        <v>274.0</v>
      </c>
      <c r="B198" s="31" t="s">
        <v>2518</v>
      </c>
      <c r="C198" s="32" t="s">
        <v>151</v>
      </c>
      <c r="D198" s="29" t="s">
        <v>151</v>
      </c>
      <c r="E198" s="38" t="s">
        <v>151</v>
      </c>
      <c r="F198" s="34"/>
      <c r="G198" s="32">
        <v>174.0</v>
      </c>
      <c r="H198" s="29" t="s">
        <v>1448</v>
      </c>
      <c r="I198" s="36">
        <v>-100.0</v>
      </c>
      <c r="J198" s="34"/>
      <c r="K198" s="32">
        <v>166.0</v>
      </c>
      <c r="L198" s="29" t="s">
        <v>1547</v>
      </c>
      <c r="M198" s="38" t="s">
        <v>151</v>
      </c>
      <c r="N198" s="34"/>
    </row>
    <row r="199">
      <c r="A199" s="29">
        <v>275.0</v>
      </c>
      <c r="B199" s="31" t="s">
        <v>2525</v>
      </c>
      <c r="C199" s="32" t="s">
        <v>151</v>
      </c>
      <c r="D199" s="29" t="s">
        <v>151</v>
      </c>
      <c r="E199" s="38" t="s">
        <v>151</v>
      </c>
      <c r="F199" s="34"/>
      <c r="G199" s="32">
        <v>185.0</v>
      </c>
      <c r="H199" s="29" t="s">
        <v>1469</v>
      </c>
      <c r="I199" s="36">
        <v>-90.0</v>
      </c>
      <c r="J199" s="34"/>
      <c r="K199" s="32">
        <v>192.0</v>
      </c>
      <c r="L199" s="29" t="s">
        <v>1553</v>
      </c>
      <c r="M199" s="36">
        <v>-83.0</v>
      </c>
      <c r="N199" s="34"/>
    </row>
    <row r="200">
      <c r="A200" s="29">
        <v>276.0</v>
      </c>
      <c r="B200" s="31" t="s">
        <v>2533</v>
      </c>
      <c r="C200" s="32">
        <v>200.0</v>
      </c>
      <c r="D200" s="29" t="s">
        <v>1134</v>
      </c>
      <c r="E200" s="36">
        <v>-76.0</v>
      </c>
      <c r="F200" s="34"/>
      <c r="G200" s="32">
        <v>143.0</v>
      </c>
      <c r="H200" s="29" t="s">
        <v>1167</v>
      </c>
      <c r="I200" s="38" t="s">
        <v>151</v>
      </c>
      <c r="J200" s="34"/>
      <c r="K200" s="32">
        <v>106.0</v>
      </c>
      <c r="L200" s="29" t="s">
        <v>931</v>
      </c>
      <c r="M200" s="38" t="s">
        <v>151</v>
      </c>
      <c r="N200" s="34"/>
    </row>
    <row r="201">
      <c r="A201" s="29">
        <v>277.0</v>
      </c>
      <c r="B201" s="31" t="s">
        <v>2539</v>
      </c>
      <c r="C201" s="32">
        <v>186.0</v>
      </c>
      <c r="D201" s="29" t="s">
        <v>2179</v>
      </c>
      <c r="E201" s="36">
        <v>-91.0</v>
      </c>
      <c r="F201" s="34"/>
      <c r="G201" s="32">
        <v>192.0</v>
      </c>
      <c r="H201" s="29" t="s">
        <v>2295</v>
      </c>
      <c r="I201" s="36">
        <v>-85.0</v>
      </c>
      <c r="J201" s="34"/>
      <c r="K201" s="32">
        <v>210.0</v>
      </c>
      <c r="L201" s="29" t="s">
        <v>2200</v>
      </c>
      <c r="M201" s="36">
        <v>-67.0</v>
      </c>
      <c r="N201" s="34"/>
    </row>
    <row r="202">
      <c r="A202" s="29">
        <v>278.0</v>
      </c>
      <c r="B202" s="31" t="s">
        <v>2547</v>
      </c>
      <c r="C202" s="32">
        <v>139.0</v>
      </c>
      <c r="D202" s="29" t="s">
        <v>939</v>
      </c>
      <c r="E202" s="38" t="s">
        <v>151</v>
      </c>
      <c r="F202" s="34"/>
      <c r="G202" s="32">
        <v>254.0</v>
      </c>
      <c r="H202" s="29" t="s">
        <v>2125</v>
      </c>
      <c r="I202" s="36">
        <v>-24.0</v>
      </c>
      <c r="J202" s="34"/>
      <c r="K202" s="32">
        <v>259.0</v>
      </c>
      <c r="L202" s="29" t="s">
        <v>2069</v>
      </c>
      <c r="M202" s="36">
        <v>-19.0</v>
      </c>
      <c r="N202" s="34"/>
    </row>
    <row r="203">
      <c r="A203" s="29">
        <v>279.0</v>
      </c>
      <c r="B203" s="31" t="s">
        <v>2557</v>
      </c>
      <c r="C203" s="32" t="s">
        <v>151</v>
      </c>
      <c r="D203" s="29" t="s">
        <v>151</v>
      </c>
      <c r="E203" s="38" t="s">
        <v>151</v>
      </c>
      <c r="F203" s="34"/>
      <c r="G203" s="32">
        <v>186.0</v>
      </c>
      <c r="H203" s="29" t="s">
        <v>1491</v>
      </c>
      <c r="I203" s="36">
        <v>-93.0</v>
      </c>
      <c r="J203" s="34"/>
      <c r="K203" s="32">
        <v>161.0</v>
      </c>
      <c r="L203" s="29" t="s">
        <v>1281</v>
      </c>
      <c r="M203" s="38" t="s">
        <v>151</v>
      </c>
      <c r="N203" s="34"/>
    </row>
    <row r="204">
      <c r="A204" s="29">
        <v>280.0</v>
      </c>
      <c r="B204" s="31" t="s">
        <v>2565</v>
      </c>
      <c r="C204" s="32" t="s">
        <v>151</v>
      </c>
      <c r="D204" s="29" t="s">
        <v>151</v>
      </c>
      <c r="E204" s="38" t="s">
        <v>151</v>
      </c>
      <c r="F204" s="34"/>
      <c r="G204" s="32">
        <v>146.0</v>
      </c>
      <c r="H204" s="29" t="s">
        <v>1184</v>
      </c>
      <c r="I204" s="38" t="s">
        <v>151</v>
      </c>
      <c r="J204" s="34"/>
      <c r="K204" s="32">
        <v>147.0</v>
      </c>
      <c r="L204" s="29" t="s">
        <v>1219</v>
      </c>
      <c r="M204" s="38" t="s">
        <v>151</v>
      </c>
      <c r="N204" s="34"/>
    </row>
    <row r="205">
      <c r="A205" s="29">
        <v>282.0</v>
      </c>
      <c r="B205" s="31" t="s">
        <v>2572</v>
      </c>
      <c r="C205" s="32">
        <v>188.0</v>
      </c>
      <c r="D205" s="29" t="s">
        <v>1410</v>
      </c>
      <c r="E205" s="36">
        <v>-94.0</v>
      </c>
      <c r="F205" s="34"/>
      <c r="G205" s="32">
        <v>184.0</v>
      </c>
      <c r="H205" s="29" t="s">
        <v>1357</v>
      </c>
      <c r="I205" s="36">
        <v>-98.0</v>
      </c>
      <c r="J205" s="34"/>
      <c r="K205" s="32">
        <v>197.0</v>
      </c>
      <c r="L205" s="29" t="s">
        <v>1357</v>
      </c>
      <c r="M205" s="36">
        <v>-85.0</v>
      </c>
      <c r="N205" s="34"/>
    </row>
    <row r="206">
      <c r="A206" s="29">
        <v>283.0</v>
      </c>
      <c r="B206" s="31" t="s">
        <v>2577</v>
      </c>
      <c r="C206" s="32" t="s">
        <v>151</v>
      </c>
      <c r="D206" s="29" t="s">
        <v>151</v>
      </c>
      <c r="E206" s="38" t="s">
        <v>151</v>
      </c>
      <c r="F206" s="34"/>
      <c r="G206" s="32">
        <v>203.0</v>
      </c>
      <c r="H206" s="29" t="s">
        <v>1606</v>
      </c>
      <c r="I206" s="36">
        <v>-80.0</v>
      </c>
      <c r="J206" s="34"/>
      <c r="K206" s="32">
        <v>188.0</v>
      </c>
      <c r="L206" s="29" t="s">
        <v>1491</v>
      </c>
      <c r="M206" s="36">
        <v>-95.0</v>
      </c>
      <c r="N206" s="34"/>
    </row>
    <row r="207">
      <c r="A207" s="29">
        <v>284.0</v>
      </c>
      <c r="B207" s="31" t="s">
        <v>2582</v>
      </c>
      <c r="C207" s="32" t="s">
        <v>151</v>
      </c>
      <c r="D207" s="29" t="s">
        <v>151</v>
      </c>
      <c r="E207" s="38" t="s">
        <v>151</v>
      </c>
      <c r="F207" s="34"/>
      <c r="G207" s="32">
        <v>262.0</v>
      </c>
      <c r="H207" s="29" t="s">
        <v>2475</v>
      </c>
      <c r="I207" s="36">
        <v>-22.0</v>
      </c>
      <c r="J207" s="34"/>
      <c r="K207" s="32">
        <v>261.0</v>
      </c>
      <c r="L207" s="29" t="s">
        <v>2593</v>
      </c>
      <c r="M207" s="36">
        <v>-23.0</v>
      </c>
      <c r="N207" s="34"/>
    </row>
    <row r="208">
      <c r="A208" s="29">
        <v>286.0</v>
      </c>
      <c r="B208" s="31" t="s">
        <v>2594</v>
      </c>
      <c r="C208" s="32">
        <v>211.0</v>
      </c>
      <c r="D208" s="29" t="s">
        <v>2598</v>
      </c>
      <c r="E208" s="36">
        <v>-75.0</v>
      </c>
      <c r="F208" s="34"/>
      <c r="G208" s="32">
        <v>245.0</v>
      </c>
      <c r="H208" s="29" t="s">
        <v>2178</v>
      </c>
      <c r="I208" s="36">
        <v>-41.0</v>
      </c>
      <c r="J208" s="34"/>
      <c r="K208" s="32">
        <v>275.0</v>
      </c>
      <c r="L208" s="29" t="s">
        <v>2598</v>
      </c>
      <c r="M208" s="36">
        <v>-11.0</v>
      </c>
      <c r="N208" s="34"/>
    </row>
    <row r="209">
      <c r="A209" s="29">
        <v>287.0</v>
      </c>
      <c r="B209" s="31" t="s">
        <v>2599</v>
      </c>
      <c r="C209" s="32" t="s">
        <v>151</v>
      </c>
      <c r="D209" s="29" t="s">
        <v>151</v>
      </c>
      <c r="E209" s="38" t="s">
        <v>151</v>
      </c>
      <c r="F209" s="34"/>
      <c r="G209" s="32">
        <v>191.0</v>
      </c>
      <c r="H209" s="29" t="s">
        <v>1553</v>
      </c>
      <c r="I209" s="36">
        <v>-96.0</v>
      </c>
      <c r="J209" s="34"/>
      <c r="K209" s="32">
        <v>205.0</v>
      </c>
      <c r="L209" s="29" t="s">
        <v>1693</v>
      </c>
      <c r="M209" s="36">
        <v>-82.0</v>
      </c>
      <c r="N209" s="34"/>
    </row>
    <row r="210">
      <c r="A210" s="29">
        <v>288.0</v>
      </c>
      <c r="B210" s="31" t="s">
        <v>2604</v>
      </c>
      <c r="C210" s="32">
        <v>219.0</v>
      </c>
      <c r="D210" s="29" t="s">
        <v>1366</v>
      </c>
      <c r="E210" s="36">
        <v>-69.0</v>
      </c>
      <c r="F210" s="34"/>
      <c r="G210" s="32">
        <v>211.0</v>
      </c>
      <c r="H210" s="29" t="s">
        <v>1366</v>
      </c>
      <c r="I210" s="36">
        <v>-77.0</v>
      </c>
      <c r="J210" s="34"/>
      <c r="K210" s="32">
        <v>251.0</v>
      </c>
      <c r="L210" s="29" t="s">
        <v>1572</v>
      </c>
      <c r="M210" s="36">
        <v>-37.0</v>
      </c>
      <c r="N210" s="34"/>
    </row>
    <row r="211">
      <c r="A211" s="29">
        <v>290.0</v>
      </c>
      <c r="B211" s="31" t="s">
        <v>2609</v>
      </c>
      <c r="C211" s="32" t="s">
        <v>151</v>
      </c>
      <c r="D211" s="29" t="s">
        <v>151</v>
      </c>
      <c r="E211" s="38" t="s">
        <v>151</v>
      </c>
      <c r="F211" s="34"/>
      <c r="G211" s="32">
        <v>239.0</v>
      </c>
      <c r="H211" s="29" t="s">
        <v>1721</v>
      </c>
      <c r="I211" s="36">
        <v>-51.0</v>
      </c>
      <c r="J211" s="34"/>
      <c r="K211" s="32">
        <v>193.0</v>
      </c>
      <c r="L211" s="29" t="s">
        <v>1681</v>
      </c>
      <c r="M211" s="36">
        <v>-97.0</v>
      </c>
      <c r="N211" s="34"/>
    </row>
    <row r="212">
      <c r="A212" s="29">
        <v>291.0</v>
      </c>
      <c r="B212" s="31" t="s">
        <v>2615</v>
      </c>
      <c r="C212" s="32">
        <v>194.0</v>
      </c>
      <c r="D212" s="29" t="s">
        <v>2180</v>
      </c>
      <c r="E212" s="36">
        <v>-97.0</v>
      </c>
      <c r="F212" s="34"/>
      <c r="G212" s="32">
        <v>256.0</v>
      </c>
      <c r="H212" s="29" t="s">
        <v>2593</v>
      </c>
      <c r="I212" s="36">
        <v>-35.0</v>
      </c>
      <c r="J212" s="34"/>
      <c r="K212" s="32">
        <v>291.0</v>
      </c>
      <c r="L212" s="29" t="s">
        <v>2620</v>
      </c>
      <c r="M212" s="33">
        <f>+0</f>
        <v>0</v>
      </c>
      <c r="N212" s="34"/>
    </row>
    <row r="213">
      <c r="A213" s="29">
        <v>292.0</v>
      </c>
      <c r="B213" s="31" t="s">
        <v>2622</v>
      </c>
      <c r="C213" s="32" t="s">
        <v>151</v>
      </c>
      <c r="D213" s="29" t="s">
        <v>151</v>
      </c>
      <c r="E213" s="38" t="s">
        <v>151</v>
      </c>
      <c r="F213" s="34"/>
      <c r="G213" s="32">
        <v>249.0</v>
      </c>
      <c r="H213" s="29" t="s">
        <v>2061</v>
      </c>
      <c r="I213" s="36">
        <v>-43.0</v>
      </c>
      <c r="J213" s="34"/>
      <c r="K213" s="32">
        <v>262.0</v>
      </c>
      <c r="L213" s="29" t="s">
        <v>2083</v>
      </c>
      <c r="M213" s="36">
        <v>-30.0</v>
      </c>
      <c r="N213" s="34"/>
    </row>
    <row r="214">
      <c r="A214" s="29">
        <v>293.0</v>
      </c>
      <c r="B214" s="31" t="s">
        <v>2627</v>
      </c>
      <c r="C214" s="32">
        <v>121.0</v>
      </c>
      <c r="D214" s="29" t="s">
        <v>1318</v>
      </c>
      <c r="E214" s="38" t="s">
        <v>151</v>
      </c>
      <c r="F214" s="34"/>
      <c r="G214" s="32">
        <v>171.0</v>
      </c>
      <c r="H214" s="29" t="s">
        <v>1354</v>
      </c>
      <c r="I214" s="38" t="s">
        <v>151</v>
      </c>
      <c r="J214" s="34"/>
      <c r="K214" s="32">
        <v>154.0</v>
      </c>
      <c r="L214" s="29" t="s">
        <v>1354</v>
      </c>
      <c r="M214" s="38" t="s">
        <v>151</v>
      </c>
      <c r="N214" s="34"/>
    </row>
    <row r="215">
      <c r="A215" s="29">
        <v>294.0</v>
      </c>
      <c r="B215" s="31" t="s">
        <v>2633</v>
      </c>
      <c r="C215" s="32">
        <v>232.0</v>
      </c>
      <c r="D215" s="29" t="s">
        <v>1448</v>
      </c>
      <c r="E215" s="36">
        <v>-62.0</v>
      </c>
      <c r="F215" s="34"/>
      <c r="G215" s="32" t="s">
        <v>151</v>
      </c>
      <c r="H215" s="29" t="s">
        <v>151</v>
      </c>
      <c r="I215" s="38" t="s">
        <v>151</v>
      </c>
      <c r="J215" s="34"/>
      <c r="K215" s="32" t="s">
        <v>151</v>
      </c>
      <c r="L215" s="29" t="s">
        <v>151</v>
      </c>
      <c r="M215" s="38" t="s">
        <v>151</v>
      </c>
      <c r="N215" s="34"/>
    </row>
    <row r="216">
      <c r="A216" s="29">
        <v>295.0</v>
      </c>
      <c r="B216" s="31" t="s">
        <v>2638</v>
      </c>
      <c r="C216" s="32">
        <v>196.0</v>
      </c>
      <c r="D216" s="29" t="s">
        <v>1363</v>
      </c>
      <c r="E216" s="36">
        <v>-99.0</v>
      </c>
      <c r="F216" s="34"/>
      <c r="G216" s="32">
        <v>152.0</v>
      </c>
      <c r="H216" s="29" t="s">
        <v>1189</v>
      </c>
      <c r="I216" s="38" t="s">
        <v>151</v>
      </c>
      <c r="J216" s="34"/>
      <c r="K216" s="32">
        <v>100.0</v>
      </c>
      <c r="L216" s="29" t="s">
        <v>814</v>
      </c>
      <c r="M216" s="38" t="s">
        <v>151</v>
      </c>
      <c r="N216" s="34"/>
    </row>
    <row r="217">
      <c r="A217" s="29">
        <v>297.0</v>
      </c>
      <c r="B217" s="31" t="s">
        <v>2642</v>
      </c>
      <c r="C217" s="32">
        <v>197.0</v>
      </c>
      <c r="D217" s="29" t="s">
        <v>2646</v>
      </c>
      <c r="E217" s="36">
        <v>-100.0</v>
      </c>
      <c r="F217" s="34"/>
      <c r="G217" s="32">
        <v>233.0</v>
      </c>
      <c r="H217" s="29" t="s">
        <v>2436</v>
      </c>
      <c r="I217" s="36">
        <v>-64.0</v>
      </c>
      <c r="J217" s="34"/>
      <c r="K217" s="32">
        <v>229.0</v>
      </c>
      <c r="L217" s="29" t="s">
        <v>2436</v>
      </c>
      <c r="M217" s="36">
        <v>-68.0</v>
      </c>
      <c r="N217" s="34"/>
    </row>
    <row r="218">
      <c r="A218" s="29">
        <v>298.0</v>
      </c>
      <c r="B218" s="31" t="s">
        <v>2648</v>
      </c>
      <c r="C218" s="32" t="s">
        <v>151</v>
      </c>
      <c r="D218" s="29" t="s">
        <v>151</v>
      </c>
      <c r="E218" s="38" t="s">
        <v>151</v>
      </c>
      <c r="F218" s="34"/>
      <c r="G218" s="32">
        <v>238.0</v>
      </c>
      <c r="H218" s="29" t="s">
        <v>1681</v>
      </c>
      <c r="I218" s="36">
        <v>-60.0</v>
      </c>
      <c r="J218" s="34"/>
      <c r="K218" s="32">
        <v>181.0</v>
      </c>
      <c r="L218" s="29" t="s">
        <v>1429</v>
      </c>
      <c r="M218" s="38" t="s">
        <v>151</v>
      </c>
      <c r="N218" s="34"/>
    </row>
    <row r="219">
      <c r="A219" s="29">
        <v>300.0</v>
      </c>
      <c r="B219" s="31" t="s">
        <v>2652</v>
      </c>
      <c r="C219" s="32">
        <v>220.0</v>
      </c>
      <c r="D219" s="29" t="s">
        <v>1553</v>
      </c>
      <c r="E219" s="36">
        <v>-80.0</v>
      </c>
      <c r="F219" s="34"/>
      <c r="G219" s="32">
        <v>164.0</v>
      </c>
      <c r="H219" s="29" t="s">
        <v>1346</v>
      </c>
      <c r="I219" s="38" t="s">
        <v>151</v>
      </c>
      <c r="J219" s="34"/>
      <c r="K219" s="32">
        <v>173.0</v>
      </c>
      <c r="L219" s="29" t="s">
        <v>1371</v>
      </c>
      <c r="M219" s="38" t="s">
        <v>151</v>
      </c>
      <c r="N219" s="34"/>
    </row>
    <row r="220">
      <c r="A220" s="29">
        <v>301.0</v>
      </c>
      <c r="B220" s="31" t="s">
        <v>2656</v>
      </c>
      <c r="C220" s="32">
        <v>204.0</v>
      </c>
      <c r="D220" s="29" t="s">
        <v>1167</v>
      </c>
      <c r="E220" s="36">
        <v>-97.0</v>
      </c>
      <c r="F220" s="34"/>
      <c r="G220" s="32">
        <v>166.0</v>
      </c>
      <c r="H220" s="29" t="s">
        <v>1442</v>
      </c>
      <c r="I220" s="38" t="s">
        <v>151</v>
      </c>
      <c r="J220" s="34"/>
      <c r="K220" s="32">
        <v>144.0</v>
      </c>
      <c r="L220" s="29" t="s">
        <v>1184</v>
      </c>
      <c r="M220" s="38" t="s">
        <v>151</v>
      </c>
      <c r="N220" s="34"/>
    </row>
    <row r="221">
      <c r="A221" s="29">
        <v>302.0</v>
      </c>
      <c r="B221" s="31" t="s">
        <v>2663</v>
      </c>
      <c r="C221" s="32">
        <v>184.0</v>
      </c>
      <c r="D221" s="29" t="s">
        <v>1721</v>
      </c>
      <c r="E221" s="38" t="s">
        <v>151</v>
      </c>
      <c r="F221" s="34"/>
      <c r="G221" s="32">
        <v>275.0</v>
      </c>
      <c r="H221" s="29" t="s">
        <v>2067</v>
      </c>
      <c r="I221" s="36">
        <v>-27.0</v>
      </c>
      <c r="J221" s="34"/>
      <c r="K221" s="32">
        <v>253.0</v>
      </c>
      <c r="L221" s="29" t="s">
        <v>2067</v>
      </c>
      <c r="M221" s="36">
        <v>-49.0</v>
      </c>
      <c r="N221" s="34"/>
    </row>
    <row r="222">
      <c r="A222" s="29">
        <v>303.0</v>
      </c>
      <c r="B222" s="31" t="s">
        <v>2668</v>
      </c>
      <c r="C222" s="32" t="s">
        <v>151</v>
      </c>
      <c r="D222" s="29" t="s">
        <v>151</v>
      </c>
      <c r="E222" s="38" t="s">
        <v>151</v>
      </c>
      <c r="F222" s="34"/>
      <c r="G222" s="32">
        <v>290.0</v>
      </c>
      <c r="H222" s="29" t="s">
        <v>2673</v>
      </c>
      <c r="I222" s="36">
        <v>-13.0</v>
      </c>
      <c r="J222" s="34"/>
      <c r="K222" s="32">
        <v>279.0</v>
      </c>
      <c r="L222" s="29" t="s">
        <v>2674</v>
      </c>
      <c r="M222" s="36">
        <v>-24.0</v>
      </c>
      <c r="N222" s="34"/>
    </row>
    <row r="223">
      <c r="A223" s="29">
        <v>304.0</v>
      </c>
      <c r="B223" s="31" t="s">
        <v>2675</v>
      </c>
      <c r="C223" s="32">
        <v>227.0</v>
      </c>
      <c r="D223" s="29" t="s">
        <v>1606</v>
      </c>
      <c r="E223" s="36">
        <v>-77.0</v>
      </c>
      <c r="F223" s="34"/>
      <c r="G223" s="32">
        <v>131.0</v>
      </c>
      <c r="H223" s="29" t="s">
        <v>1041</v>
      </c>
      <c r="I223" s="38" t="s">
        <v>151</v>
      </c>
      <c r="J223" s="34"/>
      <c r="K223" s="32">
        <v>126.0</v>
      </c>
      <c r="L223" s="29" t="s">
        <v>1008</v>
      </c>
      <c r="M223" s="38" t="s">
        <v>151</v>
      </c>
      <c r="N223" s="34"/>
    </row>
    <row r="224">
      <c r="A224" s="29">
        <v>305.0</v>
      </c>
      <c r="B224" s="31" t="s">
        <v>2680</v>
      </c>
      <c r="C224" s="32" t="s">
        <v>151</v>
      </c>
      <c r="D224" s="29" t="s">
        <v>151</v>
      </c>
      <c r="E224" s="38" t="s">
        <v>151</v>
      </c>
      <c r="F224" s="34"/>
      <c r="G224" s="32">
        <v>200.0</v>
      </c>
      <c r="H224" s="29" t="s">
        <v>1498</v>
      </c>
      <c r="I224" s="38" t="s">
        <v>151</v>
      </c>
      <c r="J224" s="34"/>
      <c r="K224" s="32">
        <v>223.0</v>
      </c>
      <c r="L224" s="29" t="s">
        <v>1614</v>
      </c>
      <c r="M224" s="36">
        <v>-82.0</v>
      </c>
      <c r="N224" s="34"/>
    </row>
    <row r="225">
      <c r="A225" s="29">
        <v>306.0</v>
      </c>
      <c r="B225" s="31" t="s">
        <v>2688</v>
      </c>
      <c r="C225" s="32" t="s">
        <v>151</v>
      </c>
      <c r="D225" s="29" t="s">
        <v>151</v>
      </c>
      <c r="E225" s="38" t="s">
        <v>151</v>
      </c>
      <c r="F225" s="34"/>
      <c r="G225" s="32">
        <v>221.0</v>
      </c>
      <c r="H225" s="29" t="s">
        <v>1572</v>
      </c>
      <c r="I225" s="36">
        <v>-85.0</v>
      </c>
      <c r="J225" s="34"/>
      <c r="K225" s="32">
        <v>235.0</v>
      </c>
      <c r="L225" s="29" t="s">
        <v>1246</v>
      </c>
      <c r="M225" s="36">
        <v>-71.0</v>
      </c>
      <c r="N225" s="34"/>
    </row>
    <row r="226">
      <c r="A226" s="29">
        <v>308.0</v>
      </c>
      <c r="B226" s="31" t="s">
        <v>2694</v>
      </c>
      <c r="C226" s="32">
        <v>228.0</v>
      </c>
      <c r="D226" s="29" t="s">
        <v>2202</v>
      </c>
      <c r="E226" s="36">
        <v>-80.0</v>
      </c>
      <c r="F226" s="34"/>
      <c r="G226" s="32">
        <v>258.0</v>
      </c>
      <c r="H226" s="29" t="s">
        <v>1871</v>
      </c>
      <c r="I226" s="36">
        <v>-50.0</v>
      </c>
      <c r="J226" s="34"/>
      <c r="K226" s="32">
        <v>215.0</v>
      </c>
      <c r="L226" s="29" t="s">
        <v>1721</v>
      </c>
      <c r="M226" s="36">
        <v>-93.0</v>
      </c>
      <c r="N226" s="34"/>
    </row>
    <row r="227">
      <c r="A227" s="29">
        <v>310.0</v>
      </c>
      <c r="B227" s="31" t="s">
        <v>2701</v>
      </c>
      <c r="C227" s="32">
        <v>155.0</v>
      </c>
      <c r="D227" s="29" t="s">
        <v>1246</v>
      </c>
      <c r="E227" s="38" t="s">
        <v>151</v>
      </c>
      <c r="F227" s="34"/>
      <c r="G227" s="32">
        <v>225.0</v>
      </c>
      <c r="H227" s="29" t="s">
        <v>1635</v>
      </c>
      <c r="I227" s="36">
        <v>-85.0</v>
      </c>
      <c r="J227" s="34"/>
      <c r="K227" s="32">
        <v>260.0</v>
      </c>
      <c r="L227" s="29" t="s">
        <v>1635</v>
      </c>
      <c r="M227" s="36">
        <v>-50.0</v>
      </c>
      <c r="N227" s="34"/>
    </row>
    <row r="228">
      <c r="A228" s="29">
        <v>312.0</v>
      </c>
      <c r="B228" s="31" t="s">
        <v>2709</v>
      </c>
      <c r="C228" s="32" t="s">
        <v>151</v>
      </c>
      <c r="D228" s="29" t="s">
        <v>151</v>
      </c>
      <c r="E228" s="38" t="s">
        <v>151</v>
      </c>
      <c r="F228" s="34"/>
      <c r="G228" s="32">
        <v>267.0</v>
      </c>
      <c r="H228" s="29" t="s">
        <v>2598</v>
      </c>
      <c r="I228" s="36">
        <v>-45.0</v>
      </c>
      <c r="J228" s="34"/>
      <c r="K228" s="32">
        <v>267.0</v>
      </c>
      <c r="L228" s="29" t="s">
        <v>2713</v>
      </c>
      <c r="M228" s="36">
        <v>-45.0</v>
      </c>
      <c r="N228" s="34"/>
    </row>
    <row r="229">
      <c r="A229" s="29">
        <v>318.0</v>
      </c>
      <c r="B229" s="31" t="s">
        <v>2714</v>
      </c>
      <c r="C229" s="32" t="s">
        <v>151</v>
      </c>
      <c r="D229" s="29" t="s">
        <v>151</v>
      </c>
      <c r="E229" s="38" t="s">
        <v>151</v>
      </c>
      <c r="F229" s="34"/>
      <c r="G229" s="32">
        <v>176.0</v>
      </c>
      <c r="H229" s="29" t="s">
        <v>1371</v>
      </c>
      <c r="I229" s="38" t="s">
        <v>151</v>
      </c>
      <c r="J229" s="34"/>
      <c r="K229" s="32">
        <v>128.0</v>
      </c>
      <c r="L229" s="29" t="s">
        <v>1041</v>
      </c>
      <c r="M229" s="38" t="s">
        <v>151</v>
      </c>
      <c r="N229" s="34"/>
    </row>
    <row r="230">
      <c r="A230" s="29">
        <v>319.0</v>
      </c>
      <c r="B230" s="31" t="s">
        <v>2720</v>
      </c>
      <c r="C230" s="32" t="s">
        <v>151</v>
      </c>
      <c r="D230" s="29" t="s">
        <v>151</v>
      </c>
      <c r="E230" s="38" t="s">
        <v>151</v>
      </c>
      <c r="F230" s="34"/>
      <c r="G230" s="32">
        <v>223.0</v>
      </c>
      <c r="H230" s="29" t="s">
        <v>1745</v>
      </c>
      <c r="I230" s="36">
        <v>-96.0</v>
      </c>
      <c r="J230" s="34"/>
      <c r="K230" s="32">
        <v>214.0</v>
      </c>
      <c r="L230" s="29" t="s">
        <v>1863</v>
      </c>
      <c r="M230" s="38" t="s">
        <v>151</v>
      </c>
      <c r="N230" s="34"/>
    </row>
    <row r="231">
      <c r="A231" s="29">
        <v>321.0</v>
      </c>
      <c r="B231" s="31" t="s">
        <v>2728</v>
      </c>
      <c r="C231" s="32">
        <v>189.0</v>
      </c>
      <c r="D231" s="29" t="s">
        <v>1076</v>
      </c>
      <c r="E231" s="38" t="s">
        <v>151</v>
      </c>
      <c r="F231" s="34"/>
      <c r="G231" s="32">
        <v>193.0</v>
      </c>
      <c r="H231" s="29" t="s">
        <v>1615</v>
      </c>
      <c r="I231" s="38" t="s">
        <v>151</v>
      </c>
      <c r="J231" s="34"/>
      <c r="K231" s="32">
        <v>175.0</v>
      </c>
      <c r="L231" s="29" t="s">
        <v>1737</v>
      </c>
      <c r="M231" s="38" t="s">
        <v>151</v>
      </c>
      <c r="N231" s="34"/>
    </row>
    <row r="232">
      <c r="A232" s="29">
        <v>322.0</v>
      </c>
      <c r="B232" s="31" t="s">
        <v>2736</v>
      </c>
      <c r="C232" s="32" t="s">
        <v>151</v>
      </c>
      <c r="D232" s="29" t="s">
        <v>151</v>
      </c>
      <c r="E232" s="38" t="s">
        <v>151</v>
      </c>
      <c r="F232" s="34"/>
      <c r="G232" s="32">
        <v>284.0</v>
      </c>
      <c r="H232" s="29" t="s">
        <v>2674</v>
      </c>
      <c r="I232" s="36">
        <v>-38.0</v>
      </c>
      <c r="J232" s="34"/>
      <c r="K232" s="32">
        <v>274.0</v>
      </c>
      <c r="L232" s="29" t="s">
        <v>2475</v>
      </c>
      <c r="M232" s="36">
        <v>-48.0</v>
      </c>
      <c r="N232" s="34"/>
    </row>
    <row r="233">
      <c r="A233" s="29">
        <v>324.0</v>
      </c>
      <c r="B233" s="31" t="s">
        <v>2745</v>
      </c>
      <c r="C233" s="32" t="s">
        <v>151</v>
      </c>
      <c r="D233" s="29" t="s">
        <v>151</v>
      </c>
      <c r="E233" s="38" t="s">
        <v>151</v>
      </c>
      <c r="F233" s="34"/>
      <c r="G233" s="32">
        <v>297.0</v>
      </c>
      <c r="H233" s="29" t="s">
        <v>2751</v>
      </c>
      <c r="I233" s="36">
        <v>-27.0</v>
      </c>
      <c r="J233" s="34"/>
      <c r="K233" s="32">
        <v>296.0</v>
      </c>
      <c r="L233" s="29" t="s">
        <v>2555</v>
      </c>
      <c r="M233" s="36">
        <v>-28.0</v>
      </c>
      <c r="N233" s="34"/>
    </row>
    <row r="234">
      <c r="A234" s="29">
        <v>326.0</v>
      </c>
      <c r="B234" s="31" t="s">
        <v>2752</v>
      </c>
      <c r="C234" s="32">
        <v>191.0</v>
      </c>
      <c r="D234" s="29" t="s">
        <v>1295</v>
      </c>
      <c r="E234" s="38" t="s">
        <v>151</v>
      </c>
      <c r="F234" s="34"/>
      <c r="G234" s="32" t="s">
        <v>151</v>
      </c>
      <c r="H234" s="29" t="s">
        <v>151</v>
      </c>
      <c r="I234" s="38" t="s">
        <v>151</v>
      </c>
      <c r="J234" s="34"/>
      <c r="K234" s="32" t="s">
        <v>151</v>
      </c>
      <c r="L234" s="29" t="s">
        <v>151</v>
      </c>
      <c r="M234" s="38" t="s">
        <v>151</v>
      </c>
      <c r="N234" s="34"/>
    </row>
    <row r="235">
      <c r="A235" s="29">
        <v>328.0</v>
      </c>
      <c r="B235" s="31" t="s">
        <v>2760</v>
      </c>
      <c r="C235" s="32" t="s">
        <v>151</v>
      </c>
      <c r="D235" s="29" t="s">
        <v>151</v>
      </c>
      <c r="E235" s="38" t="s">
        <v>151</v>
      </c>
      <c r="F235" s="34"/>
      <c r="G235" s="32" t="s">
        <v>151</v>
      </c>
      <c r="H235" s="29" t="s">
        <v>151</v>
      </c>
      <c r="I235" s="38" t="s">
        <v>151</v>
      </c>
      <c r="J235" s="34"/>
      <c r="K235" s="32">
        <v>281.0</v>
      </c>
      <c r="L235" s="29" t="s">
        <v>2370</v>
      </c>
      <c r="M235" s="36">
        <v>-47.0</v>
      </c>
      <c r="N235" s="34"/>
    </row>
    <row r="236">
      <c r="A236" s="29">
        <v>329.0</v>
      </c>
      <c r="B236" s="31" t="s">
        <v>2767</v>
      </c>
      <c r="C236" s="32" t="s">
        <v>151</v>
      </c>
      <c r="D236" s="29" t="s">
        <v>151</v>
      </c>
      <c r="E236" s="38" t="s">
        <v>151</v>
      </c>
      <c r="F236" s="34"/>
      <c r="G236" s="32" t="s">
        <v>151</v>
      </c>
      <c r="H236" s="29" t="s">
        <v>151</v>
      </c>
      <c r="I236" s="38" t="s">
        <v>151</v>
      </c>
      <c r="J236" s="34"/>
      <c r="K236" s="32">
        <v>298.0</v>
      </c>
      <c r="L236" s="29" t="s">
        <v>2751</v>
      </c>
      <c r="M236" s="36">
        <v>-31.0</v>
      </c>
      <c r="N236" s="34"/>
    </row>
    <row r="237">
      <c r="A237" s="29">
        <v>330.0</v>
      </c>
      <c r="B237" s="31" t="s">
        <v>2773</v>
      </c>
      <c r="C237" s="32" t="s">
        <v>151</v>
      </c>
      <c r="D237" s="29" t="s">
        <v>151</v>
      </c>
      <c r="E237" s="38" t="s">
        <v>151</v>
      </c>
      <c r="F237" s="34"/>
      <c r="G237" s="32">
        <v>252.0</v>
      </c>
      <c r="H237" s="29" t="s">
        <v>2083</v>
      </c>
      <c r="I237" s="36">
        <v>-78.0</v>
      </c>
      <c r="J237" s="34"/>
      <c r="K237" s="32">
        <v>239.0</v>
      </c>
      <c r="L237" s="29" t="s">
        <v>1736</v>
      </c>
      <c r="M237" s="36">
        <v>-91.0</v>
      </c>
      <c r="N237" s="34"/>
    </row>
    <row r="238">
      <c r="A238" s="29">
        <v>334.0</v>
      </c>
      <c r="B238" s="31" t="s">
        <v>2777</v>
      </c>
      <c r="C238" s="32" t="s">
        <v>151</v>
      </c>
      <c r="D238" s="29" t="s">
        <v>151</v>
      </c>
      <c r="E238" s="38" t="s">
        <v>151</v>
      </c>
      <c r="F238" s="34"/>
      <c r="G238" s="32">
        <v>266.0</v>
      </c>
      <c r="H238" s="29" t="s">
        <v>1900</v>
      </c>
      <c r="I238" s="36">
        <v>-68.0</v>
      </c>
      <c r="J238" s="34"/>
      <c r="K238" s="32">
        <v>209.0</v>
      </c>
      <c r="L238" s="29" t="s">
        <v>1745</v>
      </c>
      <c r="M238" s="38" t="s">
        <v>151</v>
      </c>
      <c r="N238" s="34"/>
    </row>
    <row r="239">
      <c r="A239" s="29">
        <v>337.0</v>
      </c>
      <c r="B239" s="31" t="s">
        <v>2783</v>
      </c>
      <c r="C239" s="32">
        <v>205.0</v>
      </c>
      <c r="D239" s="29" t="s">
        <v>2713</v>
      </c>
      <c r="E239" s="38" t="s">
        <v>151</v>
      </c>
      <c r="F239" s="34"/>
      <c r="G239" s="32" t="s">
        <v>151</v>
      </c>
      <c r="H239" s="29" t="s">
        <v>151</v>
      </c>
      <c r="I239" s="38" t="s">
        <v>151</v>
      </c>
      <c r="J239" s="34"/>
      <c r="K239" s="32">
        <v>286.0</v>
      </c>
      <c r="L239" s="29" t="s">
        <v>2791</v>
      </c>
      <c r="M239" s="36">
        <v>-51.0</v>
      </c>
      <c r="N239" s="34"/>
    </row>
    <row r="240">
      <c r="A240" s="29">
        <v>338.0</v>
      </c>
      <c r="B240" s="31" t="s">
        <v>2792</v>
      </c>
      <c r="C240" s="32" t="s">
        <v>151</v>
      </c>
      <c r="D240" s="29" t="s">
        <v>151</v>
      </c>
      <c r="E240" s="38" t="s">
        <v>151</v>
      </c>
      <c r="F240" s="34"/>
      <c r="G240" s="32">
        <v>298.0</v>
      </c>
      <c r="H240" s="29" t="s">
        <v>2791</v>
      </c>
      <c r="I240" s="36">
        <v>-40.0</v>
      </c>
      <c r="J240" s="34"/>
      <c r="K240" s="32">
        <v>292.0</v>
      </c>
      <c r="L240" s="29" t="s">
        <v>2798</v>
      </c>
      <c r="M240" s="36">
        <v>-46.0</v>
      </c>
      <c r="N240" s="34"/>
    </row>
    <row r="241">
      <c r="A241" s="29">
        <v>341.0</v>
      </c>
      <c r="B241" s="31" t="s">
        <v>2800</v>
      </c>
      <c r="C241" s="32">
        <v>134.0</v>
      </c>
      <c r="D241" s="29" t="s">
        <v>976</v>
      </c>
      <c r="E241" s="38" t="s">
        <v>151</v>
      </c>
      <c r="F241" s="34"/>
      <c r="G241" s="32" t="s">
        <v>151</v>
      </c>
      <c r="H241" s="29" t="s">
        <v>151</v>
      </c>
      <c r="I241" s="38" t="s">
        <v>151</v>
      </c>
      <c r="J241" s="34"/>
      <c r="K241" s="32" t="s">
        <v>151</v>
      </c>
      <c r="L241" s="29" t="s">
        <v>151</v>
      </c>
      <c r="M241" s="38" t="s">
        <v>151</v>
      </c>
      <c r="N241" s="34"/>
    </row>
    <row r="242">
      <c r="A242" s="29">
        <v>344.0</v>
      </c>
      <c r="B242" s="31" t="s">
        <v>2806</v>
      </c>
      <c r="C242" s="32">
        <v>182.0</v>
      </c>
      <c r="D242" s="29" t="s">
        <v>1281</v>
      </c>
      <c r="E242" s="38" t="s">
        <v>151</v>
      </c>
      <c r="F242" s="34"/>
      <c r="G242" s="32">
        <v>207.0</v>
      </c>
      <c r="H242" s="29" t="s">
        <v>1693</v>
      </c>
      <c r="I242" s="38" t="s">
        <v>151</v>
      </c>
      <c r="J242" s="34"/>
      <c r="K242" s="32">
        <v>198.0</v>
      </c>
      <c r="L242" s="29" t="s">
        <v>1599</v>
      </c>
      <c r="M242" s="38" t="s">
        <v>151</v>
      </c>
      <c r="N242" s="34"/>
    </row>
    <row r="243">
      <c r="A243" s="29">
        <v>346.0</v>
      </c>
      <c r="B243" s="31" t="s">
        <v>2812</v>
      </c>
      <c r="C243" s="32" t="s">
        <v>151</v>
      </c>
      <c r="D243" s="29" t="s">
        <v>151</v>
      </c>
      <c r="E243" s="38" t="s">
        <v>151</v>
      </c>
      <c r="F243" s="34"/>
      <c r="G243" s="32">
        <v>175.0</v>
      </c>
      <c r="H243" s="29" t="s">
        <v>1485</v>
      </c>
      <c r="I243" s="38" t="s">
        <v>151</v>
      </c>
      <c r="J243" s="34"/>
      <c r="K243" s="32">
        <v>182.0</v>
      </c>
      <c r="L243" s="29" t="s">
        <v>1774</v>
      </c>
      <c r="M243" s="38" t="s">
        <v>151</v>
      </c>
      <c r="N243" s="34"/>
    </row>
    <row r="244">
      <c r="A244" s="29">
        <v>348.0</v>
      </c>
      <c r="B244" s="31" t="s">
        <v>2817</v>
      </c>
      <c r="C244" s="32">
        <v>201.0</v>
      </c>
      <c r="D244" s="29" t="s">
        <v>1419</v>
      </c>
      <c r="E244" s="38" t="s">
        <v>151</v>
      </c>
      <c r="F244" s="34"/>
      <c r="G244" s="32">
        <v>230.0</v>
      </c>
      <c r="H244" s="29" t="s">
        <v>1858</v>
      </c>
      <c r="I244" s="38" t="s">
        <v>151</v>
      </c>
      <c r="J244" s="34"/>
      <c r="K244" s="32">
        <v>264.0</v>
      </c>
      <c r="L244" s="29" t="s">
        <v>2125</v>
      </c>
      <c r="M244" s="36">
        <v>-84.0</v>
      </c>
      <c r="N244" s="34"/>
    </row>
    <row r="245">
      <c r="A245" s="29">
        <v>352.0</v>
      </c>
      <c r="B245" s="31" t="s">
        <v>2825</v>
      </c>
      <c r="C245" s="32" t="s">
        <v>151</v>
      </c>
      <c r="D245" s="29" t="s">
        <v>151</v>
      </c>
      <c r="E245" s="38" t="s">
        <v>151</v>
      </c>
      <c r="F245" s="34"/>
      <c r="G245" s="32">
        <v>292.0</v>
      </c>
      <c r="H245" s="29" t="s">
        <v>2487</v>
      </c>
      <c r="I245" s="36">
        <v>-60.0</v>
      </c>
      <c r="J245" s="34"/>
      <c r="K245" s="32" t="s">
        <v>151</v>
      </c>
      <c r="L245" s="29" t="s">
        <v>151</v>
      </c>
      <c r="M245" s="38" t="s">
        <v>151</v>
      </c>
      <c r="N245" s="34"/>
    </row>
    <row r="246">
      <c r="A246" s="29">
        <v>354.0</v>
      </c>
      <c r="B246" s="31" t="s">
        <v>2831</v>
      </c>
      <c r="C246" s="32">
        <v>224.0</v>
      </c>
      <c r="D246" s="29" t="s">
        <v>1655</v>
      </c>
      <c r="E246" s="38" t="s">
        <v>151</v>
      </c>
      <c r="F246" s="34"/>
      <c r="G246" s="32">
        <v>224.0</v>
      </c>
      <c r="H246" s="29" t="s">
        <v>1727</v>
      </c>
      <c r="I246" s="38" t="s">
        <v>151</v>
      </c>
      <c r="J246" s="34"/>
      <c r="K246" s="32">
        <v>219.0</v>
      </c>
      <c r="L246" s="29" t="s">
        <v>1498</v>
      </c>
      <c r="M246" s="38" t="s">
        <v>151</v>
      </c>
      <c r="N246" s="34"/>
    </row>
    <row r="247">
      <c r="A247" s="29">
        <v>356.0</v>
      </c>
      <c r="B247" s="31" t="s">
        <v>2835</v>
      </c>
      <c r="C247" s="32" t="s">
        <v>151</v>
      </c>
      <c r="D247" s="29" t="s">
        <v>151</v>
      </c>
      <c r="E247" s="38" t="s">
        <v>151</v>
      </c>
      <c r="F247" s="34"/>
      <c r="G247" s="32" t="s">
        <v>151</v>
      </c>
      <c r="H247" s="29" t="s">
        <v>151</v>
      </c>
      <c r="I247" s="38" t="s">
        <v>151</v>
      </c>
      <c r="J247" s="34"/>
      <c r="K247" s="32">
        <v>283.0</v>
      </c>
      <c r="L247" s="29" t="s">
        <v>2841</v>
      </c>
      <c r="M247" s="36">
        <v>-73.0</v>
      </c>
      <c r="N247" s="34"/>
    </row>
    <row r="248">
      <c r="A248" s="29">
        <v>358.0</v>
      </c>
      <c r="B248" s="31" t="s">
        <v>2844</v>
      </c>
      <c r="C248" s="32" t="s">
        <v>151</v>
      </c>
      <c r="D248" s="29" t="s">
        <v>151</v>
      </c>
      <c r="E248" s="38" t="s">
        <v>151</v>
      </c>
      <c r="F248" s="34"/>
      <c r="G248" s="32">
        <v>218.0</v>
      </c>
      <c r="H248" s="29" t="s">
        <v>1672</v>
      </c>
      <c r="I248" s="38" t="s">
        <v>151</v>
      </c>
      <c r="J248" s="34"/>
      <c r="K248" s="32">
        <v>252.0</v>
      </c>
      <c r="L248" s="29" t="s">
        <v>1933</v>
      </c>
      <c r="M248" s="38" t="s">
        <v>151</v>
      </c>
      <c r="N248" s="34"/>
    </row>
    <row r="249">
      <c r="A249" s="29">
        <v>359.0</v>
      </c>
      <c r="B249" s="31" t="s">
        <v>2848</v>
      </c>
      <c r="C249" s="32" t="s">
        <v>151</v>
      </c>
      <c r="D249" s="29" t="s">
        <v>151</v>
      </c>
      <c r="E249" s="38" t="s">
        <v>151</v>
      </c>
      <c r="F249" s="34"/>
      <c r="G249" s="32">
        <v>217.0</v>
      </c>
      <c r="H249" s="29" t="s">
        <v>1665</v>
      </c>
      <c r="I249" s="38" t="s">
        <v>151</v>
      </c>
      <c r="J249" s="34"/>
      <c r="K249" s="32">
        <v>232.0</v>
      </c>
      <c r="L249" s="29" t="s">
        <v>1672</v>
      </c>
      <c r="M249" s="38" t="s">
        <v>151</v>
      </c>
      <c r="N249" s="34"/>
    </row>
    <row r="250">
      <c r="A250" s="29">
        <v>361.0</v>
      </c>
      <c r="B250" s="31" t="s">
        <v>2854</v>
      </c>
      <c r="C250" s="32" t="s">
        <v>151</v>
      </c>
      <c r="D250" s="29" t="s">
        <v>151</v>
      </c>
      <c r="E250" s="38" t="s">
        <v>151</v>
      </c>
      <c r="F250" s="34"/>
      <c r="G250" s="32">
        <v>268.0</v>
      </c>
      <c r="H250" s="29" t="s">
        <v>1929</v>
      </c>
      <c r="I250" s="36">
        <v>-93.0</v>
      </c>
      <c r="J250" s="34"/>
      <c r="K250" s="32">
        <v>225.0</v>
      </c>
      <c r="L250" s="29" t="s">
        <v>1929</v>
      </c>
      <c r="M250" s="38" t="s">
        <v>151</v>
      </c>
      <c r="N250" s="34"/>
    </row>
    <row r="251">
      <c r="A251" s="29">
        <v>364.0</v>
      </c>
      <c r="B251" s="31" t="s">
        <v>2862</v>
      </c>
      <c r="C251" s="32" t="s">
        <v>151</v>
      </c>
      <c r="D251" s="29" t="s">
        <v>151</v>
      </c>
      <c r="E251" s="38" t="s">
        <v>151</v>
      </c>
      <c r="F251" s="34"/>
      <c r="G251" s="32" t="s">
        <v>151</v>
      </c>
      <c r="H251" s="29" t="s">
        <v>151</v>
      </c>
      <c r="I251" s="38" t="s">
        <v>151</v>
      </c>
      <c r="J251" s="34"/>
      <c r="K251" s="32">
        <v>295.0</v>
      </c>
      <c r="L251" s="29" t="s">
        <v>2868</v>
      </c>
      <c r="M251" s="36">
        <v>-69.0</v>
      </c>
      <c r="N251" s="34"/>
    </row>
    <row r="252">
      <c r="A252" s="29">
        <v>365.0</v>
      </c>
      <c r="B252" s="31" t="s">
        <v>2869</v>
      </c>
      <c r="C252" s="32" t="s">
        <v>151</v>
      </c>
      <c r="D252" s="29" t="s">
        <v>151</v>
      </c>
      <c r="E252" s="38" t="s">
        <v>151</v>
      </c>
      <c r="F252" s="34"/>
      <c r="G252" s="32">
        <v>216.0</v>
      </c>
      <c r="H252" s="29" t="s">
        <v>1728</v>
      </c>
      <c r="I252" s="38" t="s">
        <v>151</v>
      </c>
      <c r="J252" s="34"/>
      <c r="K252" s="32">
        <v>217.0</v>
      </c>
      <c r="L252" s="29" t="s">
        <v>1900</v>
      </c>
      <c r="M252" s="38" t="s">
        <v>151</v>
      </c>
      <c r="N252" s="34"/>
    </row>
    <row r="253">
      <c r="A253" s="29">
        <v>366.0</v>
      </c>
      <c r="B253" s="31" t="s">
        <v>2875</v>
      </c>
      <c r="C253" s="32">
        <v>202.0</v>
      </c>
      <c r="D253" s="29" t="s">
        <v>2593</v>
      </c>
      <c r="E253" s="38" t="s">
        <v>151</v>
      </c>
      <c r="F253" s="34"/>
      <c r="G253" s="32">
        <v>255.0</v>
      </c>
      <c r="H253" s="29" t="s">
        <v>2646</v>
      </c>
      <c r="I253" s="38" t="s">
        <v>151</v>
      </c>
      <c r="J253" s="34"/>
      <c r="K253" s="32">
        <v>256.0</v>
      </c>
      <c r="L253" s="29" t="s">
        <v>2646</v>
      </c>
      <c r="M253" s="38" t="s">
        <v>151</v>
      </c>
      <c r="N253" s="34"/>
    </row>
    <row r="254">
      <c r="A254" s="29">
        <v>367.0</v>
      </c>
      <c r="B254" s="31" t="s">
        <v>2881</v>
      </c>
      <c r="C254" s="32" t="s">
        <v>151</v>
      </c>
      <c r="D254" s="29" t="s">
        <v>151</v>
      </c>
      <c r="E254" s="38" t="s">
        <v>151</v>
      </c>
      <c r="F254" s="34"/>
      <c r="G254" s="32" t="s">
        <v>151</v>
      </c>
      <c r="H254" s="29" t="s">
        <v>151</v>
      </c>
      <c r="I254" s="38" t="s">
        <v>151</v>
      </c>
      <c r="J254" s="34"/>
      <c r="K254" s="32">
        <v>294.0</v>
      </c>
      <c r="L254" s="29" t="s">
        <v>2885</v>
      </c>
      <c r="M254" s="36">
        <v>-73.0</v>
      </c>
      <c r="N254" s="34"/>
    </row>
    <row r="255">
      <c r="A255" s="29">
        <v>369.0</v>
      </c>
      <c r="B255" s="31" t="s">
        <v>2887</v>
      </c>
      <c r="C255" s="32">
        <v>178.0</v>
      </c>
      <c r="D255" s="29" t="s">
        <v>1220</v>
      </c>
      <c r="E255" s="38" t="s">
        <v>151</v>
      </c>
      <c r="F255" s="34"/>
      <c r="G255" s="32" t="s">
        <v>151</v>
      </c>
      <c r="H255" s="29" t="s">
        <v>151</v>
      </c>
      <c r="I255" s="38" t="s">
        <v>151</v>
      </c>
      <c r="J255" s="34"/>
      <c r="K255" s="32" t="s">
        <v>151</v>
      </c>
      <c r="L255" s="29" t="s">
        <v>151</v>
      </c>
      <c r="M255" s="38" t="s">
        <v>151</v>
      </c>
      <c r="N255" s="34"/>
    </row>
    <row r="256">
      <c r="A256" s="29">
        <v>371.0</v>
      </c>
      <c r="B256" s="31" t="s">
        <v>2894</v>
      </c>
      <c r="C256" s="32" t="s">
        <v>151</v>
      </c>
      <c r="D256" s="29" t="s">
        <v>151</v>
      </c>
      <c r="E256" s="38" t="s">
        <v>151</v>
      </c>
      <c r="F256" s="34"/>
      <c r="G256" s="32">
        <v>227.0</v>
      </c>
      <c r="H256" s="29" t="s">
        <v>1736</v>
      </c>
      <c r="I256" s="38" t="s">
        <v>151</v>
      </c>
      <c r="J256" s="34"/>
      <c r="K256" s="32">
        <v>212.0</v>
      </c>
      <c r="L256" s="29" t="s">
        <v>1454</v>
      </c>
      <c r="M256" s="38" t="s">
        <v>151</v>
      </c>
      <c r="N256" s="34"/>
    </row>
    <row r="257">
      <c r="A257" s="29">
        <v>375.0</v>
      </c>
      <c r="B257" s="31" t="s">
        <v>2899</v>
      </c>
      <c r="C257" s="32" t="s">
        <v>151</v>
      </c>
      <c r="D257" s="29" t="s">
        <v>151</v>
      </c>
      <c r="E257" s="38" t="s">
        <v>151</v>
      </c>
      <c r="F257" s="34"/>
      <c r="G257" s="32">
        <v>194.0</v>
      </c>
      <c r="H257" s="29" t="s">
        <v>1447</v>
      </c>
      <c r="I257" s="38" t="s">
        <v>151</v>
      </c>
      <c r="J257" s="34"/>
      <c r="K257" s="32">
        <v>194.0</v>
      </c>
      <c r="L257" s="29" t="s">
        <v>1337</v>
      </c>
      <c r="M257" s="38" t="s">
        <v>151</v>
      </c>
      <c r="N257" s="34"/>
    </row>
    <row r="258">
      <c r="A258" s="29">
        <v>378.0</v>
      </c>
      <c r="B258" s="31" t="s">
        <v>2907</v>
      </c>
      <c r="C258" s="32">
        <v>229.0</v>
      </c>
      <c r="D258" s="29" t="s">
        <v>1442</v>
      </c>
      <c r="E258" s="38" t="s">
        <v>151</v>
      </c>
      <c r="F258" s="34"/>
      <c r="G258" s="32">
        <v>181.0</v>
      </c>
      <c r="H258" s="29" t="s">
        <v>1539</v>
      </c>
      <c r="I258" s="38" t="s">
        <v>151</v>
      </c>
      <c r="J258" s="34"/>
      <c r="K258" s="32">
        <v>158.0</v>
      </c>
      <c r="L258" s="29" t="s">
        <v>1442</v>
      </c>
      <c r="M258" s="38" t="s">
        <v>151</v>
      </c>
      <c r="N258" s="34"/>
    </row>
    <row r="259">
      <c r="A259" s="29">
        <v>381.0</v>
      </c>
      <c r="B259" s="31" t="s">
        <v>2914</v>
      </c>
      <c r="C259" s="32">
        <v>215.0</v>
      </c>
      <c r="D259" s="29" t="s">
        <v>1184</v>
      </c>
      <c r="E259" s="38" t="s">
        <v>151</v>
      </c>
      <c r="F259" s="34"/>
      <c r="G259" s="32">
        <v>281.0</v>
      </c>
      <c r="H259" s="29" t="s">
        <v>2258</v>
      </c>
      <c r="I259" s="36">
        <v>-100.0</v>
      </c>
      <c r="J259" s="34"/>
      <c r="K259" s="32" t="s">
        <v>151</v>
      </c>
      <c r="L259" s="29" t="s">
        <v>151</v>
      </c>
      <c r="M259" s="38" t="s">
        <v>151</v>
      </c>
      <c r="N259" s="34"/>
    </row>
    <row r="260">
      <c r="A260" s="29">
        <v>383.0</v>
      </c>
      <c r="B260" s="31" t="s">
        <v>2919</v>
      </c>
      <c r="C260" s="32" t="s">
        <v>151</v>
      </c>
      <c r="D260" s="29" t="s">
        <v>151</v>
      </c>
      <c r="E260" s="38" t="s">
        <v>151</v>
      </c>
      <c r="F260" s="34"/>
      <c r="G260" s="32">
        <v>253.0</v>
      </c>
      <c r="H260" s="29" t="s">
        <v>2112</v>
      </c>
      <c r="I260" s="38" t="s">
        <v>151</v>
      </c>
      <c r="J260" s="34"/>
      <c r="K260" s="32" t="s">
        <v>151</v>
      </c>
      <c r="L260" s="29" t="s">
        <v>151</v>
      </c>
      <c r="M260" s="38" t="s">
        <v>151</v>
      </c>
      <c r="N260" s="34"/>
    </row>
    <row r="261">
      <c r="A261" s="29">
        <v>384.0</v>
      </c>
      <c r="B261" s="31" t="s">
        <v>2926</v>
      </c>
      <c r="C261" s="32" t="s">
        <v>151</v>
      </c>
      <c r="D261" s="29" t="s">
        <v>151</v>
      </c>
      <c r="E261" s="38" t="s">
        <v>151</v>
      </c>
      <c r="F261" s="34"/>
      <c r="G261" s="32">
        <v>274.0</v>
      </c>
      <c r="H261" s="29" t="s">
        <v>1976</v>
      </c>
      <c r="I261" s="38" t="s">
        <v>151</v>
      </c>
      <c r="J261" s="34"/>
      <c r="K261" s="32">
        <v>228.0</v>
      </c>
      <c r="L261" s="29" t="s">
        <v>1937</v>
      </c>
      <c r="M261" s="38" t="s">
        <v>151</v>
      </c>
      <c r="N261" s="34"/>
    </row>
    <row r="262">
      <c r="A262" s="29">
        <v>388.0</v>
      </c>
      <c r="B262" s="31" t="s">
        <v>2933</v>
      </c>
      <c r="C262" s="32">
        <v>183.0</v>
      </c>
      <c r="D262" s="29" t="s">
        <v>1681</v>
      </c>
      <c r="E262" s="38" t="s">
        <v>151</v>
      </c>
      <c r="F262" s="34"/>
      <c r="G262" s="32">
        <v>277.0</v>
      </c>
      <c r="H262" s="29" t="s">
        <v>2202</v>
      </c>
      <c r="I262" s="38" t="s">
        <v>151</v>
      </c>
      <c r="J262" s="34"/>
      <c r="K262" s="32">
        <v>265.0</v>
      </c>
      <c r="L262" s="29" t="s">
        <v>2202</v>
      </c>
      <c r="M262" s="38" t="s">
        <v>151</v>
      </c>
      <c r="N262" s="34"/>
    </row>
    <row r="263">
      <c r="A263" s="29">
        <v>391.0</v>
      </c>
      <c r="B263" s="31" t="s">
        <v>2942</v>
      </c>
      <c r="C263" s="32" t="s">
        <v>151</v>
      </c>
      <c r="D263" s="29" t="s">
        <v>151</v>
      </c>
      <c r="E263" s="38" t="s">
        <v>151</v>
      </c>
      <c r="F263" s="34"/>
      <c r="G263" s="32">
        <v>296.0</v>
      </c>
      <c r="H263" s="29" t="s">
        <v>2555</v>
      </c>
      <c r="I263" s="36">
        <v>-95.0</v>
      </c>
      <c r="J263" s="34"/>
      <c r="K263" s="32" t="s">
        <v>151</v>
      </c>
      <c r="L263" s="29" t="s">
        <v>151</v>
      </c>
      <c r="M263" s="38" t="s">
        <v>151</v>
      </c>
      <c r="N263" s="34"/>
    </row>
    <row r="264">
      <c r="A264" s="29">
        <v>393.0</v>
      </c>
      <c r="B264" s="31" t="s">
        <v>2947</v>
      </c>
      <c r="C264" s="32" t="s">
        <v>151</v>
      </c>
      <c r="D264" s="29" t="s">
        <v>151</v>
      </c>
      <c r="E264" s="38" t="s">
        <v>151</v>
      </c>
      <c r="F264" s="34"/>
      <c r="G264" s="32">
        <v>278.0</v>
      </c>
      <c r="H264" s="29" t="s">
        <v>1995</v>
      </c>
      <c r="I264" s="38" t="s">
        <v>151</v>
      </c>
      <c r="J264" s="34"/>
      <c r="K264" s="32">
        <v>213.0</v>
      </c>
      <c r="L264" s="29" t="s">
        <v>1820</v>
      </c>
      <c r="M264" s="38" t="s">
        <v>151</v>
      </c>
      <c r="N264" s="34"/>
    </row>
    <row r="265">
      <c r="A265" s="29">
        <v>394.0</v>
      </c>
      <c r="B265" s="31" t="s">
        <v>2954</v>
      </c>
      <c r="C265" s="32" t="s">
        <v>151</v>
      </c>
      <c r="D265" s="29" t="s">
        <v>151</v>
      </c>
      <c r="E265" s="38" t="s">
        <v>151</v>
      </c>
      <c r="F265" s="34"/>
      <c r="G265" s="32">
        <v>232.0</v>
      </c>
      <c r="H265" s="29" t="s">
        <v>1895</v>
      </c>
      <c r="I265" s="38" t="s">
        <v>151</v>
      </c>
      <c r="J265" s="34"/>
      <c r="K265" s="32">
        <v>246.0</v>
      </c>
      <c r="L265" s="29" t="s">
        <v>1858</v>
      </c>
      <c r="M265" s="38" t="s">
        <v>151</v>
      </c>
      <c r="N265" s="34"/>
    </row>
    <row r="266">
      <c r="A266" s="29">
        <v>396.0</v>
      </c>
      <c r="B266" s="31" t="s">
        <v>2962</v>
      </c>
      <c r="C266" s="32">
        <v>210.0</v>
      </c>
      <c r="D266" s="29" t="s">
        <v>1469</v>
      </c>
      <c r="E266" s="38" t="s">
        <v>151</v>
      </c>
      <c r="F266" s="34"/>
      <c r="G266" s="32" t="s">
        <v>151</v>
      </c>
      <c r="H266" s="29" t="s">
        <v>151</v>
      </c>
      <c r="I266" s="38" t="s">
        <v>151</v>
      </c>
      <c r="J266" s="34"/>
      <c r="K266" s="32" t="s">
        <v>151</v>
      </c>
      <c r="L266" s="29" t="s">
        <v>151</v>
      </c>
      <c r="M266" s="38" t="s">
        <v>151</v>
      </c>
      <c r="N266" s="34"/>
    </row>
    <row r="267">
      <c r="A267" s="29">
        <v>398.0</v>
      </c>
      <c r="B267" s="31" t="s">
        <v>2969</v>
      </c>
      <c r="C267" s="32" t="s">
        <v>151</v>
      </c>
      <c r="D267" s="29" t="s">
        <v>151</v>
      </c>
      <c r="E267" s="38" t="s">
        <v>151</v>
      </c>
      <c r="F267" s="34"/>
      <c r="G267" s="32">
        <v>196.0</v>
      </c>
      <c r="H267" s="29" t="s">
        <v>1454</v>
      </c>
      <c r="I267" s="38" t="s">
        <v>151</v>
      </c>
      <c r="J267" s="34"/>
      <c r="K267" s="32">
        <v>172.0</v>
      </c>
      <c r="L267" s="29" t="s">
        <v>1256</v>
      </c>
      <c r="M267" s="38" t="s">
        <v>151</v>
      </c>
      <c r="N267" s="34"/>
    </row>
    <row r="268">
      <c r="A268" s="29">
        <v>401.0</v>
      </c>
      <c r="B268" s="31" t="s">
        <v>2976</v>
      </c>
      <c r="C268" s="32" t="s">
        <v>151</v>
      </c>
      <c r="D268" s="29" t="s">
        <v>151</v>
      </c>
      <c r="E268" s="38" t="s">
        <v>151</v>
      </c>
      <c r="F268" s="34"/>
      <c r="G268" s="32">
        <v>260.0</v>
      </c>
      <c r="H268" s="29" t="s">
        <v>2154</v>
      </c>
      <c r="I268" s="38" t="s">
        <v>151</v>
      </c>
      <c r="J268" s="34"/>
      <c r="K268" s="32">
        <v>263.0</v>
      </c>
      <c r="L268" s="29" t="s">
        <v>2112</v>
      </c>
      <c r="M268" s="38" t="s">
        <v>151</v>
      </c>
      <c r="N268" s="34"/>
    </row>
    <row r="269">
      <c r="A269" s="29">
        <v>402.0</v>
      </c>
      <c r="B269" s="31" t="s">
        <v>2985</v>
      </c>
      <c r="C269" s="32" t="s">
        <v>151</v>
      </c>
      <c r="D269" s="29" t="s">
        <v>151</v>
      </c>
      <c r="E269" s="38" t="s">
        <v>151</v>
      </c>
      <c r="F269" s="34"/>
      <c r="G269" s="32">
        <v>205.0</v>
      </c>
      <c r="H269" s="29" t="s">
        <v>1614</v>
      </c>
      <c r="I269" s="38" t="s">
        <v>151</v>
      </c>
      <c r="J269" s="34"/>
      <c r="K269" s="32">
        <v>230.0</v>
      </c>
      <c r="L269" s="29" t="s">
        <v>1655</v>
      </c>
      <c r="M269" s="38" t="s">
        <v>151</v>
      </c>
      <c r="N269" s="34"/>
    </row>
    <row r="270">
      <c r="A270" s="29">
        <v>403.0</v>
      </c>
      <c r="B270" s="31" t="s">
        <v>2992</v>
      </c>
      <c r="C270" s="32">
        <v>174.0</v>
      </c>
      <c r="D270" s="29" t="s">
        <v>1189</v>
      </c>
      <c r="E270" s="38" t="s">
        <v>151</v>
      </c>
      <c r="F270" s="34"/>
      <c r="G270" s="32" t="s">
        <v>151</v>
      </c>
      <c r="H270" s="29" t="s">
        <v>151</v>
      </c>
      <c r="I270" s="38" t="s">
        <v>151</v>
      </c>
      <c r="J270" s="34"/>
      <c r="K270" s="32" t="s">
        <v>151</v>
      </c>
      <c r="L270" s="29" t="s">
        <v>151</v>
      </c>
      <c r="M270" s="38" t="s">
        <v>151</v>
      </c>
      <c r="N270" s="34"/>
    </row>
    <row r="271">
      <c r="A271" s="29">
        <v>404.0</v>
      </c>
      <c r="B271" s="31" t="s">
        <v>2999</v>
      </c>
      <c r="C271" s="32">
        <v>190.0</v>
      </c>
      <c r="D271" s="29" t="s">
        <v>1871</v>
      </c>
      <c r="E271" s="38" t="s">
        <v>151</v>
      </c>
      <c r="F271" s="34"/>
      <c r="G271" s="32">
        <v>280.0</v>
      </c>
      <c r="H271" s="29" t="s">
        <v>2370</v>
      </c>
      <c r="I271" s="38" t="s">
        <v>151</v>
      </c>
      <c r="J271" s="34"/>
      <c r="K271" s="32">
        <v>290.0</v>
      </c>
      <c r="L271" s="29" t="s">
        <v>2285</v>
      </c>
      <c r="M271" s="38" t="s">
        <v>151</v>
      </c>
      <c r="N271" s="34"/>
    </row>
    <row r="272">
      <c r="A272" s="29">
        <v>406.0</v>
      </c>
      <c r="B272" s="31" t="s">
        <v>3006</v>
      </c>
      <c r="C272" s="32">
        <v>144.0</v>
      </c>
      <c r="D272" s="29" t="s">
        <v>2261</v>
      </c>
      <c r="E272" s="38" t="s">
        <v>151</v>
      </c>
      <c r="F272" s="34"/>
      <c r="G272" s="32">
        <v>257.0</v>
      </c>
      <c r="H272" s="29" t="s">
        <v>2713</v>
      </c>
      <c r="I272" s="38" t="s">
        <v>151</v>
      </c>
      <c r="J272" s="34"/>
      <c r="K272" s="32">
        <v>276.0</v>
      </c>
      <c r="L272" s="29" t="s">
        <v>3012</v>
      </c>
      <c r="M272" s="38" t="s">
        <v>151</v>
      </c>
      <c r="N272" s="34"/>
    </row>
    <row r="273">
      <c r="A273" s="29">
        <v>407.0</v>
      </c>
      <c r="B273" s="31" t="s">
        <v>3015</v>
      </c>
      <c r="C273" s="32" t="s">
        <v>151</v>
      </c>
      <c r="D273" s="29" t="s">
        <v>151</v>
      </c>
      <c r="E273" s="38" t="s">
        <v>151</v>
      </c>
      <c r="F273" s="34"/>
      <c r="G273" s="32" t="s">
        <v>151</v>
      </c>
      <c r="H273" s="29" t="s">
        <v>151</v>
      </c>
      <c r="I273" s="38" t="s">
        <v>151</v>
      </c>
      <c r="J273" s="34"/>
      <c r="K273" s="32">
        <v>293.0</v>
      </c>
      <c r="L273" s="29" t="s">
        <v>3020</v>
      </c>
      <c r="M273" s="38" t="s">
        <v>151</v>
      </c>
      <c r="N273" s="34"/>
    </row>
    <row r="274">
      <c r="A274" s="29">
        <v>408.0</v>
      </c>
      <c r="B274" s="31" t="s">
        <v>3023</v>
      </c>
      <c r="C274" s="32" t="s">
        <v>151</v>
      </c>
      <c r="D274" s="29" t="s">
        <v>151</v>
      </c>
      <c r="E274" s="38" t="s">
        <v>151</v>
      </c>
      <c r="F274" s="34"/>
      <c r="G274" s="32">
        <v>294.0</v>
      </c>
      <c r="H274" s="29" t="s">
        <v>2841</v>
      </c>
      <c r="I274" s="38" t="s">
        <v>151</v>
      </c>
      <c r="J274" s="34"/>
      <c r="K274" s="32">
        <v>282.0</v>
      </c>
      <c r="L274" s="29" t="s">
        <v>2673</v>
      </c>
      <c r="M274" s="38" t="s">
        <v>151</v>
      </c>
      <c r="N274" s="34"/>
    </row>
    <row r="275">
      <c r="A275" s="29">
        <v>409.0</v>
      </c>
      <c r="B275" s="31" t="s">
        <v>3031</v>
      </c>
      <c r="C275" s="32" t="s">
        <v>151</v>
      </c>
      <c r="D275" s="29" t="s">
        <v>151</v>
      </c>
      <c r="E275" s="38" t="s">
        <v>151</v>
      </c>
      <c r="F275" s="34"/>
      <c r="G275" s="32">
        <v>282.0</v>
      </c>
      <c r="H275" s="29" t="s">
        <v>3012</v>
      </c>
      <c r="I275" s="38" t="s">
        <v>151</v>
      </c>
      <c r="J275" s="34"/>
      <c r="K275" s="32" t="s">
        <v>151</v>
      </c>
      <c r="L275" s="29" t="s">
        <v>151</v>
      </c>
      <c r="M275" s="38" t="s">
        <v>151</v>
      </c>
      <c r="N275" s="34"/>
    </row>
    <row r="276">
      <c r="A276" s="29">
        <v>412.0</v>
      </c>
      <c r="B276" s="31" t="s">
        <v>3039</v>
      </c>
      <c r="C276" s="32" t="s">
        <v>151</v>
      </c>
      <c r="D276" s="29" t="s">
        <v>151</v>
      </c>
      <c r="E276" s="38" t="s">
        <v>151</v>
      </c>
      <c r="F276" s="34"/>
      <c r="G276" s="32">
        <v>180.0</v>
      </c>
      <c r="H276" s="29" t="s">
        <v>1462</v>
      </c>
      <c r="I276" s="38" t="s">
        <v>151</v>
      </c>
      <c r="J276" s="34"/>
      <c r="K276" s="32">
        <v>165.0</v>
      </c>
      <c r="L276" s="29" t="s">
        <v>1295</v>
      </c>
      <c r="M276" s="38" t="s">
        <v>151</v>
      </c>
      <c r="N276" s="34"/>
    </row>
    <row r="277">
      <c r="A277" s="29">
        <v>415.0</v>
      </c>
      <c r="B277" s="31" t="s">
        <v>3046</v>
      </c>
      <c r="C277" s="32" t="s">
        <v>151</v>
      </c>
      <c r="D277" s="29" t="s">
        <v>151</v>
      </c>
      <c r="E277" s="38" t="s">
        <v>151</v>
      </c>
      <c r="F277" s="34"/>
      <c r="G277" s="32">
        <v>210.0</v>
      </c>
      <c r="H277" s="29" t="s">
        <v>1588</v>
      </c>
      <c r="I277" s="38" t="s">
        <v>151</v>
      </c>
      <c r="J277" s="34"/>
      <c r="K277" s="32">
        <v>227.0</v>
      </c>
      <c r="L277" s="29" t="s">
        <v>1588</v>
      </c>
      <c r="M277" s="38" t="s">
        <v>151</v>
      </c>
      <c r="N277" s="34"/>
    </row>
    <row r="278">
      <c r="A278" s="29">
        <v>416.0</v>
      </c>
      <c r="B278" s="31" t="s">
        <v>3053</v>
      </c>
      <c r="C278" s="32" t="s">
        <v>151</v>
      </c>
      <c r="D278" s="29" t="s">
        <v>151</v>
      </c>
      <c r="E278" s="38" t="s">
        <v>151</v>
      </c>
      <c r="F278" s="34"/>
      <c r="G278" s="32">
        <v>263.0</v>
      </c>
      <c r="H278" s="29" t="s">
        <v>2188</v>
      </c>
      <c r="I278" s="38" t="s">
        <v>151</v>
      </c>
      <c r="J278" s="34"/>
      <c r="K278" s="32">
        <v>268.0</v>
      </c>
      <c r="L278" s="29" t="s">
        <v>2154</v>
      </c>
      <c r="M278" s="38" t="s">
        <v>151</v>
      </c>
      <c r="N278" s="34"/>
    </row>
    <row r="279">
      <c r="A279" s="29">
        <v>423.0</v>
      </c>
      <c r="B279" s="31" t="s">
        <v>3061</v>
      </c>
      <c r="C279" s="32" t="s">
        <v>151</v>
      </c>
      <c r="D279" s="29" t="s">
        <v>151</v>
      </c>
      <c r="E279" s="38" t="s">
        <v>151</v>
      </c>
      <c r="F279" s="34"/>
      <c r="G279" s="32">
        <v>201.0</v>
      </c>
      <c r="H279" s="29" t="s">
        <v>1599</v>
      </c>
      <c r="I279" s="38" t="s">
        <v>151</v>
      </c>
      <c r="J279" s="34"/>
      <c r="K279" s="32">
        <v>206.0</v>
      </c>
      <c r="L279" s="29" t="s">
        <v>1707</v>
      </c>
      <c r="M279" s="38" t="s">
        <v>151</v>
      </c>
      <c r="N279" s="34"/>
    </row>
    <row r="280">
      <c r="A280" s="29">
        <v>425.0</v>
      </c>
      <c r="B280" s="31" t="s">
        <v>3069</v>
      </c>
      <c r="C280" s="32" t="s">
        <v>151</v>
      </c>
      <c r="D280" s="29" t="s">
        <v>151</v>
      </c>
      <c r="E280" s="38" t="s">
        <v>151</v>
      </c>
      <c r="F280" s="34"/>
      <c r="G280" s="32" t="s">
        <v>151</v>
      </c>
      <c r="H280" s="29" t="s">
        <v>151</v>
      </c>
      <c r="I280" s="38" t="s">
        <v>151</v>
      </c>
      <c r="J280" s="34"/>
      <c r="K280" s="32">
        <v>297.0</v>
      </c>
      <c r="L280" s="29" t="s">
        <v>3076</v>
      </c>
      <c r="M280" s="38" t="s">
        <v>151</v>
      </c>
      <c r="N280" s="34"/>
    </row>
    <row r="281">
      <c r="A281" s="29">
        <v>427.0</v>
      </c>
      <c r="B281" s="31" t="s">
        <v>3077</v>
      </c>
      <c r="C281" s="32" t="s">
        <v>151</v>
      </c>
      <c r="D281" s="29" t="s">
        <v>151</v>
      </c>
      <c r="E281" s="38" t="s">
        <v>151</v>
      </c>
      <c r="F281" s="34"/>
      <c r="G281" s="32">
        <v>299.0</v>
      </c>
      <c r="H281" s="29" t="s">
        <v>2898</v>
      </c>
      <c r="I281" s="38" t="s">
        <v>151</v>
      </c>
      <c r="J281" s="34"/>
      <c r="K281" s="32" t="s">
        <v>151</v>
      </c>
      <c r="L281" s="29" t="s">
        <v>151</v>
      </c>
      <c r="M281" s="38" t="s">
        <v>151</v>
      </c>
      <c r="N281" s="34"/>
    </row>
    <row r="282">
      <c r="A282" s="29">
        <v>428.0</v>
      </c>
      <c r="B282" s="31" t="s">
        <v>3090</v>
      </c>
      <c r="C282" s="32" t="s">
        <v>151</v>
      </c>
      <c r="D282" s="29" t="s">
        <v>151</v>
      </c>
      <c r="E282" s="38" t="s">
        <v>151</v>
      </c>
      <c r="F282" s="34"/>
      <c r="G282" s="32">
        <v>295.0</v>
      </c>
      <c r="H282" s="29" t="s">
        <v>2388</v>
      </c>
      <c r="I282" s="38" t="s">
        <v>151</v>
      </c>
      <c r="J282" s="34"/>
      <c r="K282" s="32" t="s">
        <v>151</v>
      </c>
      <c r="L282" s="29" t="s">
        <v>151</v>
      </c>
      <c r="M282" s="38" t="s">
        <v>151</v>
      </c>
      <c r="N282" s="34"/>
    </row>
    <row r="283">
      <c r="A283" s="29">
        <v>430.0</v>
      </c>
      <c r="B283" s="31" t="s">
        <v>3096</v>
      </c>
      <c r="C283" s="32" t="s">
        <v>151</v>
      </c>
      <c r="D283" s="29" t="s">
        <v>151</v>
      </c>
      <c r="E283" s="38" t="s">
        <v>151</v>
      </c>
      <c r="F283" s="34"/>
      <c r="G283" s="32">
        <v>163.0</v>
      </c>
      <c r="H283" s="29" t="s">
        <v>1271</v>
      </c>
      <c r="I283" s="38" t="s">
        <v>151</v>
      </c>
      <c r="J283" s="34"/>
      <c r="K283" s="32">
        <v>152.0</v>
      </c>
      <c r="L283" s="29" t="s">
        <v>1271</v>
      </c>
      <c r="M283" s="38" t="s">
        <v>151</v>
      </c>
      <c r="N283" s="34"/>
    </row>
    <row r="284">
      <c r="A284" s="29">
        <v>434.0</v>
      </c>
      <c r="B284" s="31" t="s">
        <v>3102</v>
      </c>
      <c r="C284" s="32" t="s">
        <v>151</v>
      </c>
      <c r="D284" s="29" t="s">
        <v>151</v>
      </c>
      <c r="E284" s="38" t="s">
        <v>151</v>
      </c>
      <c r="F284" s="34"/>
      <c r="G284" s="32">
        <v>287.0</v>
      </c>
      <c r="H284" s="29" t="s">
        <v>2003</v>
      </c>
      <c r="I284" s="38" t="s">
        <v>151</v>
      </c>
      <c r="J284" s="34"/>
      <c r="K284" s="32">
        <v>242.0</v>
      </c>
      <c r="L284" s="29" t="s">
        <v>2003</v>
      </c>
      <c r="M284" s="38" t="s">
        <v>151</v>
      </c>
      <c r="N284" s="34"/>
    </row>
    <row r="285">
      <c r="A285" s="29">
        <v>440.0</v>
      </c>
      <c r="B285" s="31" t="s">
        <v>3110</v>
      </c>
      <c r="C285" s="32" t="s">
        <v>151</v>
      </c>
      <c r="D285" s="29" t="s">
        <v>151</v>
      </c>
      <c r="E285" s="38" t="s">
        <v>151</v>
      </c>
      <c r="F285" s="34"/>
      <c r="G285" s="32">
        <v>259.0</v>
      </c>
      <c r="H285" s="29" t="s">
        <v>2148</v>
      </c>
      <c r="I285" s="38" t="s">
        <v>151</v>
      </c>
      <c r="J285" s="34"/>
      <c r="K285" s="32">
        <v>257.0</v>
      </c>
      <c r="L285" s="29" t="s">
        <v>2031</v>
      </c>
      <c r="M285" s="38" t="s">
        <v>151</v>
      </c>
      <c r="N285" s="34"/>
    </row>
    <row r="286">
      <c r="A286" s="29">
        <v>442.0</v>
      </c>
      <c r="B286" s="31" t="s">
        <v>3118</v>
      </c>
      <c r="C286" s="32" t="s">
        <v>151</v>
      </c>
      <c r="D286" s="29" t="s">
        <v>151</v>
      </c>
      <c r="E286" s="38" t="s">
        <v>151</v>
      </c>
      <c r="F286" s="34"/>
      <c r="G286" s="32">
        <v>244.0</v>
      </c>
      <c r="H286" s="29" t="s">
        <v>1802</v>
      </c>
      <c r="I286" s="38" t="s">
        <v>151</v>
      </c>
      <c r="J286" s="34"/>
      <c r="K286" s="32">
        <v>284.0</v>
      </c>
      <c r="L286" s="29" t="s">
        <v>1850</v>
      </c>
      <c r="M286" s="38" t="s">
        <v>151</v>
      </c>
      <c r="N286" s="34"/>
    </row>
    <row r="287">
      <c r="A287" s="29">
        <v>444.0</v>
      </c>
      <c r="B287" s="31" t="s">
        <v>3125</v>
      </c>
      <c r="C287" s="32" t="s">
        <v>151</v>
      </c>
      <c r="D287" s="29" t="s">
        <v>151</v>
      </c>
      <c r="E287" s="38" t="s">
        <v>151</v>
      </c>
      <c r="F287" s="34"/>
      <c r="G287" s="32">
        <v>283.0</v>
      </c>
      <c r="H287" s="29" t="s">
        <v>1842</v>
      </c>
      <c r="I287" s="38" t="s">
        <v>151</v>
      </c>
      <c r="J287" s="34"/>
      <c r="K287" s="32">
        <v>280.0</v>
      </c>
      <c r="L287" s="29" t="s">
        <v>1842</v>
      </c>
      <c r="M287" s="38" t="s">
        <v>151</v>
      </c>
      <c r="N287" s="34"/>
    </row>
    <row r="288">
      <c r="A288" s="29">
        <v>445.0</v>
      </c>
      <c r="B288" s="31" t="s">
        <v>3133</v>
      </c>
      <c r="C288" s="32" t="s">
        <v>151</v>
      </c>
      <c r="D288" s="29" t="s">
        <v>151</v>
      </c>
      <c r="E288" s="38" t="s">
        <v>151</v>
      </c>
      <c r="F288" s="34"/>
      <c r="G288" s="32" t="s">
        <v>151</v>
      </c>
      <c r="H288" s="29" t="s">
        <v>151</v>
      </c>
      <c r="I288" s="38" t="s">
        <v>151</v>
      </c>
      <c r="J288" s="34"/>
      <c r="K288" s="32">
        <v>285.0</v>
      </c>
      <c r="L288" s="29" t="s">
        <v>2447</v>
      </c>
      <c r="M288" s="38" t="s">
        <v>151</v>
      </c>
      <c r="N288" s="34"/>
    </row>
    <row r="289">
      <c r="A289" s="29">
        <v>448.0</v>
      </c>
      <c r="B289" s="31" t="s">
        <v>3140</v>
      </c>
      <c r="C289" s="32">
        <v>157.0</v>
      </c>
      <c r="D289" s="29" t="s">
        <v>1100</v>
      </c>
      <c r="E289" s="38" t="s">
        <v>151</v>
      </c>
      <c r="F289" s="34"/>
      <c r="G289" s="32">
        <v>214.0</v>
      </c>
      <c r="H289" s="29" t="s">
        <v>1655</v>
      </c>
      <c r="I289" s="38" t="s">
        <v>151</v>
      </c>
      <c r="J289" s="34"/>
      <c r="K289" s="32">
        <v>233.0</v>
      </c>
      <c r="L289" s="29" t="s">
        <v>1706</v>
      </c>
      <c r="M289" s="38" t="s">
        <v>151</v>
      </c>
      <c r="N289" s="34"/>
    </row>
    <row r="290">
      <c r="A290" s="29">
        <v>449.0</v>
      </c>
      <c r="B290" s="31" t="s">
        <v>3147</v>
      </c>
      <c r="C290" s="32">
        <v>223.0</v>
      </c>
      <c r="D290" s="29" t="s">
        <v>1599</v>
      </c>
      <c r="E290" s="38" t="s">
        <v>151</v>
      </c>
      <c r="F290" s="34"/>
      <c r="G290" s="32" t="s">
        <v>151</v>
      </c>
      <c r="H290" s="29" t="s">
        <v>151</v>
      </c>
      <c r="I290" s="38" t="s">
        <v>151</v>
      </c>
      <c r="J290" s="34"/>
      <c r="K290" s="32" t="s">
        <v>151</v>
      </c>
      <c r="L290" s="29" t="s">
        <v>151</v>
      </c>
      <c r="M290" s="38" t="s">
        <v>151</v>
      </c>
      <c r="N290" s="34"/>
    </row>
    <row r="291">
      <c r="A291" s="29">
        <v>454.0</v>
      </c>
      <c r="B291" s="31" t="s">
        <v>3156</v>
      </c>
      <c r="C291" s="32" t="s">
        <v>151</v>
      </c>
      <c r="D291" s="29" t="s">
        <v>151</v>
      </c>
      <c r="E291" s="38" t="s">
        <v>151</v>
      </c>
      <c r="F291" s="34"/>
      <c r="G291" s="32">
        <v>251.0</v>
      </c>
      <c r="H291" s="29" t="s">
        <v>1863</v>
      </c>
      <c r="I291" s="38" t="s">
        <v>151</v>
      </c>
      <c r="J291" s="34"/>
      <c r="K291" s="32">
        <v>208.0</v>
      </c>
      <c r="L291" s="29" t="s">
        <v>1728</v>
      </c>
      <c r="M291" s="38" t="s">
        <v>151</v>
      </c>
      <c r="N291" s="34"/>
    </row>
    <row r="292">
      <c r="A292" s="29">
        <v>460.0</v>
      </c>
      <c r="B292" s="31" t="s">
        <v>3162</v>
      </c>
      <c r="C292" s="32" t="s">
        <v>151</v>
      </c>
      <c r="D292" s="29" t="s">
        <v>151</v>
      </c>
      <c r="E292" s="38" t="s">
        <v>151</v>
      </c>
      <c r="F292" s="34"/>
      <c r="G292" s="32" t="s">
        <v>151</v>
      </c>
      <c r="H292" s="29" t="s">
        <v>151</v>
      </c>
      <c r="I292" s="38" t="s">
        <v>151</v>
      </c>
      <c r="J292" s="34"/>
      <c r="K292" s="32">
        <v>300.0</v>
      </c>
      <c r="L292" s="29" t="s">
        <v>2928</v>
      </c>
      <c r="M292" s="38" t="s">
        <v>151</v>
      </c>
      <c r="N292" s="34"/>
    </row>
    <row r="293">
      <c r="A293" s="29">
        <v>464.0</v>
      </c>
      <c r="B293" s="31" t="s">
        <v>3168</v>
      </c>
      <c r="C293" s="32">
        <v>212.0</v>
      </c>
      <c r="D293" s="29" t="s">
        <v>1498</v>
      </c>
      <c r="E293" s="38" t="s">
        <v>151</v>
      </c>
      <c r="F293" s="34"/>
      <c r="G293" s="32">
        <v>219.0</v>
      </c>
      <c r="H293" s="29" t="s">
        <v>1706</v>
      </c>
      <c r="I293" s="38" t="s">
        <v>151</v>
      </c>
      <c r="J293" s="34"/>
      <c r="K293" s="32">
        <v>211.0</v>
      </c>
      <c r="L293" s="29" t="s">
        <v>1447</v>
      </c>
      <c r="M293" s="38" t="s">
        <v>151</v>
      </c>
      <c r="N293" s="34"/>
    </row>
    <row r="294">
      <c r="A294" s="29">
        <v>466.0</v>
      </c>
      <c r="B294" s="31" t="s">
        <v>3176</v>
      </c>
      <c r="C294" s="32" t="s">
        <v>151</v>
      </c>
      <c r="D294" s="29" t="s">
        <v>151</v>
      </c>
      <c r="E294" s="38" t="s">
        <v>151</v>
      </c>
      <c r="F294" s="34"/>
      <c r="G294" s="32">
        <v>271.0</v>
      </c>
      <c r="H294" s="29" t="s">
        <v>1937</v>
      </c>
      <c r="I294" s="38" t="s">
        <v>151</v>
      </c>
      <c r="J294" s="34"/>
      <c r="K294" s="32">
        <v>238.0</v>
      </c>
      <c r="L294" s="29" t="s">
        <v>1995</v>
      </c>
      <c r="M294" s="38" t="s">
        <v>151</v>
      </c>
      <c r="N294" s="34"/>
    </row>
    <row r="295">
      <c r="A295" s="29">
        <v>478.0</v>
      </c>
      <c r="B295" s="31" t="s">
        <v>3184</v>
      </c>
      <c r="C295" s="32" t="s">
        <v>151</v>
      </c>
      <c r="D295" s="29" t="s">
        <v>151</v>
      </c>
      <c r="E295" s="38" t="s">
        <v>151</v>
      </c>
      <c r="F295" s="34"/>
      <c r="G295" s="32">
        <v>291.0</v>
      </c>
      <c r="H295" s="29" t="s">
        <v>2327</v>
      </c>
      <c r="I295" s="38" t="s">
        <v>151</v>
      </c>
      <c r="J295" s="34"/>
      <c r="K295" s="32" t="s">
        <v>151</v>
      </c>
      <c r="L295" s="29" t="s">
        <v>151</v>
      </c>
      <c r="M295" s="38" t="s">
        <v>151</v>
      </c>
      <c r="N295" s="34"/>
    </row>
    <row r="296">
      <c r="A296" s="29">
        <v>483.0</v>
      </c>
      <c r="B296" s="31" t="s">
        <v>3191</v>
      </c>
      <c r="C296" s="32" t="s">
        <v>151</v>
      </c>
      <c r="D296" s="29" t="s">
        <v>151</v>
      </c>
      <c r="E296" s="38" t="s">
        <v>151</v>
      </c>
      <c r="F296" s="34"/>
      <c r="G296" s="32">
        <v>288.0</v>
      </c>
      <c r="H296" s="29" t="s">
        <v>2320</v>
      </c>
      <c r="I296" s="38" t="s">
        <v>151</v>
      </c>
      <c r="J296" s="34"/>
      <c r="K296" s="32" t="s">
        <v>151</v>
      </c>
      <c r="L296" s="29" t="s">
        <v>151</v>
      </c>
      <c r="M296" s="38" t="s">
        <v>151</v>
      </c>
      <c r="N296" s="34"/>
    </row>
    <row r="297">
      <c r="A297" s="29">
        <v>486.0</v>
      </c>
      <c r="B297" s="31" t="s">
        <v>3199</v>
      </c>
      <c r="C297" s="32" t="s">
        <v>151</v>
      </c>
      <c r="D297" s="29" t="s">
        <v>151</v>
      </c>
      <c r="E297" s="38" t="s">
        <v>151</v>
      </c>
      <c r="F297" s="34"/>
      <c r="G297" s="32">
        <v>261.0</v>
      </c>
      <c r="H297" s="29" t="s">
        <v>2162</v>
      </c>
      <c r="I297" s="38" t="s">
        <v>151</v>
      </c>
      <c r="J297" s="34"/>
      <c r="K297" s="32">
        <v>243.0</v>
      </c>
      <c r="L297" s="29" t="s">
        <v>1771</v>
      </c>
      <c r="M297" s="38" t="s">
        <v>151</v>
      </c>
      <c r="N297" s="34"/>
    </row>
    <row r="298">
      <c r="A298" s="29">
        <v>490.0</v>
      </c>
      <c r="B298" s="31" t="s">
        <v>3207</v>
      </c>
      <c r="C298" s="32" t="s">
        <v>151</v>
      </c>
      <c r="D298" s="29" t="s">
        <v>151</v>
      </c>
      <c r="E298" s="38" t="s">
        <v>151</v>
      </c>
      <c r="F298" s="34"/>
      <c r="G298" s="32">
        <v>250.0</v>
      </c>
      <c r="H298" s="29" t="s">
        <v>2069</v>
      </c>
      <c r="I298" s="38" t="s">
        <v>151</v>
      </c>
      <c r="J298" s="34"/>
      <c r="K298" s="32">
        <v>258.0</v>
      </c>
      <c r="L298" s="29" t="s">
        <v>2061</v>
      </c>
      <c r="M298" s="38" t="s">
        <v>151</v>
      </c>
      <c r="N298" s="34"/>
    </row>
    <row r="299">
      <c r="A299" s="29">
        <v>504.0</v>
      </c>
      <c r="B299" s="31" t="s">
        <v>3216</v>
      </c>
      <c r="C299" s="32" t="s">
        <v>151</v>
      </c>
      <c r="D299" s="29" t="s">
        <v>151</v>
      </c>
      <c r="E299" s="38" t="s">
        <v>151</v>
      </c>
      <c r="F299" s="34"/>
      <c r="G299" s="32">
        <v>183.0</v>
      </c>
      <c r="H299" s="29" t="s">
        <v>1547</v>
      </c>
      <c r="I299" s="38" t="s">
        <v>151</v>
      </c>
      <c r="J299" s="34"/>
      <c r="K299" s="32">
        <v>163.0</v>
      </c>
      <c r="L299" s="29" t="s">
        <v>1539</v>
      </c>
      <c r="M299" s="38" t="s">
        <v>151</v>
      </c>
      <c r="N299" s="34"/>
    </row>
    <row r="300">
      <c r="A300" s="29">
        <v>522.0</v>
      </c>
      <c r="B300" s="31" t="s">
        <v>3221</v>
      </c>
      <c r="C300" s="32">
        <v>175.0</v>
      </c>
      <c r="D300" s="29" t="s">
        <v>1357</v>
      </c>
      <c r="E300" s="38" t="s">
        <v>151</v>
      </c>
      <c r="F300" s="34"/>
      <c r="G300" s="32">
        <v>240.0</v>
      </c>
      <c r="H300" s="29" t="s">
        <v>1924</v>
      </c>
      <c r="I300" s="38" t="s">
        <v>151</v>
      </c>
      <c r="J300" s="34"/>
      <c r="K300" s="32">
        <v>231.0</v>
      </c>
      <c r="L300" s="29" t="s">
        <v>1665</v>
      </c>
      <c r="M300" s="38" t="s">
        <v>151</v>
      </c>
      <c r="N300" s="34"/>
    </row>
    <row r="301">
      <c r="A301" s="29">
        <v>534.0</v>
      </c>
      <c r="B301" s="31" t="s">
        <v>3227</v>
      </c>
      <c r="C301" s="32" t="s">
        <v>151</v>
      </c>
      <c r="D301" s="29" t="s">
        <v>151</v>
      </c>
      <c r="E301" s="38" t="s">
        <v>151</v>
      </c>
      <c r="F301" s="34"/>
      <c r="G301" s="32" t="s">
        <v>151</v>
      </c>
      <c r="H301" s="29" t="s">
        <v>151</v>
      </c>
      <c r="I301" s="38" t="s">
        <v>151</v>
      </c>
      <c r="J301" s="34"/>
      <c r="K301" s="32">
        <v>278.0</v>
      </c>
      <c r="L301" s="29" t="s">
        <v>1835</v>
      </c>
      <c r="M301" s="38" t="s">
        <v>151</v>
      </c>
      <c r="N301" s="34"/>
    </row>
    <row r="302">
      <c r="A302" s="29">
        <v>537.0</v>
      </c>
      <c r="B302" s="31" t="s">
        <v>3233</v>
      </c>
      <c r="C302" s="32" t="s">
        <v>151</v>
      </c>
      <c r="D302" s="29" t="s">
        <v>151</v>
      </c>
      <c r="E302" s="38" t="s">
        <v>151</v>
      </c>
      <c r="F302" s="34"/>
      <c r="G302" s="32">
        <v>264.0</v>
      </c>
      <c r="H302" s="29" t="s">
        <v>2224</v>
      </c>
      <c r="I302" s="38" t="s">
        <v>151</v>
      </c>
      <c r="J302" s="34"/>
      <c r="K302" s="32">
        <v>266.0</v>
      </c>
      <c r="L302" s="29" t="s">
        <v>2148</v>
      </c>
      <c r="M302" s="38" t="s">
        <v>151</v>
      </c>
      <c r="N302" s="34"/>
    </row>
    <row r="303">
      <c r="A303" s="29">
        <v>542.0</v>
      </c>
      <c r="B303" s="31" t="s">
        <v>3239</v>
      </c>
      <c r="C303" s="32" t="s">
        <v>151</v>
      </c>
      <c r="D303" s="29" t="s">
        <v>151</v>
      </c>
      <c r="E303" s="38" t="s">
        <v>151</v>
      </c>
      <c r="F303" s="34"/>
      <c r="G303" s="32">
        <v>236.0</v>
      </c>
      <c r="H303" s="29" t="s">
        <v>1917</v>
      </c>
      <c r="I303" s="38" t="s">
        <v>151</v>
      </c>
      <c r="J303" s="34"/>
      <c r="K303" s="32">
        <v>248.0</v>
      </c>
      <c r="L303" s="29" t="s">
        <v>1917</v>
      </c>
      <c r="M303" s="38" t="s">
        <v>151</v>
      </c>
      <c r="N303" s="34"/>
    </row>
    <row r="304">
      <c r="A304" s="29">
        <v>553.0</v>
      </c>
      <c r="B304" s="31" t="s">
        <v>3246</v>
      </c>
      <c r="C304" s="32">
        <v>213.0</v>
      </c>
      <c r="D304" s="29" t="s">
        <v>1614</v>
      </c>
      <c r="E304" s="38" t="s">
        <v>151</v>
      </c>
      <c r="F304" s="34"/>
      <c r="G304" s="32" t="s">
        <v>151</v>
      </c>
      <c r="H304" s="29" t="s">
        <v>151</v>
      </c>
      <c r="I304" s="38" t="s">
        <v>151</v>
      </c>
      <c r="J304" s="34"/>
      <c r="K304" s="32" t="s">
        <v>151</v>
      </c>
      <c r="L304" s="29" t="s">
        <v>151</v>
      </c>
      <c r="M304" s="38" t="s">
        <v>151</v>
      </c>
      <c r="N304" s="34"/>
    </row>
    <row r="305">
      <c r="A305" s="29">
        <v>554.0</v>
      </c>
      <c r="B305" s="31" t="s">
        <v>3253</v>
      </c>
      <c r="C305" s="32" t="s">
        <v>151</v>
      </c>
      <c r="D305" s="29" t="s">
        <v>151</v>
      </c>
      <c r="E305" s="38" t="s">
        <v>151</v>
      </c>
      <c r="F305" s="34"/>
      <c r="G305" s="32">
        <v>241.0</v>
      </c>
      <c r="H305" s="29" t="s">
        <v>1933</v>
      </c>
      <c r="I305" s="38" t="s">
        <v>151</v>
      </c>
      <c r="J305" s="34"/>
      <c r="K305" s="32">
        <v>254.0</v>
      </c>
      <c r="L305" s="29" t="s">
        <v>1991</v>
      </c>
      <c r="M305" s="38" t="s">
        <v>151</v>
      </c>
      <c r="N305" s="34"/>
    </row>
    <row r="306">
      <c r="A306" s="29">
        <v>569.0</v>
      </c>
      <c r="B306" s="31" t="s">
        <v>3258</v>
      </c>
      <c r="C306" s="32">
        <v>209.0</v>
      </c>
      <c r="D306" s="29" t="s">
        <v>1471</v>
      </c>
      <c r="E306" s="38" t="s">
        <v>151</v>
      </c>
      <c r="F306" s="34"/>
      <c r="G306" s="32">
        <v>169.0</v>
      </c>
      <c r="H306" s="29" t="s">
        <v>1337</v>
      </c>
      <c r="I306" s="38" t="s">
        <v>151</v>
      </c>
      <c r="J306" s="34"/>
      <c r="K306" s="32">
        <v>190.0</v>
      </c>
      <c r="L306" s="29" t="s">
        <v>1322</v>
      </c>
      <c r="M306" s="38" t="s">
        <v>151</v>
      </c>
      <c r="N306" s="34"/>
    </row>
    <row r="307">
      <c r="A307" s="29">
        <v>579.0</v>
      </c>
      <c r="B307" s="31" t="s">
        <v>3265</v>
      </c>
      <c r="C307" s="32" t="s">
        <v>151</v>
      </c>
      <c r="D307" s="29" t="s">
        <v>151</v>
      </c>
      <c r="E307" s="38" t="s">
        <v>151</v>
      </c>
      <c r="F307" s="34"/>
      <c r="G307" s="32">
        <v>247.0</v>
      </c>
      <c r="H307" s="29" t="s">
        <v>2031</v>
      </c>
      <c r="I307" s="38" t="s">
        <v>151</v>
      </c>
      <c r="J307" s="34"/>
      <c r="K307" s="32">
        <v>270.0</v>
      </c>
      <c r="L307" s="29" t="s">
        <v>2188</v>
      </c>
      <c r="M307" s="38" t="s">
        <v>151</v>
      </c>
      <c r="N307" s="34"/>
    </row>
    <row r="308">
      <c r="A308" s="29">
        <v>582.0</v>
      </c>
      <c r="B308" s="31" t="s">
        <v>3270</v>
      </c>
      <c r="C308" s="32" t="s">
        <v>151</v>
      </c>
      <c r="D308" s="29" t="s">
        <v>151</v>
      </c>
      <c r="E308" s="38" t="s">
        <v>151</v>
      </c>
      <c r="F308" s="34"/>
      <c r="G308" s="32">
        <v>272.0</v>
      </c>
      <c r="H308" s="29" t="s">
        <v>2241</v>
      </c>
      <c r="I308" s="38" t="s">
        <v>151</v>
      </c>
      <c r="J308" s="34"/>
      <c r="K308" s="32">
        <v>247.0</v>
      </c>
      <c r="L308" s="29" t="s">
        <v>1895</v>
      </c>
      <c r="M308" s="38" t="s">
        <v>151</v>
      </c>
      <c r="N308" s="34"/>
    </row>
    <row r="309">
      <c r="A309" s="29">
        <v>595.0</v>
      </c>
      <c r="B309" s="31" t="s">
        <v>3276</v>
      </c>
      <c r="C309" s="32" t="s">
        <v>151</v>
      </c>
      <c r="D309" s="29" t="s">
        <v>151</v>
      </c>
      <c r="E309" s="38" t="s">
        <v>151</v>
      </c>
      <c r="F309" s="34"/>
      <c r="G309" s="32">
        <v>202.0</v>
      </c>
      <c r="H309" s="29" t="s">
        <v>1737</v>
      </c>
      <c r="I309" s="38" t="s">
        <v>151</v>
      </c>
      <c r="J309" s="34"/>
      <c r="K309" s="32">
        <v>160.0</v>
      </c>
      <c r="L309" s="29" t="s">
        <v>1485</v>
      </c>
      <c r="M309" s="38" t="s">
        <v>151</v>
      </c>
      <c r="N309" s="34"/>
    </row>
    <row r="310">
      <c r="A310" s="29">
        <v>604.0</v>
      </c>
      <c r="B310" s="31" t="s">
        <v>3283</v>
      </c>
      <c r="C310" s="32" t="s">
        <v>151</v>
      </c>
      <c r="D310" s="29" t="s">
        <v>151</v>
      </c>
      <c r="E310" s="38" t="s">
        <v>151</v>
      </c>
      <c r="F310" s="34"/>
      <c r="G310" s="32">
        <v>234.0</v>
      </c>
      <c r="H310" s="29" t="s">
        <v>1820</v>
      </c>
      <c r="I310" s="38" t="s">
        <v>151</v>
      </c>
      <c r="J310" s="34"/>
      <c r="K310" s="32">
        <v>201.0</v>
      </c>
      <c r="L310" s="29" t="s">
        <v>1606</v>
      </c>
      <c r="M310" s="38" t="s">
        <v>151</v>
      </c>
      <c r="N310" s="34"/>
    </row>
    <row r="311">
      <c r="A311" s="29">
        <v>618.0</v>
      </c>
      <c r="B311" s="31" t="s">
        <v>3289</v>
      </c>
      <c r="C311" s="32">
        <v>233.0</v>
      </c>
      <c r="D311" s="29" t="s">
        <v>1693</v>
      </c>
      <c r="E311" s="38" t="s">
        <v>151</v>
      </c>
      <c r="F311" s="34"/>
      <c r="G311" s="32" t="s">
        <v>151</v>
      </c>
      <c r="H311" s="29" t="s">
        <v>151</v>
      </c>
      <c r="I311" s="38" t="s">
        <v>151</v>
      </c>
      <c r="J311" s="34"/>
      <c r="K311" s="32" t="s">
        <v>151</v>
      </c>
      <c r="L311" s="29" t="s">
        <v>151</v>
      </c>
      <c r="M311" s="38" t="s">
        <v>151</v>
      </c>
      <c r="N311" s="34"/>
    </row>
    <row r="312">
      <c r="A312" s="29">
        <v>712.0</v>
      </c>
      <c r="B312" s="31" t="s">
        <v>3295</v>
      </c>
      <c r="C312" s="32">
        <v>203.0</v>
      </c>
      <c r="D312" s="29" t="s">
        <v>1447</v>
      </c>
      <c r="E312" s="38" t="s">
        <v>151</v>
      </c>
      <c r="F312" s="34"/>
      <c r="G312" s="32">
        <v>243.0</v>
      </c>
      <c r="H312" s="29" t="s">
        <v>1991</v>
      </c>
      <c r="I312" s="38" t="s">
        <v>151</v>
      </c>
      <c r="J312" s="34"/>
      <c r="K312" s="32">
        <v>269.0</v>
      </c>
      <c r="L312" s="29" t="s">
        <v>2162</v>
      </c>
      <c r="M312" s="38" t="s">
        <v>151</v>
      </c>
      <c r="N312" s="34"/>
    </row>
    <row r="313">
      <c r="A313" s="29">
        <v>728.0</v>
      </c>
      <c r="B313" s="31" t="s">
        <v>3301</v>
      </c>
      <c r="C313" s="32" t="s">
        <v>151</v>
      </c>
      <c r="D313" s="29" t="s">
        <v>151</v>
      </c>
      <c r="E313" s="38" t="s">
        <v>151</v>
      </c>
      <c r="F313" s="34"/>
      <c r="G313" s="32">
        <v>265.0</v>
      </c>
      <c r="H313" s="29" t="s">
        <v>1913</v>
      </c>
      <c r="I313" s="38" t="s">
        <v>151</v>
      </c>
      <c r="J313" s="34"/>
      <c r="K313" s="32">
        <v>271.0</v>
      </c>
      <c r="L313" s="29" t="s">
        <v>1913</v>
      </c>
      <c r="M313" s="38" t="s">
        <v>151</v>
      </c>
      <c r="N313" s="34"/>
    </row>
    <row r="314">
      <c r="A314" s="29">
        <v>735.0</v>
      </c>
      <c r="B314" s="31" t="s">
        <v>3308</v>
      </c>
      <c r="C314" s="32" t="s">
        <v>151</v>
      </c>
      <c r="D314" s="29" t="s">
        <v>151</v>
      </c>
      <c r="E314" s="38" t="s">
        <v>151</v>
      </c>
      <c r="F314" s="34"/>
      <c r="G314" s="32">
        <v>208.0</v>
      </c>
      <c r="H314" s="29" t="s">
        <v>1774</v>
      </c>
      <c r="I314" s="38" t="s">
        <v>151</v>
      </c>
      <c r="J314" s="34"/>
      <c r="K314" s="32">
        <v>170.0</v>
      </c>
      <c r="L314" s="29" t="s">
        <v>1615</v>
      </c>
      <c r="M314" s="38" t="s">
        <v>151</v>
      </c>
      <c r="N314" s="34"/>
    </row>
    <row r="315">
      <c r="A315" s="29">
        <v>765.0</v>
      </c>
      <c r="B315" s="31" t="s">
        <v>3314</v>
      </c>
      <c r="C315" s="32">
        <v>234.0</v>
      </c>
      <c r="D315" s="29" t="s">
        <v>1665</v>
      </c>
      <c r="E315" s="38" t="s">
        <v>151</v>
      </c>
      <c r="F315" s="34"/>
      <c r="G315" s="32">
        <v>229.0</v>
      </c>
      <c r="H315" s="29" t="s">
        <v>1845</v>
      </c>
      <c r="I315" s="38" t="s">
        <v>151</v>
      </c>
      <c r="J315" s="34"/>
      <c r="K315" s="32">
        <v>216.0</v>
      </c>
      <c r="L315" s="29" t="s">
        <v>1471</v>
      </c>
      <c r="M315" s="38" t="s">
        <v>151</v>
      </c>
      <c r="N315" s="34"/>
    </row>
    <row r="316">
      <c r="A316" s="29">
        <v>769.0</v>
      </c>
      <c r="B316" s="31" t="s">
        <v>3321</v>
      </c>
      <c r="C316" s="32" t="s">
        <v>151</v>
      </c>
      <c r="D316" s="29" t="s">
        <v>151</v>
      </c>
      <c r="E316" s="38" t="s">
        <v>151</v>
      </c>
      <c r="F316" s="34"/>
      <c r="G316" s="32">
        <v>289.0</v>
      </c>
      <c r="H316" s="29" t="s">
        <v>2296</v>
      </c>
      <c r="I316" s="38" t="s">
        <v>151</v>
      </c>
      <c r="J316" s="34"/>
      <c r="K316" s="32" t="s">
        <v>151</v>
      </c>
      <c r="L316" s="29" t="s">
        <v>151</v>
      </c>
      <c r="M316" s="38" t="s">
        <v>151</v>
      </c>
      <c r="N316" s="34"/>
    </row>
    <row r="317">
      <c r="A317" s="29">
        <v>807.0</v>
      </c>
      <c r="B317" s="31" t="s">
        <v>3327</v>
      </c>
      <c r="C317" s="32" t="s">
        <v>151</v>
      </c>
      <c r="D317" s="29" t="s">
        <v>151</v>
      </c>
      <c r="E317" s="38" t="s">
        <v>151</v>
      </c>
      <c r="F317" s="34"/>
      <c r="G317" s="32">
        <v>300.0</v>
      </c>
      <c r="H317" s="29" t="s">
        <v>2928</v>
      </c>
      <c r="I317" s="38" t="s">
        <v>151</v>
      </c>
      <c r="J317" s="34"/>
      <c r="K317" s="32" t="s">
        <v>151</v>
      </c>
      <c r="L317" s="29" t="s">
        <v>151</v>
      </c>
      <c r="M317" s="38" t="s">
        <v>151</v>
      </c>
      <c r="N317" s="34"/>
    </row>
    <row r="318">
      <c r="A318" s="29">
        <v>830.0</v>
      </c>
      <c r="B318" s="31" t="s">
        <v>3333</v>
      </c>
      <c r="C318" s="32" t="s">
        <v>151</v>
      </c>
      <c r="D318" s="29" t="s">
        <v>151</v>
      </c>
      <c r="E318" s="38" t="s">
        <v>151</v>
      </c>
      <c r="F318" s="34"/>
      <c r="G318" s="32">
        <v>222.0</v>
      </c>
      <c r="H318" s="29" t="s">
        <v>1781</v>
      </c>
      <c r="I318" s="38" t="s">
        <v>151</v>
      </c>
      <c r="J318" s="34"/>
      <c r="K318" s="32">
        <v>221.0</v>
      </c>
      <c r="L318" s="29" t="s">
        <v>1781</v>
      </c>
      <c r="M318" s="38" t="s">
        <v>151</v>
      </c>
      <c r="N318" s="34"/>
    </row>
    <row r="319">
      <c r="A319" s="29">
        <v>840.0</v>
      </c>
      <c r="B319" s="31" t="s">
        <v>3340</v>
      </c>
      <c r="C319" s="32">
        <v>161.0</v>
      </c>
      <c r="D319" s="29" t="s">
        <v>1128</v>
      </c>
      <c r="E319" s="38" t="s">
        <v>151</v>
      </c>
      <c r="F319" s="34"/>
      <c r="G319" s="32" t="s">
        <v>151</v>
      </c>
      <c r="H319" s="29" t="s">
        <v>151</v>
      </c>
      <c r="I319" s="38" t="s">
        <v>151</v>
      </c>
      <c r="J319" s="34"/>
      <c r="K319" s="32" t="s">
        <v>151</v>
      </c>
      <c r="L319" s="29" t="s">
        <v>151</v>
      </c>
      <c r="M319" s="38" t="s">
        <v>151</v>
      </c>
      <c r="N319" s="34"/>
    </row>
    <row r="320">
      <c r="A320" s="29">
        <v>884.0</v>
      </c>
      <c r="B320" s="31" t="s">
        <v>3346</v>
      </c>
      <c r="C320" s="32">
        <v>160.0</v>
      </c>
      <c r="D320" s="29" t="s">
        <v>1121</v>
      </c>
      <c r="E320" s="38" t="s">
        <v>151</v>
      </c>
      <c r="F320" s="34"/>
      <c r="G320" s="32" t="s">
        <v>151</v>
      </c>
      <c r="H320" s="29" t="s">
        <v>151</v>
      </c>
      <c r="I320" s="38" t="s">
        <v>151</v>
      </c>
      <c r="J320" s="34"/>
      <c r="K320" s="32" t="s">
        <v>151</v>
      </c>
      <c r="L320" s="29" t="s">
        <v>151</v>
      </c>
      <c r="M320" s="38" t="s">
        <v>151</v>
      </c>
      <c r="N320" s="34"/>
    </row>
    <row r="321">
      <c r="A321" s="29">
        <v>934.0</v>
      </c>
      <c r="B321" s="31" t="s">
        <v>3352</v>
      </c>
      <c r="C321" s="32" t="s">
        <v>151</v>
      </c>
      <c r="D321" s="29" t="s">
        <v>151</v>
      </c>
      <c r="E321" s="38" t="s">
        <v>151</v>
      </c>
      <c r="F321" s="34"/>
      <c r="G321" s="32">
        <v>276.0</v>
      </c>
      <c r="H321" s="29" t="s">
        <v>1986</v>
      </c>
      <c r="I321" s="38" t="s">
        <v>151</v>
      </c>
      <c r="J321" s="34"/>
      <c r="K321" s="32">
        <v>272.0</v>
      </c>
      <c r="L321" s="29" t="s">
        <v>1986</v>
      </c>
      <c r="M321" s="38" t="s">
        <v>151</v>
      </c>
      <c r="N321" s="34"/>
    </row>
    <row r="322">
      <c r="A322" s="29">
        <v>1270.0</v>
      </c>
      <c r="B322" s="31" t="s">
        <v>3359</v>
      </c>
      <c r="C322" s="32" t="s">
        <v>151</v>
      </c>
      <c r="D322" s="29" t="s">
        <v>151</v>
      </c>
      <c r="E322" s="38" t="s">
        <v>151</v>
      </c>
      <c r="F322" s="34"/>
      <c r="G322" s="32">
        <v>279.0</v>
      </c>
      <c r="H322" s="29" t="s">
        <v>2288</v>
      </c>
      <c r="I322" s="38" t="s">
        <v>151</v>
      </c>
      <c r="J322" s="34"/>
      <c r="K322" s="32" t="s">
        <v>151</v>
      </c>
      <c r="L322" s="29" t="s">
        <v>151</v>
      </c>
      <c r="M322" s="38" t="s">
        <v>151</v>
      </c>
      <c r="N322" s="34"/>
    </row>
    <row r="323">
      <c r="A323" s="29">
        <v>1310.0</v>
      </c>
      <c r="B323" s="31" t="s">
        <v>3365</v>
      </c>
      <c r="C323" s="32">
        <v>179.0</v>
      </c>
      <c r="D323" s="29" t="s">
        <v>1657</v>
      </c>
      <c r="E323" s="38" t="s">
        <v>151</v>
      </c>
      <c r="F323" s="34"/>
      <c r="G323" s="32" t="s">
        <v>151</v>
      </c>
      <c r="H323" s="29" t="s">
        <v>151</v>
      </c>
      <c r="I323" s="38" t="s">
        <v>151</v>
      </c>
      <c r="J323" s="34"/>
      <c r="K323" s="32" t="s">
        <v>151</v>
      </c>
      <c r="L323" s="29" t="s">
        <v>151</v>
      </c>
      <c r="M323" s="38" t="s">
        <v>151</v>
      </c>
      <c r="N323" s="34"/>
    </row>
    <row r="324">
      <c r="A324" s="29">
        <v>1513.0</v>
      </c>
      <c r="B324" s="31" t="s">
        <v>3373</v>
      </c>
      <c r="C324" s="32" t="s">
        <v>151</v>
      </c>
      <c r="D324" s="29" t="s">
        <v>151</v>
      </c>
      <c r="E324" s="38" t="s">
        <v>151</v>
      </c>
      <c r="F324" s="34"/>
      <c r="G324" s="32">
        <v>269.0</v>
      </c>
      <c r="H324" s="29" t="s">
        <v>1835</v>
      </c>
      <c r="I324" s="38" t="s">
        <v>151</v>
      </c>
      <c r="J324" s="34"/>
      <c r="K324" s="32">
        <v>277.0</v>
      </c>
      <c r="L324" s="29" t="s">
        <v>1802</v>
      </c>
      <c r="M324" s="38" t="s">
        <v>151</v>
      </c>
      <c r="N324" s="34"/>
    </row>
    <row r="325">
      <c r="A325" s="29">
        <v>1515.0</v>
      </c>
      <c r="B325" s="31" t="s">
        <v>3379</v>
      </c>
      <c r="C325" s="32" t="s">
        <v>151</v>
      </c>
      <c r="D325" s="29" t="s">
        <v>151</v>
      </c>
      <c r="E325" s="38" t="s">
        <v>151</v>
      </c>
      <c r="F325" s="34"/>
      <c r="G325" s="32" t="s">
        <v>151</v>
      </c>
      <c r="H325" s="29" t="s">
        <v>151</v>
      </c>
      <c r="I325" s="38" t="s">
        <v>151</v>
      </c>
      <c r="J325" s="34"/>
      <c r="K325" s="32">
        <v>289.0</v>
      </c>
      <c r="L325" s="29" t="s">
        <v>1878</v>
      </c>
      <c r="M325" s="38" t="s">
        <v>151</v>
      </c>
      <c r="N325" s="34"/>
    </row>
    <row r="326">
      <c r="A326" s="29">
        <v>1873.0</v>
      </c>
      <c r="B326" s="31" t="s">
        <v>3385</v>
      </c>
      <c r="C326" s="32">
        <v>181.0</v>
      </c>
      <c r="D326" s="29" t="s">
        <v>1666</v>
      </c>
      <c r="E326" s="38" t="s">
        <v>151</v>
      </c>
      <c r="F326" s="34"/>
      <c r="G326" s="32" t="s">
        <v>151</v>
      </c>
      <c r="H326" s="29" t="s">
        <v>151</v>
      </c>
      <c r="I326" s="38" t="s">
        <v>151</v>
      </c>
      <c r="J326" s="34"/>
      <c r="K326" s="32" t="s">
        <v>151</v>
      </c>
      <c r="L326" s="29" t="s">
        <v>151</v>
      </c>
      <c r="M326" s="38" t="s">
        <v>151</v>
      </c>
      <c r="N326" s="34"/>
    </row>
    <row r="327">
      <c r="A327" s="29">
        <v>2018.0</v>
      </c>
      <c r="B327" s="31" t="s">
        <v>3392</v>
      </c>
      <c r="C327" s="32" t="s">
        <v>151</v>
      </c>
      <c r="D327" s="29" t="s">
        <v>151</v>
      </c>
      <c r="E327" s="38" t="s">
        <v>151</v>
      </c>
      <c r="F327" s="34"/>
      <c r="G327" s="32" t="s">
        <v>151</v>
      </c>
      <c r="H327" s="29" t="s">
        <v>151</v>
      </c>
      <c r="I327" s="38" t="s">
        <v>151</v>
      </c>
      <c r="J327" s="34"/>
      <c r="K327" s="32">
        <v>299.0</v>
      </c>
      <c r="L327" s="29" t="s">
        <v>2898</v>
      </c>
      <c r="M327" s="38" t="s">
        <v>151</v>
      </c>
      <c r="N327" s="34"/>
    </row>
    <row r="328">
      <c r="A328" s="29">
        <v>2026.0</v>
      </c>
      <c r="B328" s="31" t="s">
        <v>3398</v>
      </c>
      <c r="C328" s="32" t="s">
        <v>151</v>
      </c>
      <c r="D328" s="29" t="s">
        <v>151</v>
      </c>
      <c r="E328" s="38" t="s">
        <v>151</v>
      </c>
      <c r="F328" s="34"/>
      <c r="G328" s="32">
        <v>286.0</v>
      </c>
      <c r="H328" s="29" t="s">
        <v>2498</v>
      </c>
      <c r="I328" s="38" t="s">
        <v>151</v>
      </c>
      <c r="J328" s="34"/>
      <c r="K328" s="32">
        <v>287.0</v>
      </c>
      <c r="L328" s="29" t="s">
        <v>2498</v>
      </c>
      <c r="M328" s="38" t="s">
        <v>151</v>
      </c>
    </row>
  </sheetData>
  <mergeCells count="3">
    <mergeCell ref="C1:F1"/>
    <mergeCell ref="G1:J1"/>
    <mergeCell ref="K1:N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2"/>
    <hyperlink r:id="rId271" ref="B273"/>
    <hyperlink r:id="rId272" ref="B274"/>
    <hyperlink r:id="rId273" ref="B275"/>
    <hyperlink r:id="rId274" ref="B276"/>
    <hyperlink r:id="rId275" ref="B277"/>
    <hyperlink r:id="rId276" ref="B278"/>
    <hyperlink r:id="rId277" ref="B279"/>
    <hyperlink r:id="rId278" ref="B280"/>
    <hyperlink r:id="rId279" ref="B281"/>
    <hyperlink r:id="rId280" ref="B282"/>
    <hyperlink r:id="rId281" ref="B283"/>
    <hyperlink r:id="rId282" ref="B284"/>
    <hyperlink r:id="rId283" ref="B285"/>
    <hyperlink r:id="rId284" ref="B286"/>
    <hyperlink r:id="rId285" ref="B287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4"/>
    <hyperlink r:id="rId293" ref="B295"/>
    <hyperlink r:id="rId294" ref="B296"/>
    <hyperlink r:id="rId295" ref="B297"/>
    <hyperlink r:id="rId296" ref="B298"/>
    <hyperlink r:id="rId297" ref="B299"/>
    <hyperlink r:id="rId298" ref="B300"/>
    <hyperlink r:id="rId299" ref="B301"/>
    <hyperlink r:id="rId300" ref="B302"/>
    <hyperlink r:id="rId301" ref="B303"/>
    <hyperlink r:id="rId302" ref="B304"/>
    <hyperlink r:id="rId303" ref="B305"/>
    <hyperlink r:id="rId304" ref="B306"/>
    <hyperlink r:id="rId305" ref="B307"/>
    <hyperlink r:id="rId306" ref="B308"/>
    <hyperlink r:id="rId307" ref="B309"/>
    <hyperlink r:id="rId308" ref="B310"/>
    <hyperlink r:id="rId309" ref="B311"/>
    <hyperlink r:id="rId310" ref="B312"/>
    <hyperlink r:id="rId311" ref="B313"/>
    <hyperlink r:id="rId312" ref="B314"/>
    <hyperlink r:id="rId313" ref="B315"/>
    <hyperlink r:id="rId314" ref="B316"/>
    <hyperlink r:id="rId315" ref="B317"/>
    <hyperlink r:id="rId316" ref="B318"/>
    <hyperlink r:id="rId317" ref="B319"/>
    <hyperlink r:id="rId318" ref="B320"/>
    <hyperlink r:id="rId319" ref="B321"/>
    <hyperlink r:id="rId320" ref="B322"/>
    <hyperlink r:id="rId321" ref="B323"/>
    <hyperlink r:id="rId322" ref="B324"/>
    <hyperlink r:id="rId323" ref="B325"/>
    <hyperlink r:id="rId324" ref="B326"/>
    <hyperlink r:id="rId325" ref="B327"/>
    <hyperlink r:id="rId326" ref="B328"/>
  </hyperlinks>
  <drawing r:id="rId32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0</v>
      </c>
      <c r="B1" s="39" t="s">
        <v>87</v>
      </c>
      <c r="C1" s="40" t="s">
        <v>92</v>
      </c>
      <c r="D1" s="40" t="s">
        <v>2584</v>
      </c>
      <c r="E1" s="40" t="s">
        <v>2586</v>
      </c>
      <c r="F1" s="40" t="s">
        <v>2587</v>
      </c>
    </row>
    <row r="2">
      <c r="A2" s="41">
        <v>1.0</v>
      </c>
      <c r="B2" s="42" t="s">
        <v>2592</v>
      </c>
      <c r="C2" s="43" t="s">
        <v>1739</v>
      </c>
      <c r="D2" s="43">
        <v>1.17</v>
      </c>
      <c r="E2" s="44">
        <v>46024.0</v>
      </c>
      <c r="F2" s="43">
        <v>100.0</v>
      </c>
    </row>
    <row r="3">
      <c r="A3" s="41">
        <v>2.0</v>
      </c>
      <c r="B3" s="42" t="s">
        <v>2603</v>
      </c>
      <c r="C3" s="43" t="s">
        <v>1739</v>
      </c>
      <c r="D3" s="43">
        <v>2.5</v>
      </c>
      <c r="E3" s="44">
        <v>46058.0</v>
      </c>
      <c r="F3" s="43">
        <v>100.0</v>
      </c>
    </row>
    <row r="4">
      <c r="A4" s="41">
        <v>3.0</v>
      </c>
      <c r="B4" s="42" t="s">
        <v>2608</v>
      </c>
      <c r="C4" s="43" t="s">
        <v>1739</v>
      </c>
      <c r="D4" s="43">
        <v>3.0</v>
      </c>
      <c r="E4" s="44">
        <v>46027.0</v>
      </c>
      <c r="F4" s="43">
        <v>100.0</v>
      </c>
    </row>
    <row r="5">
      <c r="A5" s="41">
        <v>4.0</v>
      </c>
      <c r="B5" s="42" t="s">
        <v>2611</v>
      </c>
      <c r="C5" s="43" t="s">
        <v>1739</v>
      </c>
      <c r="D5" s="43">
        <v>5.67</v>
      </c>
      <c r="E5" s="44">
        <v>46121.0</v>
      </c>
      <c r="F5" s="43">
        <v>100.0</v>
      </c>
    </row>
    <row r="6">
      <c r="A6" s="41">
        <v>5.0</v>
      </c>
      <c r="B6" s="42" t="s">
        <v>2614</v>
      </c>
      <c r="C6" s="43">
        <v>3.0</v>
      </c>
      <c r="D6" s="43">
        <v>7.0</v>
      </c>
      <c r="E6" s="44">
        <v>46093.0</v>
      </c>
      <c r="F6" s="43">
        <v>100.0</v>
      </c>
    </row>
    <row r="7">
      <c r="A7" s="41">
        <v>6.0</v>
      </c>
      <c r="B7" s="42" t="s">
        <v>2619</v>
      </c>
      <c r="C7" s="43">
        <v>1.0</v>
      </c>
      <c r="D7" s="43">
        <v>8.17</v>
      </c>
      <c r="E7" s="44">
        <v>46157.0</v>
      </c>
      <c r="F7" s="43">
        <v>100.0</v>
      </c>
    </row>
    <row r="8">
      <c r="A8" s="41">
        <v>7.0</v>
      </c>
      <c r="B8" s="42" t="s">
        <v>2623</v>
      </c>
      <c r="C8" s="43">
        <v>2.0</v>
      </c>
      <c r="D8" s="43">
        <v>9.33</v>
      </c>
      <c r="E8" s="44">
        <v>46128.0</v>
      </c>
      <c r="F8" s="43">
        <v>100.0</v>
      </c>
    </row>
    <row r="9">
      <c r="A9" s="41">
        <v>8.0</v>
      </c>
      <c r="B9" s="42" t="s">
        <v>2626</v>
      </c>
      <c r="C9" s="43">
        <v>2.0</v>
      </c>
      <c r="D9" s="43">
        <v>9.67</v>
      </c>
      <c r="E9" s="44">
        <v>46129.0</v>
      </c>
      <c r="F9" s="43">
        <v>100.0</v>
      </c>
    </row>
    <row r="10">
      <c r="A10" s="41">
        <v>9.0</v>
      </c>
      <c r="B10" s="42" t="s">
        <v>2630</v>
      </c>
      <c r="C10" s="43">
        <v>-3.0</v>
      </c>
      <c r="D10" s="43">
        <v>11.0</v>
      </c>
      <c r="E10" s="44">
        <v>46192.0</v>
      </c>
      <c r="F10" s="43">
        <v>100.0</v>
      </c>
    </row>
    <row r="11">
      <c r="A11" s="41">
        <v>10.0</v>
      </c>
      <c r="B11" s="42" t="s">
        <v>2634</v>
      </c>
      <c r="C11" s="43">
        <v>3.0</v>
      </c>
      <c r="D11" s="43">
        <v>11.33</v>
      </c>
      <c r="E11" s="44">
        <v>46187.0</v>
      </c>
      <c r="F11" s="43">
        <v>100.0</v>
      </c>
    </row>
    <row r="12">
      <c r="A12" s="41">
        <v>11.0</v>
      </c>
      <c r="B12" s="42" t="s">
        <v>2637</v>
      </c>
      <c r="C12" s="43">
        <v>6.0</v>
      </c>
      <c r="D12" s="43">
        <v>12.33</v>
      </c>
      <c r="E12" s="44">
        <v>46251.0</v>
      </c>
      <c r="F12" s="43">
        <v>100.0</v>
      </c>
    </row>
    <row r="13">
      <c r="A13" s="41">
        <v>12.0</v>
      </c>
      <c r="B13" s="42" t="s">
        <v>2640</v>
      </c>
      <c r="C13" s="43">
        <v>-7.0</v>
      </c>
      <c r="D13" s="43">
        <v>12.5</v>
      </c>
      <c r="E13" s="44">
        <v>46137.0</v>
      </c>
      <c r="F13" s="43">
        <v>100.0</v>
      </c>
    </row>
    <row r="14">
      <c r="A14" s="41">
        <v>13.0</v>
      </c>
      <c r="B14" s="42" t="s">
        <v>2643</v>
      </c>
      <c r="C14" s="43">
        <v>2.0</v>
      </c>
      <c r="D14" s="43">
        <v>13.33</v>
      </c>
      <c r="E14" s="44">
        <v>46313.0</v>
      </c>
      <c r="F14" s="43">
        <v>100.0</v>
      </c>
    </row>
    <row r="15">
      <c r="A15" s="41">
        <v>14.0</v>
      </c>
      <c r="B15" s="42" t="s">
        <v>2647</v>
      </c>
      <c r="C15" s="43" t="s">
        <v>1739</v>
      </c>
      <c r="D15" s="43">
        <v>14.0</v>
      </c>
      <c r="E15" s="44">
        <v>46311.0</v>
      </c>
      <c r="F15" s="43">
        <v>100.0</v>
      </c>
    </row>
    <row r="16">
      <c r="A16" s="41">
        <v>15.0</v>
      </c>
      <c r="B16" s="42" t="s">
        <v>2651</v>
      </c>
      <c r="C16" s="43">
        <v>-4.0</v>
      </c>
      <c r="D16" s="43">
        <v>18.0</v>
      </c>
      <c r="E16" s="44">
        <v>46352.0</v>
      </c>
      <c r="F16" s="43">
        <v>100.0</v>
      </c>
    </row>
    <row r="17">
      <c r="A17" s="41">
        <v>16.0</v>
      </c>
      <c r="B17" s="42" t="s">
        <v>2654</v>
      </c>
      <c r="C17" s="43" t="s">
        <v>1739</v>
      </c>
      <c r="D17" s="43">
        <v>18.5</v>
      </c>
      <c r="E17" s="43" t="s">
        <v>2657</v>
      </c>
      <c r="F17" s="43">
        <v>100.0</v>
      </c>
    </row>
    <row r="18">
      <c r="A18" s="41">
        <v>17.0</v>
      </c>
      <c r="B18" s="42" t="s">
        <v>2658</v>
      </c>
      <c r="C18" s="43">
        <v>-5.0</v>
      </c>
      <c r="D18" s="43">
        <v>19.5</v>
      </c>
      <c r="E18" s="43" t="s">
        <v>2661</v>
      </c>
      <c r="F18" s="43">
        <v>100.0</v>
      </c>
    </row>
    <row r="19">
      <c r="A19" s="41">
        <v>18.0</v>
      </c>
      <c r="B19" s="42" t="s">
        <v>2662</v>
      </c>
      <c r="C19" s="43">
        <v>2.0</v>
      </c>
      <c r="D19" s="43">
        <v>20.5</v>
      </c>
      <c r="E19" s="43" t="s">
        <v>2666</v>
      </c>
      <c r="F19" s="43">
        <v>100.0</v>
      </c>
    </row>
    <row r="20">
      <c r="A20" s="41">
        <v>19.0</v>
      </c>
      <c r="B20" s="42" t="s">
        <v>2667</v>
      </c>
      <c r="C20" s="43">
        <v>3.0</v>
      </c>
      <c r="D20" s="43">
        <v>22.17</v>
      </c>
      <c r="E20" s="43" t="s">
        <v>2671</v>
      </c>
      <c r="F20" s="43">
        <v>100.0</v>
      </c>
    </row>
    <row r="21">
      <c r="A21" s="41">
        <v>20.0</v>
      </c>
      <c r="B21" s="42" t="s">
        <v>2672</v>
      </c>
      <c r="C21" s="43">
        <v>5.0</v>
      </c>
      <c r="D21" s="43">
        <v>23.33</v>
      </c>
      <c r="E21" s="43" t="s">
        <v>2677</v>
      </c>
      <c r="F21" s="43">
        <v>100.0</v>
      </c>
    </row>
    <row r="22">
      <c r="A22" s="41">
        <v>21.0</v>
      </c>
      <c r="B22" s="42" t="s">
        <v>2679</v>
      </c>
      <c r="C22" s="43">
        <v>-2.0</v>
      </c>
      <c r="D22" s="43">
        <v>25.17</v>
      </c>
      <c r="E22" s="43" t="s">
        <v>2681</v>
      </c>
      <c r="F22" s="43">
        <v>100.0</v>
      </c>
    </row>
    <row r="23">
      <c r="A23" s="41">
        <v>22.0</v>
      </c>
      <c r="B23" s="42" t="s">
        <v>2683</v>
      </c>
      <c r="C23" s="43">
        <v>4.0</v>
      </c>
      <c r="D23" s="43">
        <v>25.33</v>
      </c>
      <c r="E23" s="43" t="s">
        <v>2685</v>
      </c>
      <c r="F23" s="43">
        <v>100.0</v>
      </c>
    </row>
    <row r="24">
      <c r="A24" s="41">
        <v>23.0</v>
      </c>
      <c r="B24" s="42" t="s">
        <v>2686</v>
      </c>
      <c r="C24" s="43">
        <v>11.0</v>
      </c>
      <c r="D24" s="43">
        <v>26.17</v>
      </c>
      <c r="E24" s="43" t="s">
        <v>2690</v>
      </c>
      <c r="F24" s="43">
        <v>100.0</v>
      </c>
    </row>
    <row r="25">
      <c r="A25" s="41">
        <v>24.0</v>
      </c>
      <c r="B25" s="42" t="s">
        <v>2691</v>
      </c>
      <c r="C25" s="43">
        <v>-1.0</v>
      </c>
      <c r="D25" s="43">
        <v>26.83</v>
      </c>
      <c r="E25" s="43" t="s">
        <v>2695</v>
      </c>
      <c r="F25" s="43">
        <v>100.0</v>
      </c>
    </row>
    <row r="26">
      <c r="A26" s="41">
        <v>25.0</v>
      </c>
      <c r="B26" s="42" t="s">
        <v>2696</v>
      </c>
      <c r="C26" s="43">
        <v>12.0</v>
      </c>
      <c r="D26" s="43">
        <v>30.83</v>
      </c>
      <c r="E26" s="43" t="s">
        <v>2698</v>
      </c>
      <c r="F26" s="43">
        <v>100.0</v>
      </c>
    </row>
    <row r="27">
      <c r="A27" s="41">
        <v>26.0</v>
      </c>
      <c r="B27" s="42" t="s">
        <v>2699</v>
      </c>
      <c r="C27" s="43">
        <v>-8.0</v>
      </c>
      <c r="D27" s="43">
        <v>31.5</v>
      </c>
      <c r="E27" s="43" t="s">
        <v>2702</v>
      </c>
      <c r="F27" s="43">
        <v>100.0</v>
      </c>
    </row>
    <row r="28">
      <c r="A28" s="41">
        <v>27.0</v>
      </c>
      <c r="B28" s="42" t="s">
        <v>2703</v>
      </c>
      <c r="C28" s="43">
        <v>5.0</v>
      </c>
      <c r="D28" s="43">
        <v>32.0</v>
      </c>
      <c r="E28" s="43" t="s">
        <v>2705</v>
      </c>
      <c r="F28" s="43">
        <v>100.0</v>
      </c>
    </row>
    <row r="29">
      <c r="A29" s="41">
        <v>28.0</v>
      </c>
      <c r="B29" s="42" t="s">
        <v>2707</v>
      </c>
      <c r="C29" s="43">
        <v>1.0</v>
      </c>
      <c r="D29" s="43">
        <v>33.0</v>
      </c>
      <c r="E29" s="43" t="s">
        <v>2710</v>
      </c>
      <c r="F29" s="43">
        <v>100.0</v>
      </c>
    </row>
    <row r="30">
      <c r="A30" s="41">
        <v>29.0</v>
      </c>
      <c r="B30" s="42" t="s">
        <v>2711</v>
      </c>
      <c r="C30" s="43">
        <v>-8.0</v>
      </c>
      <c r="D30" s="43">
        <v>33.5</v>
      </c>
      <c r="E30" s="43" t="s">
        <v>2715</v>
      </c>
      <c r="F30" s="43">
        <v>100.0</v>
      </c>
    </row>
    <row r="31">
      <c r="A31" s="41">
        <v>30.0</v>
      </c>
      <c r="B31" s="42" t="s">
        <v>2716</v>
      </c>
      <c r="C31" s="43">
        <v>1.0</v>
      </c>
      <c r="D31" s="43">
        <v>33.83</v>
      </c>
      <c r="E31" s="43" t="s">
        <v>2719</v>
      </c>
      <c r="F31" s="43">
        <v>100.0</v>
      </c>
    </row>
    <row r="32">
      <c r="A32" s="41">
        <v>31.0</v>
      </c>
      <c r="B32" s="42" t="s">
        <v>2721</v>
      </c>
      <c r="C32" s="43">
        <v>9.0</v>
      </c>
      <c r="D32" s="43">
        <v>34.17</v>
      </c>
      <c r="E32" s="43" t="s">
        <v>2724</v>
      </c>
      <c r="F32" s="43">
        <v>100.0</v>
      </c>
    </row>
    <row r="33">
      <c r="A33" s="41">
        <v>32.0</v>
      </c>
      <c r="B33" s="42" t="s">
        <v>2725</v>
      </c>
      <c r="C33" s="43">
        <v>4.0</v>
      </c>
      <c r="D33" s="43">
        <v>34.67</v>
      </c>
      <c r="E33" s="43" t="s">
        <v>2729</v>
      </c>
      <c r="F33" s="43">
        <v>100.0</v>
      </c>
    </row>
    <row r="34">
      <c r="A34" s="41">
        <v>33.0</v>
      </c>
      <c r="B34" s="42" t="s">
        <v>2730</v>
      </c>
      <c r="C34" s="43" t="s">
        <v>1739</v>
      </c>
      <c r="D34" s="43">
        <v>34.83</v>
      </c>
      <c r="E34" s="43" t="s">
        <v>2733</v>
      </c>
      <c r="F34" s="43">
        <v>100.0</v>
      </c>
    </row>
    <row r="35">
      <c r="A35" s="41">
        <v>34.0</v>
      </c>
      <c r="B35" s="42" t="s">
        <v>2734</v>
      </c>
      <c r="C35" s="43">
        <v>-7.0</v>
      </c>
      <c r="D35" s="43">
        <v>35.0</v>
      </c>
      <c r="E35" s="43" t="s">
        <v>2739</v>
      </c>
      <c r="F35" s="43">
        <v>100.0</v>
      </c>
    </row>
    <row r="36">
      <c r="A36" s="41">
        <v>35.0</v>
      </c>
      <c r="B36" s="42" t="s">
        <v>2740</v>
      </c>
      <c r="C36" s="43">
        <v>6.0</v>
      </c>
      <c r="D36" s="43">
        <v>35.17</v>
      </c>
      <c r="E36" s="43" t="s">
        <v>2743</v>
      </c>
      <c r="F36" s="43">
        <v>100.0</v>
      </c>
    </row>
    <row r="37">
      <c r="A37" s="41">
        <v>36.0</v>
      </c>
      <c r="B37" s="42" t="s">
        <v>2744</v>
      </c>
      <c r="C37" s="43">
        <v>11.0</v>
      </c>
      <c r="D37" s="43">
        <v>37.5</v>
      </c>
      <c r="E37" s="43" t="s">
        <v>2733</v>
      </c>
      <c r="F37" s="43">
        <v>100.0</v>
      </c>
    </row>
    <row r="38">
      <c r="A38" s="41">
        <v>37.0</v>
      </c>
      <c r="B38" s="42" t="s">
        <v>2748</v>
      </c>
      <c r="C38" s="43">
        <v>-13.0</v>
      </c>
      <c r="D38" s="43">
        <v>38.0</v>
      </c>
      <c r="E38" s="43" t="s">
        <v>2753</v>
      </c>
      <c r="F38" s="43">
        <v>100.0</v>
      </c>
    </row>
    <row r="39">
      <c r="A39" s="41">
        <v>38.0</v>
      </c>
      <c r="B39" s="42" t="s">
        <v>2755</v>
      </c>
      <c r="C39" s="43">
        <v>-8.0</v>
      </c>
      <c r="D39" s="43">
        <v>39.67</v>
      </c>
      <c r="E39" s="43" t="s">
        <v>2757</v>
      </c>
      <c r="F39" s="43">
        <v>100.0</v>
      </c>
    </row>
    <row r="40">
      <c r="A40" s="41">
        <v>39.0</v>
      </c>
      <c r="B40" s="42" t="s">
        <v>2758</v>
      </c>
      <c r="C40" s="43">
        <v>5.0</v>
      </c>
      <c r="D40" s="43">
        <v>40.33</v>
      </c>
      <c r="E40" s="43" t="s">
        <v>2761</v>
      </c>
      <c r="F40" s="43">
        <v>100.0</v>
      </c>
    </row>
    <row r="41">
      <c r="A41" s="41">
        <v>40.0</v>
      </c>
      <c r="B41" s="42" t="s">
        <v>2762</v>
      </c>
      <c r="C41" s="43">
        <v>-2.0</v>
      </c>
      <c r="D41" s="43">
        <v>41.5</v>
      </c>
      <c r="E41" s="43" t="s">
        <v>2764</v>
      </c>
      <c r="F41" s="43">
        <v>100.0</v>
      </c>
    </row>
    <row r="42">
      <c r="A42" s="41">
        <v>41.0</v>
      </c>
      <c r="B42" s="42" t="s">
        <v>2765</v>
      </c>
      <c r="C42" s="43">
        <v>19.0</v>
      </c>
      <c r="D42" s="43">
        <v>41.83</v>
      </c>
      <c r="E42" s="43" t="s">
        <v>2769</v>
      </c>
      <c r="F42" s="43">
        <v>100.0</v>
      </c>
    </row>
    <row r="43">
      <c r="A43" s="41">
        <v>42.0</v>
      </c>
      <c r="B43" s="42" t="s">
        <v>2770</v>
      </c>
      <c r="C43" s="43">
        <v>1.0</v>
      </c>
      <c r="D43" s="43">
        <v>41.83</v>
      </c>
      <c r="E43" s="43" t="s">
        <v>2774</v>
      </c>
      <c r="F43" s="43">
        <v>100.0</v>
      </c>
    </row>
    <row r="44">
      <c r="A44" s="41">
        <v>43.0</v>
      </c>
      <c r="B44" s="42" t="s">
        <v>2775</v>
      </c>
      <c r="C44" s="43">
        <v>5.0</v>
      </c>
      <c r="D44" s="43">
        <v>43.5</v>
      </c>
      <c r="E44" s="43" t="s">
        <v>2778</v>
      </c>
      <c r="F44" s="43">
        <v>100.0</v>
      </c>
    </row>
    <row r="45">
      <c r="A45" s="41">
        <v>44.0</v>
      </c>
      <c r="B45" s="42" t="s">
        <v>2780</v>
      </c>
      <c r="C45" s="43">
        <v>7.0</v>
      </c>
      <c r="D45" s="43">
        <v>44.33</v>
      </c>
      <c r="E45" s="43" t="s">
        <v>2785</v>
      </c>
      <c r="F45" s="43">
        <v>100.0</v>
      </c>
    </row>
    <row r="46">
      <c r="A46" s="41">
        <v>45.0</v>
      </c>
      <c r="B46" s="42" t="s">
        <v>2786</v>
      </c>
      <c r="C46" s="43" t="s">
        <v>1739</v>
      </c>
      <c r="D46" s="43">
        <v>44.83</v>
      </c>
      <c r="E46" s="43" t="s">
        <v>2789</v>
      </c>
      <c r="F46" s="43">
        <v>100.0</v>
      </c>
    </row>
    <row r="47">
      <c r="A47" s="41">
        <v>46.0</v>
      </c>
      <c r="B47" s="42" t="s">
        <v>2790</v>
      </c>
      <c r="C47" s="43">
        <v>17.0</v>
      </c>
      <c r="D47" s="43">
        <v>49.67</v>
      </c>
      <c r="E47" s="43" t="s">
        <v>2795</v>
      </c>
      <c r="F47" s="43">
        <v>100.0</v>
      </c>
    </row>
    <row r="48">
      <c r="A48" s="41">
        <v>47.0</v>
      </c>
      <c r="B48" s="42" t="s">
        <v>2796</v>
      </c>
      <c r="C48" s="43">
        <v>-19.0</v>
      </c>
      <c r="D48" s="43">
        <v>50.17</v>
      </c>
      <c r="E48" s="43" t="s">
        <v>2801</v>
      </c>
      <c r="F48" s="43">
        <v>100.0</v>
      </c>
    </row>
    <row r="49">
      <c r="A49" s="41">
        <v>48.0</v>
      </c>
      <c r="B49" s="42" t="s">
        <v>2802</v>
      </c>
      <c r="C49" s="43">
        <v>-9.0</v>
      </c>
      <c r="D49" s="43">
        <v>50.83</v>
      </c>
      <c r="E49" s="43" t="s">
        <v>2805</v>
      </c>
      <c r="F49" s="43">
        <v>100.0</v>
      </c>
    </row>
    <row r="50">
      <c r="A50" s="41">
        <v>49.0</v>
      </c>
      <c r="B50" s="42" t="s">
        <v>2807</v>
      </c>
      <c r="C50" s="43">
        <v>17.0</v>
      </c>
      <c r="D50" s="43">
        <v>51.0</v>
      </c>
      <c r="E50" s="43" t="s">
        <v>2810</v>
      </c>
      <c r="F50" s="43">
        <v>100.0</v>
      </c>
    </row>
    <row r="51">
      <c r="A51" s="41">
        <v>50.0</v>
      </c>
      <c r="B51" s="42" t="s">
        <v>2811</v>
      </c>
      <c r="C51" s="43">
        <v>2.0</v>
      </c>
      <c r="D51" s="43">
        <v>53.0</v>
      </c>
      <c r="E51" s="43" t="s">
        <v>2815</v>
      </c>
      <c r="F51" s="43">
        <v>100.0</v>
      </c>
    </row>
    <row r="52">
      <c r="A52" s="41">
        <v>51.0</v>
      </c>
      <c r="B52" s="42" t="s">
        <v>2816</v>
      </c>
      <c r="C52" s="43">
        <v>3.0</v>
      </c>
      <c r="D52" s="43">
        <v>53.17</v>
      </c>
      <c r="E52" s="43" t="s">
        <v>2820</v>
      </c>
      <c r="F52" s="43">
        <v>100.0</v>
      </c>
    </row>
    <row r="53">
      <c r="A53" s="41">
        <v>52.0</v>
      </c>
      <c r="B53" s="42" t="s">
        <v>2821</v>
      </c>
      <c r="C53" s="43">
        <v>1.0</v>
      </c>
      <c r="D53" s="43">
        <v>54.83</v>
      </c>
      <c r="E53" s="43" t="s">
        <v>2824</v>
      </c>
      <c r="F53" s="43">
        <v>100.0</v>
      </c>
    </row>
    <row r="54">
      <c r="A54" s="41">
        <v>53.0</v>
      </c>
      <c r="B54" s="42" t="s">
        <v>2826</v>
      </c>
      <c r="C54" s="43">
        <v>-3.0</v>
      </c>
      <c r="D54" s="43">
        <v>55.67</v>
      </c>
      <c r="E54" s="43" t="s">
        <v>2829</v>
      </c>
      <c r="F54" s="43">
        <v>100.0</v>
      </c>
    </row>
    <row r="55">
      <c r="A55" s="41">
        <v>54.0</v>
      </c>
      <c r="B55" s="42" t="s">
        <v>2830</v>
      </c>
      <c r="C55" s="43">
        <v>3.0</v>
      </c>
      <c r="D55" s="43">
        <v>55.83</v>
      </c>
      <c r="E55" s="43" t="s">
        <v>2833</v>
      </c>
      <c r="F55" s="43">
        <v>100.0</v>
      </c>
    </row>
    <row r="56">
      <c r="A56" s="41">
        <v>55.0</v>
      </c>
      <c r="B56" s="42" t="s">
        <v>2834</v>
      </c>
      <c r="C56" s="43">
        <v>-9.0</v>
      </c>
      <c r="D56" s="43">
        <v>56.17</v>
      </c>
      <c r="E56" s="43" t="s">
        <v>2836</v>
      </c>
      <c r="F56" s="43">
        <v>100.0</v>
      </c>
    </row>
    <row r="57">
      <c r="A57" s="41">
        <v>56.0</v>
      </c>
      <c r="B57" s="42" t="s">
        <v>2838</v>
      </c>
      <c r="C57" s="43">
        <v>12.0</v>
      </c>
      <c r="D57" s="43">
        <v>58.0</v>
      </c>
      <c r="E57" s="43" t="s">
        <v>2842</v>
      </c>
      <c r="F57" s="43">
        <v>100.0</v>
      </c>
    </row>
    <row r="58">
      <c r="A58" s="41">
        <v>57.0</v>
      </c>
      <c r="B58" s="42" t="s">
        <v>2843</v>
      </c>
      <c r="C58" s="43">
        <v>-2.0</v>
      </c>
      <c r="D58" s="43">
        <v>58.83</v>
      </c>
      <c r="E58" s="43" t="s">
        <v>2845</v>
      </c>
      <c r="F58" s="43">
        <v>100.0</v>
      </c>
    </row>
    <row r="59">
      <c r="A59" s="41">
        <v>58.0</v>
      </c>
      <c r="B59" s="42" t="s">
        <v>2847</v>
      </c>
      <c r="C59" s="43">
        <v>6.0</v>
      </c>
      <c r="D59" s="43">
        <v>59.17</v>
      </c>
      <c r="E59" s="43" t="s">
        <v>2851</v>
      </c>
      <c r="F59" s="43">
        <v>100.0</v>
      </c>
    </row>
    <row r="60">
      <c r="A60" s="41">
        <v>59.0</v>
      </c>
      <c r="B60" s="42" t="s">
        <v>2852</v>
      </c>
      <c r="C60" s="43" t="s">
        <v>1739</v>
      </c>
      <c r="D60" s="43">
        <v>59.67</v>
      </c>
      <c r="E60" s="43" t="s">
        <v>2856</v>
      </c>
      <c r="F60" s="43">
        <v>100.0</v>
      </c>
    </row>
    <row r="61">
      <c r="A61" s="41">
        <v>60.0</v>
      </c>
      <c r="B61" s="42" t="s">
        <v>2857</v>
      </c>
      <c r="C61" s="43">
        <v>10.0</v>
      </c>
      <c r="D61" s="43">
        <v>60.17</v>
      </c>
      <c r="E61" s="43" t="s">
        <v>2860</v>
      </c>
      <c r="F61" s="43">
        <v>100.0</v>
      </c>
    </row>
    <row r="62">
      <c r="A62" s="41">
        <v>61.0</v>
      </c>
      <c r="B62" s="42" t="s">
        <v>2861</v>
      </c>
      <c r="C62" s="43">
        <v>-12.0</v>
      </c>
      <c r="D62" s="43">
        <v>62.67</v>
      </c>
      <c r="E62" s="43" t="s">
        <v>2863</v>
      </c>
      <c r="F62" s="43">
        <v>100.0</v>
      </c>
    </row>
    <row r="63">
      <c r="A63" s="41">
        <v>62.0</v>
      </c>
      <c r="B63" s="42" t="s">
        <v>2864</v>
      </c>
      <c r="C63" s="43">
        <v>-6.0</v>
      </c>
      <c r="D63" s="43">
        <v>63.83</v>
      </c>
      <c r="E63" s="43" t="s">
        <v>2865</v>
      </c>
      <c r="F63" s="43">
        <v>100.0</v>
      </c>
    </row>
    <row r="64">
      <c r="A64" s="41">
        <v>63.0</v>
      </c>
      <c r="B64" s="42" t="s">
        <v>2866</v>
      </c>
      <c r="C64" s="43">
        <v>-2.0</v>
      </c>
      <c r="D64" s="43">
        <v>65.5</v>
      </c>
      <c r="E64" s="43" t="s">
        <v>2870</v>
      </c>
      <c r="F64" s="43">
        <v>100.0</v>
      </c>
    </row>
    <row r="65">
      <c r="A65" s="41">
        <v>64.0</v>
      </c>
      <c r="B65" s="42" t="s">
        <v>2871</v>
      </c>
      <c r="C65" s="43">
        <v>-6.0</v>
      </c>
      <c r="D65" s="43">
        <v>66.33</v>
      </c>
      <c r="E65" s="43" t="s">
        <v>2873</v>
      </c>
      <c r="F65" s="43">
        <v>100.0</v>
      </c>
    </row>
    <row r="66">
      <c r="A66" s="41">
        <v>65.0</v>
      </c>
      <c r="B66" s="42" t="s">
        <v>2874</v>
      </c>
      <c r="C66" s="43">
        <v>4.0</v>
      </c>
      <c r="D66" s="43">
        <v>68.8</v>
      </c>
      <c r="E66" s="43" t="s">
        <v>2877</v>
      </c>
      <c r="F66" s="43">
        <v>83.3</v>
      </c>
    </row>
    <row r="67">
      <c r="A67" s="41">
        <v>66.0</v>
      </c>
      <c r="B67" s="42" t="s">
        <v>2878</v>
      </c>
      <c r="C67" s="43">
        <v>-1.0</v>
      </c>
      <c r="D67" s="43">
        <v>70.33</v>
      </c>
      <c r="E67" s="43" t="s">
        <v>2882</v>
      </c>
      <c r="F67" s="43">
        <v>100.0</v>
      </c>
    </row>
    <row r="68">
      <c r="A68" s="41">
        <v>67.0</v>
      </c>
      <c r="B68" s="42" t="s">
        <v>2883</v>
      </c>
      <c r="C68" s="43">
        <v>23.0</v>
      </c>
      <c r="D68" s="43">
        <v>72.33</v>
      </c>
      <c r="E68" s="43" t="s">
        <v>2886</v>
      </c>
      <c r="F68" s="43">
        <v>100.0</v>
      </c>
    </row>
    <row r="69">
      <c r="A69" s="41">
        <v>68.0</v>
      </c>
      <c r="B69" s="42" t="s">
        <v>2889</v>
      </c>
      <c r="C69" s="43">
        <v>24.0</v>
      </c>
      <c r="D69" s="43">
        <v>73.4</v>
      </c>
      <c r="E69" s="43" t="s">
        <v>2891</v>
      </c>
      <c r="F69" s="43">
        <v>83.3</v>
      </c>
    </row>
    <row r="70">
      <c r="A70" s="41">
        <v>69.0</v>
      </c>
      <c r="B70" s="42" t="s">
        <v>2892</v>
      </c>
      <c r="C70" s="43">
        <v>11.0</v>
      </c>
      <c r="D70" s="43">
        <v>73.67</v>
      </c>
      <c r="E70" s="43" t="s">
        <v>2896</v>
      </c>
      <c r="F70" s="43">
        <v>100.0</v>
      </c>
    </row>
    <row r="71">
      <c r="A71" s="41">
        <v>70.0</v>
      </c>
      <c r="B71" s="42" t="s">
        <v>2897</v>
      </c>
      <c r="C71" s="43">
        <v>-3.0</v>
      </c>
      <c r="D71" s="43">
        <v>74.5</v>
      </c>
      <c r="E71" s="43" t="s">
        <v>2900</v>
      </c>
      <c r="F71" s="43">
        <v>100.0</v>
      </c>
    </row>
    <row r="72">
      <c r="A72" s="41">
        <v>71.0</v>
      </c>
      <c r="B72" s="42" t="s">
        <v>2902</v>
      </c>
      <c r="C72" s="43">
        <v>22.0</v>
      </c>
      <c r="D72" s="43">
        <v>74.83</v>
      </c>
      <c r="E72" s="43" t="s">
        <v>2903</v>
      </c>
      <c r="F72" s="43">
        <v>100.0</v>
      </c>
    </row>
    <row r="73">
      <c r="A73" s="41">
        <v>72.0</v>
      </c>
      <c r="B73" s="42" t="s">
        <v>2904</v>
      </c>
      <c r="C73" s="43">
        <v>1.0</v>
      </c>
      <c r="D73" s="43">
        <v>76.6</v>
      </c>
      <c r="E73" s="43" t="s">
        <v>2908</v>
      </c>
      <c r="F73" s="43">
        <v>83.3</v>
      </c>
    </row>
    <row r="74">
      <c r="A74" s="41">
        <v>73.0</v>
      </c>
      <c r="B74" s="42" t="s">
        <v>2909</v>
      </c>
      <c r="C74" s="43">
        <v>21.0</v>
      </c>
      <c r="D74" s="43">
        <v>76.83</v>
      </c>
      <c r="E74" s="43" t="s">
        <v>2912</v>
      </c>
      <c r="F74" s="43">
        <v>100.0</v>
      </c>
    </row>
    <row r="75">
      <c r="A75" s="41">
        <v>74.0</v>
      </c>
      <c r="B75" s="42" t="s">
        <v>2913</v>
      </c>
      <c r="C75" s="43">
        <v>15.0</v>
      </c>
      <c r="D75" s="43">
        <v>77.5</v>
      </c>
      <c r="E75" s="43" t="s">
        <v>2916</v>
      </c>
      <c r="F75" s="43">
        <v>100.0</v>
      </c>
    </row>
    <row r="76">
      <c r="A76" s="41">
        <v>75.0</v>
      </c>
      <c r="B76" s="42" t="s">
        <v>2917</v>
      </c>
      <c r="C76" s="43">
        <v>-33.0</v>
      </c>
      <c r="D76" s="43">
        <v>77.67</v>
      </c>
      <c r="E76" s="43" t="s">
        <v>2920</v>
      </c>
      <c r="F76" s="43">
        <v>100.0</v>
      </c>
    </row>
    <row r="77">
      <c r="A77" s="41">
        <v>76.0</v>
      </c>
      <c r="B77" s="42" t="s">
        <v>2921</v>
      </c>
      <c r="C77" s="43">
        <v>-1.0</v>
      </c>
      <c r="D77" s="43">
        <v>77.83</v>
      </c>
      <c r="E77" s="43" t="s">
        <v>2924</v>
      </c>
      <c r="F77" s="43">
        <v>100.0</v>
      </c>
    </row>
    <row r="78">
      <c r="A78" s="41">
        <v>77.0</v>
      </c>
      <c r="B78" s="42" t="s">
        <v>2925</v>
      </c>
      <c r="C78" s="43">
        <v>-42.0</v>
      </c>
      <c r="D78" s="43">
        <v>78.33</v>
      </c>
      <c r="E78" s="43" t="s">
        <v>2927</v>
      </c>
      <c r="F78" s="43">
        <v>100.0</v>
      </c>
    </row>
    <row r="79">
      <c r="A79" s="41">
        <v>78.0</v>
      </c>
      <c r="B79" s="42" t="s">
        <v>2929</v>
      </c>
      <c r="C79" s="43">
        <v>3.0</v>
      </c>
      <c r="D79" s="43">
        <v>79.17</v>
      </c>
      <c r="E79" s="43" t="s">
        <v>2931</v>
      </c>
      <c r="F79" s="43">
        <v>100.0</v>
      </c>
    </row>
    <row r="80">
      <c r="A80" s="41">
        <v>79.0</v>
      </c>
      <c r="B80" s="42" t="s">
        <v>2932</v>
      </c>
      <c r="C80" s="43">
        <v>-5.0</v>
      </c>
      <c r="D80" s="43">
        <v>80.67</v>
      </c>
      <c r="E80" s="43" t="s">
        <v>2936</v>
      </c>
      <c r="F80" s="43">
        <v>100.0</v>
      </c>
    </row>
    <row r="81">
      <c r="A81" s="41">
        <v>80.0</v>
      </c>
      <c r="B81" s="42" t="s">
        <v>2937</v>
      </c>
      <c r="C81" s="43">
        <v>-9.0</v>
      </c>
      <c r="D81" s="43">
        <v>81.67</v>
      </c>
      <c r="E81" s="43" t="s">
        <v>2940</v>
      </c>
      <c r="F81" s="43">
        <v>100.0</v>
      </c>
    </row>
    <row r="82">
      <c r="A82" s="41">
        <v>81.0</v>
      </c>
      <c r="B82" s="42" t="s">
        <v>2941</v>
      </c>
      <c r="C82" s="43" t="s">
        <v>1739</v>
      </c>
      <c r="D82" s="43">
        <v>82.5</v>
      </c>
      <c r="E82" s="43" t="s">
        <v>2943</v>
      </c>
      <c r="F82" s="43">
        <v>33.3</v>
      </c>
    </row>
    <row r="83">
      <c r="A83" s="41">
        <v>82.0</v>
      </c>
      <c r="B83" s="42" t="s">
        <v>2944</v>
      </c>
      <c r="C83" s="43">
        <v>3.0</v>
      </c>
      <c r="D83" s="43">
        <v>82.67</v>
      </c>
      <c r="E83" s="43" t="s">
        <v>2946</v>
      </c>
      <c r="F83" s="43">
        <v>100.0</v>
      </c>
    </row>
    <row r="84">
      <c r="A84" s="41">
        <v>83.0</v>
      </c>
      <c r="B84" s="42" t="s">
        <v>2948</v>
      </c>
      <c r="C84" s="43">
        <v>5.0</v>
      </c>
      <c r="D84" s="43">
        <v>85.4</v>
      </c>
      <c r="E84" s="43" t="s">
        <v>2951</v>
      </c>
      <c r="F84" s="43">
        <v>83.3</v>
      </c>
    </row>
    <row r="85">
      <c r="A85" s="41">
        <v>84.0</v>
      </c>
      <c r="B85" s="42" t="s">
        <v>2952</v>
      </c>
      <c r="C85" s="43">
        <v>-6.0</v>
      </c>
      <c r="D85" s="43">
        <v>85.5</v>
      </c>
      <c r="E85" s="43" t="s">
        <v>2955</v>
      </c>
      <c r="F85" s="43">
        <v>100.0</v>
      </c>
    </row>
    <row r="86">
      <c r="A86" s="41">
        <v>85.0</v>
      </c>
      <c r="B86" s="42" t="s">
        <v>2956</v>
      </c>
      <c r="C86" s="43">
        <v>-23.0</v>
      </c>
      <c r="D86" s="43">
        <v>86.33</v>
      </c>
      <c r="E86" s="43" t="s">
        <v>2958</v>
      </c>
      <c r="F86" s="43">
        <v>100.0</v>
      </c>
    </row>
    <row r="87">
      <c r="A87" s="41">
        <v>86.0</v>
      </c>
      <c r="B87" s="42" t="s">
        <v>2959</v>
      </c>
      <c r="C87" s="43">
        <v>5.0</v>
      </c>
      <c r="D87" s="43">
        <v>91.67</v>
      </c>
      <c r="E87" s="43" t="s">
        <v>2963</v>
      </c>
      <c r="F87" s="43">
        <v>100.0</v>
      </c>
    </row>
    <row r="88">
      <c r="A88" s="41">
        <v>87.0</v>
      </c>
      <c r="B88" s="42" t="s">
        <v>2964</v>
      </c>
      <c r="C88" s="43">
        <v>17.0</v>
      </c>
      <c r="D88" s="43">
        <v>92.0</v>
      </c>
      <c r="E88" s="43" t="s">
        <v>2966</v>
      </c>
      <c r="F88" s="43">
        <v>83.3</v>
      </c>
    </row>
    <row r="89">
      <c r="A89" s="41">
        <v>88.0</v>
      </c>
      <c r="B89" s="42" t="s">
        <v>2967</v>
      </c>
      <c r="C89" s="43">
        <v>9.0</v>
      </c>
      <c r="D89" s="43">
        <v>92.33</v>
      </c>
      <c r="E89" s="43" t="s">
        <v>2970</v>
      </c>
      <c r="F89" s="43">
        <v>100.0</v>
      </c>
    </row>
    <row r="90">
      <c r="A90" s="41">
        <v>89.0</v>
      </c>
      <c r="B90" s="42" t="s">
        <v>2971</v>
      </c>
      <c r="C90" s="43">
        <v>-6.0</v>
      </c>
      <c r="D90" s="43">
        <v>92.83</v>
      </c>
      <c r="E90" s="43" t="s">
        <v>2974</v>
      </c>
      <c r="F90" s="43">
        <v>100.0</v>
      </c>
    </row>
    <row r="91">
      <c r="A91" s="41">
        <v>90.0</v>
      </c>
      <c r="B91" s="42" t="s">
        <v>2975</v>
      </c>
      <c r="C91" s="43">
        <v>-14.0</v>
      </c>
      <c r="D91" s="43">
        <v>93.0</v>
      </c>
      <c r="E91" s="43" t="s">
        <v>2978</v>
      </c>
      <c r="F91" s="43">
        <v>100.0</v>
      </c>
    </row>
    <row r="92">
      <c r="A92" s="41">
        <v>91.0</v>
      </c>
      <c r="B92" s="42" t="s">
        <v>2980</v>
      </c>
      <c r="C92" s="43">
        <v>-19.0</v>
      </c>
      <c r="D92" s="43">
        <v>93.33</v>
      </c>
      <c r="E92" s="43" t="s">
        <v>2981</v>
      </c>
      <c r="F92" s="43">
        <v>100.0</v>
      </c>
    </row>
    <row r="93">
      <c r="A93" s="41">
        <v>92.0</v>
      </c>
      <c r="B93" s="42" t="s">
        <v>2983</v>
      </c>
      <c r="C93" s="43">
        <v>17.0</v>
      </c>
      <c r="D93" s="43">
        <v>94.83</v>
      </c>
      <c r="E93" s="43" t="s">
        <v>2986</v>
      </c>
      <c r="F93" s="43">
        <v>100.0</v>
      </c>
    </row>
    <row r="94">
      <c r="A94" s="41">
        <v>93.0</v>
      </c>
      <c r="B94" s="42" t="s">
        <v>2987</v>
      </c>
      <c r="C94" s="43">
        <v>-14.0</v>
      </c>
      <c r="D94" s="43">
        <v>95.83</v>
      </c>
      <c r="E94" s="43" t="s">
        <v>2990</v>
      </c>
      <c r="F94" s="43">
        <v>100.0</v>
      </c>
    </row>
    <row r="95">
      <c r="A95" s="41">
        <v>94.0</v>
      </c>
      <c r="B95" s="42" t="s">
        <v>2991</v>
      </c>
      <c r="C95" s="43">
        <v>6.0</v>
      </c>
      <c r="D95" s="43">
        <v>97.33</v>
      </c>
      <c r="E95" s="43" t="s">
        <v>2994</v>
      </c>
      <c r="F95" s="43">
        <v>100.0</v>
      </c>
    </row>
    <row r="96">
      <c r="A96" s="41">
        <v>95.0</v>
      </c>
      <c r="B96" s="42" t="s">
        <v>2996</v>
      </c>
      <c r="C96" s="43">
        <v>-8.0</v>
      </c>
      <c r="D96" s="43">
        <v>98.4</v>
      </c>
      <c r="E96" s="43" t="s">
        <v>2997</v>
      </c>
      <c r="F96" s="43">
        <v>83.3</v>
      </c>
    </row>
    <row r="97">
      <c r="A97" s="41">
        <v>96.0</v>
      </c>
      <c r="B97" s="42" t="s">
        <v>2998</v>
      </c>
      <c r="C97" s="43" t="s">
        <v>1739</v>
      </c>
      <c r="D97" s="43">
        <v>100.0</v>
      </c>
      <c r="E97" s="43" t="s">
        <v>3002</v>
      </c>
      <c r="F97" s="43">
        <v>100.0</v>
      </c>
    </row>
    <row r="98">
      <c r="A98" s="41">
        <v>97.0</v>
      </c>
      <c r="B98" s="42" t="s">
        <v>3003</v>
      </c>
      <c r="C98" s="43">
        <v>10.0</v>
      </c>
      <c r="D98" s="43">
        <v>102.0</v>
      </c>
      <c r="E98" s="43" t="s">
        <v>3005</v>
      </c>
      <c r="F98" s="43">
        <v>100.0</v>
      </c>
    </row>
    <row r="99">
      <c r="A99" s="41">
        <v>98.0</v>
      </c>
      <c r="B99" s="42" t="s">
        <v>3008</v>
      </c>
      <c r="C99" s="43">
        <v>15.0</v>
      </c>
      <c r="D99" s="43">
        <v>102.0</v>
      </c>
      <c r="E99" s="43" t="s">
        <v>3009</v>
      </c>
      <c r="F99" s="43">
        <v>83.3</v>
      </c>
    </row>
    <row r="100">
      <c r="A100" s="41">
        <v>99.0</v>
      </c>
      <c r="B100" s="42" t="s">
        <v>3010</v>
      </c>
      <c r="C100" s="43">
        <v>-17.0</v>
      </c>
      <c r="D100" s="43">
        <v>102.67</v>
      </c>
      <c r="E100" s="43" t="s">
        <v>3013</v>
      </c>
      <c r="F100" s="43">
        <v>100.0</v>
      </c>
    </row>
    <row r="101">
      <c r="A101" s="41">
        <v>100.0</v>
      </c>
      <c r="B101" s="42" t="s">
        <v>3014</v>
      </c>
      <c r="C101" s="43">
        <v>-16.0</v>
      </c>
      <c r="D101" s="43">
        <v>103.5</v>
      </c>
      <c r="E101" s="43" t="s">
        <v>3016</v>
      </c>
      <c r="F101" s="43">
        <v>100.0</v>
      </c>
    </row>
    <row r="102">
      <c r="A102" s="41">
        <v>101.0</v>
      </c>
      <c r="B102" s="42" t="s">
        <v>3018</v>
      </c>
      <c r="C102" s="43">
        <v>18.0</v>
      </c>
      <c r="D102" s="43">
        <v>106.4</v>
      </c>
      <c r="E102" s="43" t="s">
        <v>3021</v>
      </c>
      <c r="F102" s="43">
        <v>83.3</v>
      </c>
    </row>
    <row r="103">
      <c r="A103" s="41">
        <v>102.0</v>
      </c>
      <c r="B103" s="42" t="s">
        <v>3022</v>
      </c>
      <c r="C103" s="43">
        <v>25.0</v>
      </c>
      <c r="D103" s="43">
        <v>107.4</v>
      </c>
      <c r="E103" s="43" t="s">
        <v>3025</v>
      </c>
      <c r="F103" s="43">
        <v>83.3</v>
      </c>
    </row>
    <row r="104">
      <c r="A104" s="41">
        <v>103.0</v>
      </c>
      <c r="B104" s="42" t="s">
        <v>3027</v>
      </c>
      <c r="C104" s="43">
        <v>14.0</v>
      </c>
      <c r="D104" s="43">
        <v>108.0</v>
      </c>
      <c r="E104" s="43" t="s">
        <v>3028</v>
      </c>
      <c r="F104" s="43">
        <v>83.3</v>
      </c>
    </row>
    <row r="105">
      <c r="A105" s="41">
        <v>104.0</v>
      </c>
      <c r="B105" s="42" t="s">
        <v>3029</v>
      </c>
      <c r="C105" s="43">
        <v>22.0</v>
      </c>
      <c r="D105" s="43">
        <v>111.0</v>
      </c>
      <c r="E105" s="43" t="s">
        <v>3033</v>
      </c>
      <c r="F105" s="43">
        <v>83.3</v>
      </c>
    </row>
    <row r="106">
      <c r="A106" s="41">
        <v>105.0</v>
      </c>
      <c r="B106" s="42" t="s">
        <v>3034</v>
      </c>
      <c r="C106" s="43">
        <v>25.0</v>
      </c>
      <c r="D106" s="43">
        <v>111.0</v>
      </c>
      <c r="E106" s="43" t="s">
        <v>3036</v>
      </c>
      <c r="F106" s="43">
        <v>100.0</v>
      </c>
    </row>
    <row r="107">
      <c r="A107" s="41">
        <v>106.0</v>
      </c>
      <c r="B107" s="42" t="s">
        <v>3038</v>
      </c>
      <c r="C107" s="43">
        <v>-4.0</v>
      </c>
      <c r="D107" s="43">
        <v>111.2</v>
      </c>
      <c r="E107" s="43" t="s">
        <v>3040</v>
      </c>
      <c r="F107" s="43">
        <v>83.3</v>
      </c>
    </row>
    <row r="108">
      <c r="A108" s="41">
        <v>107.0</v>
      </c>
      <c r="B108" s="42" t="s">
        <v>3041</v>
      </c>
      <c r="C108" s="43">
        <v>-4.0</v>
      </c>
      <c r="D108" s="43">
        <v>111.83</v>
      </c>
      <c r="E108" s="43" t="s">
        <v>3044</v>
      </c>
      <c r="F108" s="43">
        <v>100.0</v>
      </c>
    </row>
    <row r="109">
      <c r="A109" s="41">
        <v>108.0</v>
      </c>
      <c r="B109" s="42" t="s">
        <v>3045</v>
      </c>
      <c r="C109" s="43">
        <v>10.0</v>
      </c>
      <c r="D109" s="43">
        <v>112.0</v>
      </c>
      <c r="E109" s="43" t="s">
        <v>3047</v>
      </c>
      <c r="F109" s="43">
        <v>83.3</v>
      </c>
    </row>
    <row r="110">
      <c r="A110" s="41">
        <v>109.0</v>
      </c>
      <c r="B110" s="42" t="s">
        <v>3048</v>
      </c>
      <c r="C110" s="43">
        <v>7.0</v>
      </c>
      <c r="D110" s="43">
        <v>113.0</v>
      </c>
      <c r="E110" s="43" t="s">
        <v>3051</v>
      </c>
      <c r="F110" s="43">
        <v>83.3</v>
      </c>
    </row>
    <row r="111">
      <c r="A111" s="41">
        <v>110.0</v>
      </c>
      <c r="B111" s="42" t="s">
        <v>3052</v>
      </c>
      <c r="C111" s="43">
        <v>-9.0</v>
      </c>
      <c r="D111" s="43">
        <v>113.33</v>
      </c>
      <c r="E111" s="43" t="s">
        <v>3054</v>
      </c>
      <c r="F111" s="43">
        <v>100.0</v>
      </c>
    </row>
    <row r="112">
      <c r="A112" s="41">
        <v>111.0</v>
      </c>
      <c r="B112" s="42" t="s">
        <v>3056</v>
      </c>
      <c r="C112" s="43">
        <v>1.0</v>
      </c>
      <c r="D112" s="43">
        <v>116.17</v>
      </c>
      <c r="E112" s="43" t="s">
        <v>3058</v>
      </c>
      <c r="F112" s="43">
        <v>100.0</v>
      </c>
    </row>
    <row r="113">
      <c r="A113" s="41">
        <v>112.0</v>
      </c>
      <c r="B113" s="42" t="s">
        <v>3059</v>
      </c>
      <c r="C113" s="43">
        <v>25.0</v>
      </c>
      <c r="D113" s="43">
        <v>116.17</v>
      </c>
      <c r="E113" s="43" t="s">
        <v>3063</v>
      </c>
      <c r="F113" s="43">
        <v>100.0</v>
      </c>
    </row>
    <row r="114">
      <c r="A114" s="41">
        <v>113.0</v>
      </c>
      <c r="B114" s="42" t="s">
        <v>3064</v>
      </c>
      <c r="C114" s="43">
        <v>-15.0</v>
      </c>
      <c r="D114" s="43">
        <v>118.0</v>
      </c>
      <c r="E114" s="43" t="s">
        <v>3065</v>
      </c>
      <c r="F114" s="43">
        <v>50.0</v>
      </c>
    </row>
    <row r="115">
      <c r="A115" s="41">
        <v>114.0</v>
      </c>
      <c r="B115" s="42" t="s">
        <v>3067</v>
      </c>
      <c r="C115" s="43">
        <v>-8.0</v>
      </c>
      <c r="D115" s="43">
        <v>119.67</v>
      </c>
      <c r="E115" s="43" t="s">
        <v>3070</v>
      </c>
      <c r="F115" s="43">
        <v>100.0</v>
      </c>
    </row>
    <row r="116">
      <c r="A116" s="41">
        <v>115.0</v>
      </c>
      <c r="B116" s="42" t="s">
        <v>3071</v>
      </c>
      <c r="C116" s="43">
        <v>-1.0</v>
      </c>
      <c r="D116" s="43">
        <v>119.67</v>
      </c>
      <c r="E116" s="43" t="s">
        <v>3073</v>
      </c>
      <c r="F116" s="43">
        <v>100.0</v>
      </c>
    </row>
    <row r="117">
      <c r="A117" s="41">
        <v>116.0</v>
      </c>
      <c r="B117" s="42" t="s">
        <v>3075</v>
      </c>
      <c r="C117" s="43" t="s">
        <v>1739</v>
      </c>
      <c r="D117" s="43">
        <v>119.75</v>
      </c>
      <c r="E117" s="43" t="s">
        <v>3078</v>
      </c>
      <c r="F117" s="43">
        <v>66.7</v>
      </c>
    </row>
    <row r="118">
      <c r="A118" s="41">
        <v>117.0</v>
      </c>
      <c r="B118" s="42" t="s">
        <v>3080</v>
      </c>
      <c r="C118" s="43">
        <v>-40.0</v>
      </c>
      <c r="D118" s="43">
        <v>120.67</v>
      </c>
      <c r="E118" s="43" t="s">
        <v>3082</v>
      </c>
      <c r="F118" s="43">
        <v>100.0</v>
      </c>
    </row>
    <row r="119">
      <c r="A119" s="41">
        <v>118.0</v>
      </c>
      <c r="B119" s="42" t="s">
        <v>3083</v>
      </c>
      <c r="C119" s="43">
        <v>15.0</v>
      </c>
      <c r="D119" s="43">
        <v>121.0</v>
      </c>
      <c r="E119" s="43" t="s">
        <v>3086</v>
      </c>
      <c r="F119" s="43">
        <v>100.0</v>
      </c>
    </row>
    <row r="120">
      <c r="A120" s="41">
        <v>119.0</v>
      </c>
      <c r="B120" s="42" t="s">
        <v>3088</v>
      </c>
      <c r="C120" s="43">
        <v>-4.0</v>
      </c>
      <c r="D120" s="43">
        <v>122.0</v>
      </c>
      <c r="E120" s="43" t="s">
        <v>3091</v>
      </c>
      <c r="F120" s="43">
        <v>100.0</v>
      </c>
    </row>
    <row r="121">
      <c r="A121" s="41">
        <v>120.0</v>
      </c>
      <c r="B121" s="42" t="s">
        <v>3092</v>
      </c>
      <c r="C121" s="43">
        <v>-34.0</v>
      </c>
      <c r="D121" s="43">
        <v>122.0</v>
      </c>
      <c r="E121" s="43" t="s">
        <v>3095</v>
      </c>
      <c r="F121" s="43">
        <v>100.0</v>
      </c>
    </row>
    <row r="122">
      <c r="A122" s="41">
        <v>121.0</v>
      </c>
      <c r="B122" s="42" t="s">
        <v>3097</v>
      </c>
      <c r="C122" s="43">
        <v>-26.0</v>
      </c>
      <c r="D122" s="43">
        <v>123.5</v>
      </c>
      <c r="E122" s="43" t="s">
        <v>3100</v>
      </c>
      <c r="F122" s="43">
        <v>100.0</v>
      </c>
    </row>
    <row r="123">
      <c r="A123" s="41">
        <v>122.0</v>
      </c>
      <c r="B123" s="42" t="s">
        <v>3101</v>
      </c>
      <c r="C123" s="43">
        <v>9.0</v>
      </c>
      <c r="D123" s="43">
        <v>123.8</v>
      </c>
      <c r="E123" s="43" t="s">
        <v>3103</v>
      </c>
      <c r="F123" s="43">
        <v>83.3</v>
      </c>
    </row>
    <row r="124">
      <c r="A124" s="41">
        <v>123.0</v>
      </c>
      <c r="B124" s="42" t="s">
        <v>3105</v>
      </c>
      <c r="C124" s="43" t="s">
        <v>1739</v>
      </c>
      <c r="D124" s="43">
        <v>123.8</v>
      </c>
      <c r="E124" s="43" t="s">
        <v>3107</v>
      </c>
      <c r="F124" s="43">
        <v>83.3</v>
      </c>
    </row>
    <row r="125">
      <c r="A125" s="41">
        <v>124.0</v>
      </c>
      <c r="B125" s="42" t="s">
        <v>3108</v>
      </c>
      <c r="C125" s="43" t="s">
        <v>1739</v>
      </c>
      <c r="D125" s="43">
        <v>124.0</v>
      </c>
      <c r="E125" s="43" t="s">
        <v>3112</v>
      </c>
      <c r="F125" s="43">
        <v>66.7</v>
      </c>
    </row>
    <row r="126">
      <c r="A126" s="41">
        <v>125.0</v>
      </c>
      <c r="B126" s="42" t="s">
        <v>3113</v>
      </c>
      <c r="C126" s="43">
        <v>-20.0</v>
      </c>
      <c r="D126" s="43">
        <v>124.0</v>
      </c>
      <c r="E126" s="43" t="s">
        <v>3114</v>
      </c>
      <c r="F126" s="43">
        <v>83.3</v>
      </c>
    </row>
    <row r="127">
      <c r="A127" s="41">
        <v>126.0</v>
      </c>
      <c r="B127" s="42" t="s">
        <v>3116</v>
      </c>
      <c r="C127" s="43">
        <v>-5.0</v>
      </c>
      <c r="D127" s="43">
        <v>126.6</v>
      </c>
      <c r="E127" s="43" t="s">
        <v>3119</v>
      </c>
      <c r="F127" s="43">
        <v>83.3</v>
      </c>
    </row>
    <row r="128">
      <c r="A128" s="41">
        <v>127.0</v>
      </c>
      <c r="B128" s="42" t="s">
        <v>3120</v>
      </c>
      <c r="C128" s="43" t="s">
        <v>1739</v>
      </c>
      <c r="D128" s="43">
        <v>127.0</v>
      </c>
      <c r="E128" s="43" t="s">
        <v>3123</v>
      </c>
      <c r="F128" s="43">
        <v>83.3</v>
      </c>
    </row>
    <row r="129">
      <c r="A129" s="41">
        <v>128.0</v>
      </c>
      <c r="B129" s="42" t="s">
        <v>3124</v>
      </c>
      <c r="C129" s="43">
        <v>6.0</v>
      </c>
      <c r="D129" s="43">
        <v>128.5</v>
      </c>
      <c r="E129" s="43" t="s">
        <v>3128</v>
      </c>
      <c r="F129" s="43">
        <v>100.0</v>
      </c>
    </row>
    <row r="130">
      <c r="A130" s="41">
        <v>129.0</v>
      </c>
      <c r="B130" s="42" t="s">
        <v>3129</v>
      </c>
      <c r="C130" s="43" t="s">
        <v>1739</v>
      </c>
      <c r="D130" s="43">
        <v>128.67</v>
      </c>
      <c r="E130" s="43" t="s">
        <v>3130</v>
      </c>
      <c r="F130" s="43">
        <v>50.0</v>
      </c>
    </row>
    <row r="131">
      <c r="A131" s="41">
        <v>130.0</v>
      </c>
      <c r="B131" s="42" t="s">
        <v>3131</v>
      </c>
      <c r="C131" s="43">
        <v>-22.0</v>
      </c>
      <c r="D131" s="43">
        <v>129.67</v>
      </c>
      <c r="E131" s="43" t="s">
        <v>3135</v>
      </c>
      <c r="F131" s="43">
        <v>100.0</v>
      </c>
    </row>
    <row r="132">
      <c r="A132" s="41">
        <v>131.0</v>
      </c>
      <c r="B132" s="42" t="s">
        <v>3136</v>
      </c>
      <c r="C132" s="43" t="s">
        <v>1739</v>
      </c>
      <c r="D132" s="43">
        <v>129.75</v>
      </c>
      <c r="E132" s="43" t="s">
        <v>3139</v>
      </c>
      <c r="F132" s="43">
        <v>66.7</v>
      </c>
    </row>
    <row r="133">
      <c r="A133" s="41">
        <v>132.0</v>
      </c>
      <c r="B133" s="42" t="s">
        <v>3141</v>
      </c>
      <c r="C133" s="43">
        <v>-33.0</v>
      </c>
      <c r="D133" s="43">
        <v>129.8</v>
      </c>
      <c r="E133" s="43" t="s">
        <v>3143</v>
      </c>
      <c r="F133" s="43">
        <v>83.3</v>
      </c>
    </row>
    <row r="134">
      <c r="A134" s="41">
        <v>133.0</v>
      </c>
      <c r="B134" s="42" t="s">
        <v>3144</v>
      </c>
      <c r="C134" s="43">
        <v>-23.0</v>
      </c>
      <c r="D134" s="43">
        <v>130.25</v>
      </c>
      <c r="E134" s="43" t="s">
        <v>3146</v>
      </c>
      <c r="F134" s="43">
        <v>66.7</v>
      </c>
    </row>
    <row r="135">
      <c r="A135" s="41">
        <v>134.0</v>
      </c>
      <c r="B135" s="42" t="s">
        <v>3148</v>
      </c>
      <c r="C135" s="43">
        <v>-11.0</v>
      </c>
      <c r="D135" s="43">
        <v>131.25</v>
      </c>
      <c r="E135" s="43" t="s">
        <v>3151</v>
      </c>
      <c r="F135" s="43">
        <v>66.7</v>
      </c>
    </row>
    <row r="136">
      <c r="A136" s="41">
        <v>135.0</v>
      </c>
      <c r="B136" s="42" t="s">
        <v>3152</v>
      </c>
      <c r="C136" s="43">
        <v>-10.0</v>
      </c>
      <c r="D136" s="43">
        <v>132.6</v>
      </c>
      <c r="E136" s="43" t="s">
        <v>3154</v>
      </c>
      <c r="F136" s="43">
        <v>83.3</v>
      </c>
    </row>
    <row r="137">
      <c r="A137" s="41">
        <v>136.0</v>
      </c>
      <c r="B137" s="42" t="s">
        <v>3157</v>
      </c>
      <c r="C137" s="43">
        <v>-25.0</v>
      </c>
      <c r="D137" s="43">
        <v>134.17</v>
      </c>
      <c r="E137" s="43" t="s">
        <v>3158</v>
      </c>
      <c r="F137" s="43">
        <v>100.0</v>
      </c>
    </row>
    <row r="138">
      <c r="A138" s="41">
        <v>137.0</v>
      </c>
      <c r="B138" s="42" t="s">
        <v>3159</v>
      </c>
      <c r="C138" s="43">
        <v>4.0</v>
      </c>
      <c r="D138" s="43">
        <v>134.67</v>
      </c>
      <c r="E138" s="43" t="s">
        <v>3163</v>
      </c>
      <c r="F138" s="43">
        <v>100.0</v>
      </c>
    </row>
    <row r="139">
      <c r="A139" s="41">
        <v>138.0</v>
      </c>
      <c r="B139" s="42" t="s">
        <v>3164</v>
      </c>
      <c r="C139" s="43" t="s">
        <v>1739</v>
      </c>
      <c r="D139" s="43">
        <v>134.8</v>
      </c>
      <c r="E139" s="43" t="s">
        <v>3165</v>
      </c>
      <c r="F139" s="43">
        <v>83.3</v>
      </c>
    </row>
    <row r="140">
      <c r="A140" s="41">
        <v>139.0</v>
      </c>
      <c r="B140" s="42" t="s">
        <v>3167</v>
      </c>
      <c r="C140" s="43" t="s">
        <v>1739</v>
      </c>
      <c r="D140" s="43">
        <v>135.0</v>
      </c>
      <c r="E140" s="43" t="s">
        <v>3169</v>
      </c>
      <c r="F140" s="43">
        <v>33.3</v>
      </c>
    </row>
    <row r="141">
      <c r="A141" s="41">
        <v>140.0</v>
      </c>
      <c r="B141" s="42" t="s">
        <v>3170</v>
      </c>
      <c r="C141" s="43" t="s">
        <v>1739</v>
      </c>
      <c r="D141" s="43">
        <v>135.5</v>
      </c>
      <c r="E141" s="43" t="s">
        <v>3173</v>
      </c>
      <c r="F141" s="43">
        <v>33.3</v>
      </c>
    </row>
    <row r="142">
      <c r="A142" s="41">
        <v>141.0</v>
      </c>
      <c r="B142" s="42" t="s">
        <v>3174</v>
      </c>
      <c r="C142" s="43" t="s">
        <v>1739</v>
      </c>
      <c r="D142" s="43">
        <v>136.25</v>
      </c>
      <c r="E142" s="43" t="s">
        <v>3177</v>
      </c>
      <c r="F142" s="43">
        <v>66.7</v>
      </c>
    </row>
    <row r="143">
      <c r="A143" s="41">
        <v>142.0</v>
      </c>
      <c r="B143" s="42" t="s">
        <v>3179</v>
      </c>
      <c r="C143" s="43" t="s">
        <v>1739</v>
      </c>
      <c r="D143" s="43">
        <v>136.4</v>
      </c>
      <c r="E143" s="43" t="s">
        <v>3180</v>
      </c>
      <c r="F143" s="43">
        <v>83.3</v>
      </c>
    </row>
    <row r="144">
      <c r="A144" s="41">
        <v>143.0</v>
      </c>
      <c r="B144" s="42" t="s">
        <v>3182</v>
      </c>
      <c r="C144" s="43">
        <v>-21.0</v>
      </c>
      <c r="D144" s="43">
        <v>137.17</v>
      </c>
      <c r="E144" s="43" t="s">
        <v>3185</v>
      </c>
      <c r="F144" s="43">
        <v>100.0</v>
      </c>
    </row>
    <row r="145">
      <c r="A145" s="41">
        <v>144.0</v>
      </c>
      <c r="B145" s="42" t="s">
        <v>3186</v>
      </c>
      <c r="C145" s="43">
        <v>-20.0</v>
      </c>
      <c r="D145" s="43">
        <v>137.75</v>
      </c>
      <c r="E145" s="43" t="s">
        <v>3189</v>
      </c>
      <c r="F145" s="43">
        <v>66.7</v>
      </c>
    </row>
    <row r="146">
      <c r="A146" s="41">
        <v>145.0</v>
      </c>
      <c r="B146" s="42" t="s">
        <v>3190</v>
      </c>
      <c r="C146" s="43">
        <v>-1.0</v>
      </c>
      <c r="D146" s="43">
        <v>138.2</v>
      </c>
      <c r="E146" s="43" t="s">
        <v>3193</v>
      </c>
      <c r="F146" s="43">
        <v>83.3</v>
      </c>
    </row>
    <row r="147">
      <c r="A147" s="41">
        <v>146.0</v>
      </c>
      <c r="B147" s="42" t="s">
        <v>3194</v>
      </c>
      <c r="C147" s="43">
        <v>-10.0</v>
      </c>
      <c r="D147" s="43">
        <v>138.4</v>
      </c>
      <c r="E147" s="43" t="s">
        <v>3196</v>
      </c>
      <c r="F147" s="43">
        <v>83.3</v>
      </c>
    </row>
    <row r="148">
      <c r="A148" s="41">
        <v>147.0</v>
      </c>
      <c r="B148" s="42" t="s">
        <v>3197</v>
      </c>
      <c r="C148" s="43" t="s">
        <v>1739</v>
      </c>
      <c r="D148" s="43">
        <v>139.25</v>
      </c>
      <c r="E148" s="43" t="s">
        <v>3201</v>
      </c>
      <c r="F148" s="43">
        <v>66.7</v>
      </c>
    </row>
    <row r="149">
      <c r="A149" s="41">
        <v>148.0</v>
      </c>
      <c r="B149" s="42" t="s">
        <v>3202</v>
      </c>
      <c r="C149" s="43" t="s">
        <v>1739</v>
      </c>
      <c r="D149" s="43">
        <v>140.0</v>
      </c>
      <c r="E149" s="43" t="s">
        <v>3205</v>
      </c>
      <c r="F149" s="43">
        <v>50.0</v>
      </c>
    </row>
    <row r="150">
      <c r="A150" s="41">
        <v>149.0</v>
      </c>
      <c r="B150" s="42" t="s">
        <v>3206</v>
      </c>
      <c r="C150" s="43">
        <v>-1.0</v>
      </c>
      <c r="D150" s="43">
        <v>140.33</v>
      </c>
      <c r="E150" s="43" t="s">
        <v>3209</v>
      </c>
      <c r="F150" s="43">
        <v>50.0</v>
      </c>
    </row>
    <row r="151">
      <c r="A151" s="41">
        <v>150.0</v>
      </c>
      <c r="B151" s="42" t="s">
        <v>3211</v>
      </c>
      <c r="C151" s="43">
        <v>-10.0</v>
      </c>
      <c r="D151" s="43">
        <v>140.6</v>
      </c>
      <c r="E151" s="43" t="s">
        <v>3213</v>
      </c>
      <c r="F151" s="43">
        <v>83.3</v>
      </c>
    </row>
    <row r="152">
      <c r="A152" s="41">
        <v>151.0</v>
      </c>
      <c r="B152" s="42" t="s">
        <v>3214</v>
      </c>
      <c r="C152" s="43">
        <v>-5.0</v>
      </c>
      <c r="D152" s="43">
        <v>140.67</v>
      </c>
      <c r="E152" s="43" t="s">
        <v>3217</v>
      </c>
      <c r="F152" s="43">
        <v>50.0</v>
      </c>
    </row>
    <row r="153">
      <c r="A153" s="41">
        <v>152.0</v>
      </c>
      <c r="B153" s="42" t="s">
        <v>3218</v>
      </c>
      <c r="C153" s="43" t="s">
        <v>1739</v>
      </c>
      <c r="D153" s="43">
        <v>141.0</v>
      </c>
      <c r="E153" s="43" t="s">
        <v>3205</v>
      </c>
      <c r="F153" s="43">
        <v>33.3</v>
      </c>
    </row>
    <row r="154">
      <c r="A154" s="41">
        <v>153.0</v>
      </c>
      <c r="B154" s="42" t="s">
        <v>3222</v>
      </c>
      <c r="C154" s="43" t="s">
        <v>1739</v>
      </c>
      <c r="D154" s="43">
        <v>142.0</v>
      </c>
      <c r="E154" s="43" t="s">
        <v>3225</v>
      </c>
      <c r="F154" s="43">
        <v>66.7</v>
      </c>
    </row>
    <row r="155">
      <c r="A155" s="41">
        <v>154.0</v>
      </c>
      <c r="B155" s="42" t="s">
        <v>3226</v>
      </c>
      <c r="C155" s="43" t="s">
        <v>1739</v>
      </c>
      <c r="D155" s="43">
        <v>143.0</v>
      </c>
      <c r="E155" s="43" t="s">
        <v>3230</v>
      </c>
      <c r="F155" s="43">
        <v>50.0</v>
      </c>
    </row>
    <row r="156">
      <c r="A156" s="41">
        <v>155.0</v>
      </c>
      <c r="B156" s="42" t="s">
        <v>3231</v>
      </c>
      <c r="C156" s="43" t="s">
        <v>1739</v>
      </c>
      <c r="D156" s="43">
        <v>143.5</v>
      </c>
      <c r="E156" s="43" t="s">
        <v>3235</v>
      </c>
      <c r="F156" s="43">
        <v>33.3</v>
      </c>
    </row>
    <row r="157">
      <c r="A157" s="41">
        <v>156.0</v>
      </c>
      <c r="B157" s="42" t="s">
        <v>3236</v>
      </c>
      <c r="C157" s="43" t="s">
        <v>1739</v>
      </c>
      <c r="D157" s="43">
        <v>143.67</v>
      </c>
      <c r="E157" s="43" t="s">
        <v>3240</v>
      </c>
      <c r="F157" s="43">
        <v>50.0</v>
      </c>
    </row>
    <row r="158">
      <c r="A158" s="41">
        <v>157.0</v>
      </c>
      <c r="B158" s="42" t="s">
        <v>3241</v>
      </c>
      <c r="C158" s="43" t="s">
        <v>1739</v>
      </c>
      <c r="D158" s="43">
        <v>144.0</v>
      </c>
      <c r="E158" s="43" t="s">
        <v>3244</v>
      </c>
      <c r="F158" s="43">
        <v>66.7</v>
      </c>
    </row>
    <row r="159">
      <c r="A159" s="41">
        <v>158.0</v>
      </c>
      <c r="B159" s="42" t="s">
        <v>3245</v>
      </c>
      <c r="C159" s="43">
        <v>-30.0</v>
      </c>
      <c r="D159" s="43">
        <v>144.0</v>
      </c>
      <c r="E159" s="43" t="s">
        <v>3249</v>
      </c>
      <c r="F159" s="43">
        <v>83.3</v>
      </c>
    </row>
    <row r="160">
      <c r="A160" s="41">
        <v>159.0</v>
      </c>
      <c r="B160" s="42" t="s">
        <v>3250</v>
      </c>
      <c r="C160" s="43">
        <v>-17.0</v>
      </c>
      <c r="D160" s="43">
        <v>144.0</v>
      </c>
      <c r="E160" s="43" t="s">
        <v>3254</v>
      </c>
      <c r="F160" s="43">
        <v>83.3</v>
      </c>
    </row>
    <row r="161">
      <c r="A161" s="41">
        <v>160.0</v>
      </c>
      <c r="B161" s="42" t="s">
        <v>3255</v>
      </c>
      <c r="C161" s="43" t="s">
        <v>1739</v>
      </c>
      <c r="D161" s="43">
        <v>146.0</v>
      </c>
      <c r="E161" s="43" t="s">
        <v>3259</v>
      </c>
      <c r="F161" s="43">
        <v>33.3</v>
      </c>
    </row>
    <row r="162">
      <c r="A162" s="41">
        <v>161.0</v>
      </c>
      <c r="B162" s="42" t="s">
        <v>3260</v>
      </c>
      <c r="C162" s="43" t="s">
        <v>1739</v>
      </c>
      <c r="D162" s="43">
        <v>146.5</v>
      </c>
      <c r="E162" s="43" t="s">
        <v>3263</v>
      </c>
      <c r="F162" s="43">
        <v>33.3</v>
      </c>
    </row>
    <row r="163">
      <c r="A163" s="41">
        <v>162.0</v>
      </c>
      <c r="B163" s="42" t="s">
        <v>3264</v>
      </c>
      <c r="C163" s="43">
        <v>-15.0</v>
      </c>
      <c r="D163" s="43">
        <v>147.2</v>
      </c>
      <c r="E163" s="43" t="s">
        <v>3268</v>
      </c>
      <c r="F163" s="43">
        <v>83.3</v>
      </c>
    </row>
    <row r="164">
      <c r="A164" s="41">
        <v>163.0</v>
      </c>
      <c r="B164" s="42" t="s">
        <v>3269</v>
      </c>
      <c r="C164" s="43">
        <v>-14.0</v>
      </c>
      <c r="D164" s="43">
        <v>148.0</v>
      </c>
      <c r="E164" s="43" t="s">
        <v>3273</v>
      </c>
      <c r="F164" s="43">
        <v>66.7</v>
      </c>
    </row>
    <row r="165">
      <c r="A165" s="41">
        <v>164.0</v>
      </c>
      <c r="B165" s="42" t="s">
        <v>3274</v>
      </c>
      <c r="C165" s="43">
        <v>-25.0</v>
      </c>
      <c r="D165" s="43">
        <v>148.67</v>
      </c>
      <c r="E165" s="43" t="s">
        <v>3278</v>
      </c>
      <c r="F165" s="43">
        <v>50.0</v>
      </c>
    </row>
    <row r="166">
      <c r="A166" s="41">
        <v>165.0</v>
      </c>
      <c r="B166" s="42" t="s">
        <v>3279</v>
      </c>
      <c r="C166" s="43" t="s">
        <v>1739</v>
      </c>
      <c r="D166" s="43">
        <v>149.0</v>
      </c>
      <c r="E166" s="43" t="s">
        <v>3282</v>
      </c>
      <c r="F166" s="43">
        <v>50.0</v>
      </c>
    </row>
    <row r="167">
      <c r="A167" s="41">
        <v>166.0</v>
      </c>
      <c r="B167" s="42" t="s">
        <v>3284</v>
      </c>
      <c r="C167" s="43" t="s">
        <v>1739</v>
      </c>
      <c r="D167" s="43">
        <v>149.0</v>
      </c>
      <c r="E167" s="43" t="s">
        <v>3287</v>
      </c>
      <c r="F167" s="43">
        <v>50.0</v>
      </c>
    </row>
    <row r="168">
      <c r="A168" s="41">
        <v>167.0</v>
      </c>
      <c r="B168" s="42" t="s">
        <v>3288</v>
      </c>
      <c r="C168" s="43" t="s">
        <v>1739</v>
      </c>
      <c r="D168" s="43">
        <v>149.33</v>
      </c>
      <c r="E168" s="43" t="s">
        <v>3292</v>
      </c>
      <c r="F168" s="43">
        <v>50.0</v>
      </c>
    </row>
    <row r="169">
      <c r="A169" s="41">
        <v>168.0</v>
      </c>
      <c r="B169" s="42" t="s">
        <v>3293</v>
      </c>
      <c r="C169" s="43">
        <v>-36.0</v>
      </c>
      <c r="D169" s="43">
        <v>150.83</v>
      </c>
      <c r="E169" s="43" t="s">
        <v>3297</v>
      </c>
      <c r="F169" s="43">
        <v>100.0</v>
      </c>
    </row>
    <row r="170">
      <c r="A170" s="41">
        <v>169.0</v>
      </c>
      <c r="B170" s="42" t="s">
        <v>3298</v>
      </c>
      <c r="C170" s="43" t="s">
        <v>1739</v>
      </c>
      <c r="D170" s="43">
        <v>153.0</v>
      </c>
      <c r="E170" s="43" t="s">
        <v>3302</v>
      </c>
      <c r="F170" s="43">
        <v>66.7</v>
      </c>
    </row>
    <row r="171">
      <c r="A171" s="41">
        <v>170.0</v>
      </c>
      <c r="B171" s="42" t="s">
        <v>3303</v>
      </c>
      <c r="C171" s="43" t="s">
        <v>1739</v>
      </c>
      <c r="D171" s="43">
        <v>153.67</v>
      </c>
      <c r="E171" s="43" t="s">
        <v>3306</v>
      </c>
      <c r="F171" s="43">
        <v>50.0</v>
      </c>
    </row>
    <row r="172">
      <c r="A172" s="41">
        <v>171.0</v>
      </c>
      <c r="B172" s="42" t="s">
        <v>3307</v>
      </c>
      <c r="C172" s="43" t="s">
        <v>1739</v>
      </c>
      <c r="D172" s="43">
        <v>154.0</v>
      </c>
      <c r="E172" s="43" t="s">
        <v>3311</v>
      </c>
      <c r="F172" s="43">
        <v>33.3</v>
      </c>
    </row>
    <row r="173">
      <c r="A173" s="41">
        <v>172.0</v>
      </c>
      <c r="B173" s="42" t="s">
        <v>3312</v>
      </c>
      <c r="C173" s="43" t="s">
        <v>1739</v>
      </c>
      <c r="D173" s="43">
        <v>155.5</v>
      </c>
      <c r="E173" s="43" t="s">
        <v>3316</v>
      </c>
      <c r="F173" s="43">
        <v>33.3</v>
      </c>
    </row>
    <row r="174">
      <c r="A174" s="41">
        <v>173.0</v>
      </c>
      <c r="B174" s="42" t="s">
        <v>3317</v>
      </c>
      <c r="C174" s="43" t="s">
        <v>1739</v>
      </c>
      <c r="D174" s="43">
        <v>156.33</v>
      </c>
      <c r="E174" s="43" t="s">
        <v>3320</v>
      </c>
      <c r="F174" s="43">
        <v>50.0</v>
      </c>
    </row>
    <row r="175">
      <c r="A175" s="41">
        <v>174.0</v>
      </c>
      <c r="B175" s="42" t="s">
        <v>3322</v>
      </c>
      <c r="C175" s="43">
        <v>-31.0</v>
      </c>
      <c r="D175" s="43">
        <v>157.2</v>
      </c>
      <c r="E175" s="43" t="s">
        <v>3325</v>
      </c>
      <c r="F175" s="43">
        <v>83.3</v>
      </c>
    </row>
    <row r="176">
      <c r="A176" s="41">
        <v>175.0</v>
      </c>
      <c r="B176" s="42" t="s">
        <v>3326</v>
      </c>
      <c r="C176" s="43" t="s">
        <v>1739</v>
      </c>
      <c r="D176" s="43">
        <v>157.25</v>
      </c>
      <c r="E176" s="43" t="s">
        <v>3330</v>
      </c>
      <c r="F176" s="43">
        <v>66.7</v>
      </c>
    </row>
    <row r="177">
      <c r="A177" s="41">
        <v>176.0</v>
      </c>
      <c r="B177" s="42" t="s">
        <v>3331</v>
      </c>
      <c r="C177" s="43" t="s">
        <v>1739</v>
      </c>
      <c r="D177" s="43">
        <v>157.5</v>
      </c>
      <c r="E177" s="43" t="s">
        <v>3335</v>
      </c>
      <c r="F177" s="43">
        <v>33.3</v>
      </c>
    </row>
    <row r="178">
      <c r="A178" s="41">
        <v>177.0</v>
      </c>
      <c r="B178" s="42" t="s">
        <v>3336</v>
      </c>
      <c r="C178" s="43" t="s">
        <v>1739</v>
      </c>
      <c r="D178" s="43">
        <v>159.0</v>
      </c>
      <c r="E178" s="43" t="s">
        <v>3339</v>
      </c>
      <c r="F178" s="43">
        <v>33.3</v>
      </c>
    </row>
    <row r="179">
      <c r="A179" s="41">
        <v>178.0</v>
      </c>
      <c r="B179" s="42" t="s">
        <v>3341</v>
      </c>
      <c r="C179" s="43">
        <v>-58.0</v>
      </c>
      <c r="D179" s="43">
        <v>159.75</v>
      </c>
      <c r="E179" s="43" t="s">
        <v>3344</v>
      </c>
      <c r="F179" s="43">
        <v>66.7</v>
      </c>
    </row>
    <row r="180">
      <c r="A180" s="41">
        <v>179.0</v>
      </c>
      <c r="B180" s="42" t="s">
        <v>3345</v>
      </c>
      <c r="C180" s="43" t="s">
        <v>1739</v>
      </c>
      <c r="D180" s="43">
        <v>159.8</v>
      </c>
      <c r="E180" s="43" t="s">
        <v>3349</v>
      </c>
      <c r="F180" s="43">
        <v>83.3</v>
      </c>
    </row>
    <row r="181">
      <c r="A181" s="41">
        <v>180.0</v>
      </c>
      <c r="B181" s="42" t="s">
        <v>3350</v>
      </c>
      <c r="C181" s="43">
        <v>-45.0</v>
      </c>
      <c r="D181" s="43">
        <v>160.25</v>
      </c>
      <c r="E181" s="43" t="s">
        <v>3354</v>
      </c>
      <c r="F181" s="43">
        <v>66.7</v>
      </c>
    </row>
    <row r="182">
      <c r="A182" s="41">
        <v>181.0</v>
      </c>
      <c r="B182" s="42" t="s">
        <v>3355</v>
      </c>
      <c r="C182" s="43" t="s">
        <v>1739</v>
      </c>
      <c r="D182" s="43">
        <v>161.67</v>
      </c>
      <c r="E182" s="43" t="s">
        <v>3358</v>
      </c>
      <c r="F182" s="43">
        <v>50.0</v>
      </c>
    </row>
    <row r="183">
      <c r="A183" s="41">
        <v>182.0</v>
      </c>
      <c r="B183" s="42" t="s">
        <v>3360</v>
      </c>
      <c r="C183" s="43" t="s">
        <v>1739</v>
      </c>
      <c r="D183" s="43">
        <v>163.0</v>
      </c>
      <c r="E183" s="43" t="s">
        <v>3363</v>
      </c>
      <c r="F183" s="43">
        <v>33.3</v>
      </c>
    </row>
    <row r="184">
      <c r="A184" s="41">
        <v>183.0</v>
      </c>
      <c r="B184" s="42" t="s">
        <v>3364</v>
      </c>
      <c r="C184" s="43" t="s">
        <v>1739</v>
      </c>
      <c r="D184" s="43">
        <v>163.5</v>
      </c>
      <c r="E184" s="43" t="s">
        <v>3368</v>
      </c>
      <c r="F184" s="43">
        <v>66.7</v>
      </c>
    </row>
    <row r="185">
      <c r="A185" s="41">
        <v>184.0</v>
      </c>
      <c r="B185" s="42" t="s">
        <v>3369</v>
      </c>
      <c r="C185" s="43" t="s">
        <v>1739</v>
      </c>
      <c r="D185" s="43">
        <v>164.0</v>
      </c>
      <c r="E185" s="43" t="s">
        <v>3372</v>
      </c>
      <c r="F185" s="43">
        <v>33.3</v>
      </c>
    </row>
    <row r="186">
      <c r="A186" s="41">
        <v>185.0</v>
      </c>
      <c r="B186" s="42" t="s">
        <v>3374</v>
      </c>
      <c r="C186" s="43" t="s">
        <v>1739</v>
      </c>
      <c r="D186" s="43">
        <v>164.0</v>
      </c>
      <c r="E186" s="43" t="s">
        <v>3377</v>
      </c>
      <c r="F186" s="43">
        <v>50.0</v>
      </c>
    </row>
    <row r="187">
      <c r="A187" s="41">
        <v>186.0</v>
      </c>
      <c r="B187" s="42" t="s">
        <v>3378</v>
      </c>
      <c r="C187" s="43" t="s">
        <v>1739</v>
      </c>
      <c r="D187" s="43">
        <v>164.5</v>
      </c>
      <c r="E187" s="43" t="s">
        <v>3382</v>
      </c>
      <c r="F187" s="43">
        <v>66.7</v>
      </c>
    </row>
    <row r="188">
      <c r="A188" s="41">
        <v>187.0</v>
      </c>
      <c r="B188" s="42" t="s">
        <v>3383</v>
      </c>
      <c r="C188" s="43">
        <v>-42.0</v>
      </c>
      <c r="D188" s="43">
        <v>165.0</v>
      </c>
      <c r="E188" s="43" t="s">
        <v>3387</v>
      </c>
      <c r="F188" s="43">
        <v>66.7</v>
      </c>
    </row>
    <row r="189">
      <c r="A189" s="41">
        <v>188.0</v>
      </c>
      <c r="B189" s="42" t="s">
        <v>3388</v>
      </c>
      <c r="C189" s="43" t="s">
        <v>1739</v>
      </c>
      <c r="D189" s="43">
        <v>166.0</v>
      </c>
      <c r="E189" s="43" t="s">
        <v>3391</v>
      </c>
      <c r="F189" s="43">
        <v>33.3</v>
      </c>
    </row>
    <row r="190">
      <c r="A190" s="41">
        <v>189.0</v>
      </c>
      <c r="B190" s="42" t="s">
        <v>3393</v>
      </c>
      <c r="C190" s="43" t="s">
        <v>1739</v>
      </c>
      <c r="D190" s="43">
        <v>167.0</v>
      </c>
      <c r="E190" s="43" t="s">
        <v>3396</v>
      </c>
      <c r="F190" s="43">
        <v>33.3</v>
      </c>
    </row>
    <row r="191">
      <c r="A191" s="41">
        <v>190.0</v>
      </c>
      <c r="B191" s="42" t="s">
        <v>3397</v>
      </c>
      <c r="C191" s="43" t="s">
        <v>1739</v>
      </c>
      <c r="D191" s="43">
        <v>169.5</v>
      </c>
      <c r="E191" s="43" t="s">
        <v>3401</v>
      </c>
      <c r="F191" s="43">
        <v>33.3</v>
      </c>
    </row>
    <row r="192">
      <c r="A192" s="41">
        <v>191.0</v>
      </c>
      <c r="B192" s="42" t="s">
        <v>3402</v>
      </c>
      <c r="C192" s="43">
        <v>-41.0</v>
      </c>
      <c r="D192" s="43">
        <v>170.2</v>
      </c>
      <c r="E192" s="43" t="s">
        <v>3405</v>
      </c>
      <c r="F192" s="43">
        <v>83.3</v>
      </c>
    </row>
    <row r="193">
      <c r="A193" s="41">
        <v>192.0</v>
      </c>
      <c r="B193" s="42" t="s">
        <v>3406</v>
      </c>
      <c r="C193" s="43" t="s">
        <v>1739</v>
      </c>
      <c r="D193" s="43">
        <v>170.67</v>
      </c>
      <c r="E193" s="43" t="s">
        <v>3409</v>
      </c>
      <c r="F193" s="43">
        <v>50.0</v>
      </c>
    </row>
    <row r="194">
      <c r="A194" s="41">
        <v>193.0</v>
      </c>
      <c r="B194" s="42" t="s">
        <v>3410</v>
      </c>
      <c r="C194" s="43" t="s">
        <v>1739</v>
      </c>
      <c r="D194" s="43">
        <v>171.0</v>
      </c>
      <c r="E194" s="43" t="s">
        <v>3413</v>
      </c>
      <c r="F194" s="43">
        <v>66.7</v>
      </c>
    </row>
    <row r="195">
      <c r="A195" s="41">
        <v>194.0</v>
      </c>
      <c r="B195" s="42" t="s">
        <v>3414</v>
      </c>
      <c r="C195" s="43" t="s">
        <v>1739</v>
      </c>
      <c r="D195" s="43">
        <v>173.0</v>
      </c>
      <c r="E195" s="43" t="s">
        <v>3417</v>
      </c>
      <c r="F195" s="43">
        <v>33.3</v>
      </c>
    </row>
    <row r="196">
      <c r="A196" s="41">
        <v>195.0</v>
      </c>
      <c r="B196" s="42" t="s">
        <v>3418</v>
      </c>
      <c r="C196" s="43" t="s">
        <v>1739</v>
      </c>
      <c r="D196" s="43">
        <v>174.0</v>
      </c>
      <c r="E196" s="43" t="s">
        <v>3421</v>
      </c>
      <c r="F196" s="43">
        <v>50.0</v>
      </c>
    </row>
    <row r="197">
      <c r="A197" s="41">
        <v>196.0</v>
      </c>
      <c r="B197" s="42" t="s">
        <v>3422</v>
      </c>
      <c r="C197" s="43" t="s">
        <v>1739</v>
      </c>
      <c r="D197" s="43">
        <v>174.5</v>
      </c>
      <c r="E197" s="43" t="s">
        <v>3425</v>
      </c>
      <c r="F197" s="43">
        <v>33.3</v>
      </c>
    </row>
    <row r="198">
      <c r="A198" s="41">
        <v>197.0</v>
      </c>
      <c r="B198" s="42" t="s">
        <v>3426</v>
      </c>
      <c r="C198" s="43" t="s">
        <v>1739</v>
      </c>
      <c r="D198" s="43">
        <v>176.67</v>
      </c>
      <c r="E198" s="43" t="s">
        <v>3429</v>
      </c>
      <c r="F198" s="43">
        <v>50.0</v>
      </c>
    </row>
    <row r="199">
      <c r="A199" s="41">
        <v>198.0</v>
      </c>
      <c r="B199" s="42" t="s">
        <v>3430</v>
      </c>
      <c r="C199" s="43" t="s">
        <v>1739</v>
      </c>
      <c r="D199" s="43">
        <v>177.5</v>
      </c>
      <c r="E199" s="43" t="s">
        <v>3433</v>
      </c>
      <c r="F199" s="43">
        <v>33.3</v>
      </c>
    </row>
    <row r="200">
      <c r="A200" s="41">
        <v>199.0</v>
      </c>
      <c r="B200" s="42" t="s">
        <v>3434</v>
      </c>
      <c r="C200" s="43" t="s">
        <v>1739</v>
      </c>
      <c r="D200" s="43">
        <v>177.67</v>
      </c>
      <c r="E200" s="43" t="s">
        <v>3437</v>
      </c>
      <c r="F200" s="43">
        <v>50.0</v>
      </c>
    </row>
    <row r="201">
      <c r="A201" s="41">
        <v>200.0</v>
      </c>
      <c r="B201" s="42" t="s">
        <v>3438</v>
      </c>
      <c r="C201" s="43" t="s">
        <v>1739</v>
      </c>
      <c r="D201" s="43">
        <v>180.0</v>
      </c>
      <c r="E201" s="43" t="s">
        <v>3441</v>
      </c>
      <c r="F201" s="43">
        <v>50.0</v>
      </c>
    </row>
    <row r="202">
      <c r="A202" s="41">
        <v>201.0</v>
      </c>
      <c r="B202" s="42" t="s">
        <v>3442</v>
      </c>
      <c r="C202" s="43" t="s">
        <v>1739</v>
      </c>
      <c r="D202" s="43">
        <v>180.5</v>
      </c>
      <c r="E202" s="43" t="s">
        <v>3445</v>
      </c>
      <c r="F202" s="43">
        <v>33.3</v>
      </c>
    </row>
    <row r="203">
      <c r="A203" s="41">
        <v>202.0</v>
      </c>
      <c r="B203" s="42" t="s">
        <v>3446</v>
      </c>
      <c r="C203" s="43" t="s">
        <v>1739</v>
      </c>
      <c r="D203" s="43">
        <v>181.5</v>
      </c>
      <c r="E203" s="43" t="s">
        <v>3451</v>
      </c>
      <c r="F203" s="43">
        <v>33.3</v>
      </c>
    </row>
    <row r="204">
      <c r="A204" s="41">
        <v>203.0</v>
      </c>
      <c r="B204" s="42" t="s">
        <v>3452</v>
      </c>
      <c r="C204" s="43" t="s">
        <v>1739</v>
      </c>
      <c r="D204" s="43">
        <v>182.0</v>
      </c>
      <c r="E204" s="43" t="s">
        <v>3455</v>
      </c>
      <c r="F204" s="43">
        <v>33.3</v>
      </c>
    </row>
    <row r="205">
      <c r="A205" s="41">
        <v>204.0</v>
      </c>
      <c r="B205" s="42" t="s">
        <v>3456</v>
      </c>
      <c r="C205" s="43" t="s">
        <v>1739</v>
      </c>
      <c r="D205" s="43">
        <v>186.0</v>
      </c>
      <c r="E205" s="43" t="s">
        <v>3459</v>
      </c>
      <c r="F205" s="43">
        <v>33.3</v>
      </c>
    </row>
    <row r="206">
      <c r="A206" s="41">
        <v>205.0</v>
      </c>
      <c r="B206" s="42" t="s">
        <v>3460</v>
      </c>
      <c r="C206" s="43" t="s">
        <v>1739</v>
      </c>
      <c r="D206" s="43">
        <v>188.0</v>
      </c>
      <c r="E206" s="43" t="s">
        <v>3462</v>
      </c>
      <c r="F206" s="43">
        <v>33.3</v>
      </c>
    </row>
    <row r="207">
      <c r="A207" s="46">
        <v>206.0</v>
      </c>
      <c r="B207" s="47" t="s">
        <v>3464</v>
      </c>
      <c r="C207" s="48" t="s">
        <v>1739</v>
      </c>
      <c r="D207" s="48">
        <v>196.5</v>
      </c>
      <c r="E207" s="48" t="s">
        <v>3467</v>
      </c>
      <c r="F207" s="48">
        <v>33.3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</hyperlinks>
  <drawing r:id="rId207"/>
</worksheet>
</file>